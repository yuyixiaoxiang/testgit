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7945" windowHeight="12255"/>
  </bookViews>
  <sheets>
    <sheet sheetId="2" name="monster" state="visible" r:id="rId4"/>
    <sheet sheetId="8" name="monsterStrongholdDisplay" state="visible" r:id="rId5"/>
    <sheet sheetId="7" name="monster_group" state="visible" r:id="rId6"/>
    <sheet sheetId="3" name="monster_RefreshLevel" state="visible" r:id="rId7"/>
    <sheet sheetId="4" name="monster_RefreshNum" state="visible" r:id="rId8"/>
    <sheet sheetId="6" name="victoryRule" state="visible" r:id="rId9"/>
    <sheet sheetId="5" name="#Sheet1" state="visible" r:id="rId10"/>
    <sheet sheetId="10" name="#怪物配置辅助表" state="visible" r:id="rId11"/>
  </sheets>
  <definedNames>
    <definedName name="_xlnm._FilterDatabase">'monster_RefreshNum'!$A$1:$E$24</definedName>
  </definedNames>
  <calcPr calcId="171027"/>
</workbook>
</file>

<file path=xl/comments6.xml><?xml version="1.0" encoding="utf-8"?>
<comments xmlns="http://schemas.openxmlformats.org/spreadsheetml/2006/main">
  <authors>
    <author>Author</author>
  </authors>
  <commentList>
    <comment ref="C1" authorId="0">
      <text>
        <r>
          <rPr>
            <b/>
            <charset val="134"/>
            <sz val="9"/>
            <rFont val="宋体"/>
          </rPr>
          <t>Lucius:</t>
        </r>
        <r>
          <rPr>
            <charset val="134"/>
            <sz val="9"/>
            <rFont val="宋体"/>
          </rPr>
          <t xml:space="preserve">
0 - 按照战斗结果正常结算判定胜负；
1 - 无论结果如何，都是胜利结算的状态；
2 - 无论结果如何，都是失败结算的状态；</t>
        </r>
      </text>
    </comment>
  </commentList>
</comments>
</file>

<file path=xl/sharedStrings.xml><?xml version="1.0" encoding="utf-8"?>
<sst xmlns="http://schemas.openxmlformats.org/spreadsheetml/2006/main" count="8495" uniqueCount="1898">
  <si>
    <t>怪物ID</t>
  </si>
  <si>
    <t>#备注</t>
  </si>
  <si>
    <t>名称</t>
  </si>
  <si>
    <t>#名称</t>
  </si>
  <si>
    <t>怪物描述语言包</t>
  </si>
  <si>
    <t>#怪物描述语言包</t>
  </si>
  <si>
    <t>怪物类型：1、沙盘野怪2、沙盘集结怪3、召唤怪4、据点怪5、雷达怪</t>
  </si>
  <si>
    <t>怪物子类型：区分同类怪物的不同类型</t>
  </si>
  <si>
    <t>进攻类型：1、单人2、集结、3单人+集结</t>
  </si>
  <si>
    <t>怪物等级</t>
  </si>
  <si>
    <t>推荐战斗力</t>
  </si>
  <si>
    <t>怪物生存倒计时，单位：秒</t>
  </si>
  <si>
    <t>战斗阵容ID，索引monsterTroop</t>
  </si>
  <si>
    <t>消耗体力：类型,参数。1、单人2、集结车头3、集结车身</t>
  </si>
  <si>
    <t>返还体力：类型,参数(万分比)。1、单人2、集结车头3、集结车身</t>
  </si>
  <si>
    <t>奖励类型：进攻类型,奖励id。1，单人2、集结车头3、集结车身4、首杀</t>
  </si>
  <si>
    <t>奖励预览-常规</t>
  </si>
  <si>
    <t>奖励预览-首杀</t>
  </si>
  <si>
    <t>邮件：类型、邮件id。1成功2失败3取消</t>
  </si>
  <si>
    <t>独占格子边长</t>
  </si>
  <si>
    <t>怪物头像图标</t>
  </si>
  <si>
    <t>集结怪物头像/半身像</t>
  </si>
  <si>
    <t>怪物模型perfab：搜索battleMonsterGroup</t>
  </si>
  <si>
    <t>补充生成半径，1格子等于1米</t>
  </si>
  <si>
    <t>出征推荐类型1区间（红脸）</t>
  </si>
  <si>
    <t>出征推荐类型2区间（黄脸）</t>
  </si>
  <si>
    <t>出征推荐类型3区间（绿脸）</t>
  </si>
  <si>
    <t xml:space="preserve">行军规则Id
用来扩展各类行军的限制与参数</t>
  </si>
  <si>
    <t>是否可以被自动集结</t>
  </si>
  <si>
    <t xml:space="preserve">战斗实体是否是镜像
FALSE-本体
TRUE-镜像</t>
  </si>
  <si>
    <t xml:space="preserve">各类活动怪获胜规则配置Id
非活动怪不用填
填写本表victoryRule分页Id</t>
  </si>
  <si>
    <t xml:space="preserve">NPC大地图品质
3 - 蓝
4 - 紫
5 - 橙</t>
  </si>
  <si>
    <t>怪物可进攻条件（在点击发起集结&amp;进攻时判断）</t>
  </si>
  <si>
    <t>怪物可进攻条件,对应文本</t>
  </si>
  <si>
    <r>
      <rPr>
        <b/>
        <charset val="134"/>
        <sz val="11"/>
        <rFont val="Microsoft YaHei Light"/>
      </rPr>
      <t>战场结算时间，单位：秒（0</t>
    </r>
    <r>
      <rPr>
        <b/>
        <charset val="134"/>
        <sz val="11"/>
        <rFont val="Microsoft YaHei Light"/>
      </rPr>
      <t>-40开区间</t>
    </r>
    <r>
      <rPr>
        <b/>
        <charset val="134"/>
        <sz val="11"/>
        <rFont val="Microsoft YaHei Light"/>
      </rPr>
      <t>）。战斗开始倒计时，倒计时结束战斗结束。胜负关系由victoryRule字段决定</t>
    </r>
  </si>
  <si>
    <t>怪物模型</t>
  </si>
  <si>
    <t xml:space="preserve">英雄基础PVE属性
hero_attribute获取英雄时获取基础属性
数组：属性id，属性值</t>
  </si>
  <si>
    <t>怪物技能</t>
  </si>
  <si>
    <t>怪物品质</t>
  </si>
  <si>
    <t>id--</t>
  </si>
  <si>
    <t>text</t>
  </si>
  <si>
    <t>nameId</t>
  </si>
  <si>
    <t>descId</t>
  </si>
  <si>
    <t>type</t>
  </si>
  <si>
    <t>subType</t>
  </si>
  <si>
    <t>ifRally</t>
  </si>
  <si>
    <t>level</t>
  </si>
  <si>
    <t>powerAdvise</t>
  </si>
  <si>
    <t>showTime</t>
  </si>
  <si>
    <t>monsterTroopsId</t>
  </si>
  <si>
    <t>attackAp</t>
  </si>
  <si>
    <t>returnAp</t>
  </si>
  <si>
    <t>killReward</t>
  </si>
  <si>
    <t>showReward</t>
  </si>
  <si>
    <t>firstReward</t>
  </si>
  <si>
    <t>emailId</t>
  </si>
  <si>
    <t>radius</t>
  </si>
  <si>
    <t>headIcon</t>
  </si>
  <si>
    <t>rallyHeadIcon</t>
  </si>
  <si>
    <t>model</t>
  </si>
  <si>
    <t>refreshRadius</t>
  </si>
  <si>
    <t>travelRecommendation1</t>
  </si>
  <si>
    <t>travelRecommendation2</t>
  </si>
  <si>
    <t>travelRecommendation3</t>
  </si>
  <si>
    <t>marchRuleId</t>
  </si>
  <si>
    <t>isAutoRally</t>
  </si>
  <si>
    <t>isMirror</t>
  </si>
  <si>
    <t>victoryRule</t>
  </si>
  <si>
    <t>npcQuality</t>
  </si>
  <si>
    <t>attCondition</t>
  </si>
  <si>
    <t>attConditionDesc</t>
  </si>
  <si>
    <t>battleLimitTime</t>
  </si>
  <si>
    <t>spineRes</t>
  </si>
  <si>
    <t>heroAttribute</t>
  </si>
  <si>
    <t>skill</t>
  </si>
  <si>
    <t>headIcon_new</t>
  </si>
  <si>
    <t>rallyHeadIcon_new</t>
  </si>
  <si>
    <t>quality</t>
  </si>
  <si>
    <t>int</t>
  </si>
  <si>
    <t>string</t>
  </si>
  <si>
    <t>string[]</t>
  </si>
  <si>
    <t>int[]</t>
  </si>
  <si>
    <t>bool</t>
  </si>
  <si>
    <t>剑修11</t>
  </si>
  <si>
    <r>
      <rPr>
        <charset val="134"/>
        <scheme val="minor"/>
        <sz val="10"/>
        <rFont val="等线"/>
      </rPr>
      <t>z_hero_</t>
    </r>
    <r>
      <rPr>
        <charset val="134"/>
        <color theme="1"/>
        <sz val="11"/>
        <rFont val="微软雅黑"/>
      </rPr>
      <t>name1</t>
    </r>
  </si>
  <si>
    <t>剑修</t>
  </si>
  <si>
    <t>MonsterText16</t>
  </si>
  <si>
    <t>icon_head05</t>
  </si>
  <si>
    <t>sp_hero_jianxiu</t>
  </si>
  <si>
    <t>100,5000|101,500|102,500|103,500|104,90</t>
  </si>
  <si>
    <t>10001|20601</t>
  </si>
  <si>
    <t>体修</t>
  </si>
  <si>
    <r>
      <rPr>
        <charset val="134"/>
        <scheme val="minor"/>
        <sz val="10"/>
        <rFont val="等线"/>
      </rPr>
      <t>z_hero_</t>
    </r>
    <r>
      <rPr>
        <charset val="134"/>
        <color theme="1"/>
        <sz val="11"/>
        <rFont val="微软雅黑"/>
      </rPr>
      <t>name2</t>
    </r>
  </si>
  <si>
    <t>sp_hero_tixiu</t>
  </si>
  <si>
    <t>40001|20801</t>
  </si>
  <si>
    <t>法修</t>
  </si>
  <si>
    <r>
      <rPr>
        <charset val="134"/>
        <scheme val="minor"/>
        <sz val="10"/>
        <rFont val="等线"/>
      </rPr>
      <t>z_hero_</t>
    </r>
    <r>
      <rPr>
        <charset val="134"/>
        <color theme="1"/>
        <sz val="11"/>
        <rFont val="微软雅黑"/>
      </rPr>
      <t>name3</t>
    </r>
  </si>
  <si>
    <t>sp_hero_faxiu</t>
  </si>
  <si>
    <t>10003|20001</t>
  </si>
  <si>
    <t>儒修</t>
  </si>
  <si>
    <r>
      <rPr>
        <charset val="134"/>
        <scheme val="minor"/>
        <sz val="10"/>
        <rFont val="等线"/>
      </rPr>
      <t>z_hero_</t>
    </r>
    <r>
      <rPr>
        <charset val="134"/>
        <color theme="1"/>
        <sz val="11"/>
        <rFont val="微软雅黑"/>
      </rPr>
      <t>name4</t>
    </r>
  </si>
  <si>
    <t>sp_hero_ruxiu</t>
  </si>
  <si>
    <t>10004|20501</t>
  </si>
  <si>
    <t>医修</t>
  </si>
  <si>
    <r>
      <rPr>
        <charset val="134"/>
        <scheme val="minor"/>
        <sz val="10"/>
        <rFont val="等线"/>
      </rPr>
      <t>z_hero_</t>
    </r>
    <r>
      <rPr>
        <charset val="134"/>
        <color theme="1"/>
        <sz val="11"/>
        <rFont val="微软雅黑"/>
      </rPr>
      <t>name5</t>
    </r>
  </si>
  <si>
    <t>sp_hero_yixiu</t>
  </si>
  <si>
    <t>10005|20701</t>
  </si>
  <si>
    <t>刀鬼</t>
  </si>
  <si>
    <r>
      <rPr>
        <charset val="134"/>
        <scheme val="minor"/>
        <sz val="10"/>
        <rFont val="等线"/>
      </rPr>
      <t>z</t>
    </r>
    <r>
      <rPr>
        <charset val="134"/>
        <color theme="1"/>
        <sz val="11"/>
        <rFont val="微软雅黑"/>
      </rPr>
      <t>_monster_xiaoguai1</t>
    </r>
  </si>
  <si>
    <t>sp_hero_daogui</t>
  </si>
  <si>
    <t>100,5000|101,500|102,500|103,500|104,90|300,5000|301,5000|132,1000</t>
  </si>
  <si>
    <t>30001|30002</t>
  </si>
  <si>
    <t>灯鬼</t>
  </si>
  <si>
    <r>
      <rPr>
        <charset val="134"/>
        <scheme val="minor"/>
        <sz val="10"/>
        <rFont val="等线"/>
      </rPr>
      <t>z</t>
    </r>
    <r>
      <rPr>
        <charset val="134"/>
        <color theme="1"/>
        <sz val="11"/>
        <rFont val="微软雅黑"/>
      </rPr>
      <t>_monster_xiaoguai2</t>
    </r>
  </si>
  <si>
    <t>sp_hero_denggui</t>
  </si>
  <si>
    <t>30003|30004</t>
  </si>
  <si>
    <t>食人花</t>
  </si>
  <si>
    <r>
      <rPr>
        <charset val="134"/>
        <scheme val="minor"/>
        <sz val="10"/>
        <rFont val="等线"/>
      </rPr>
      <t>z</t>
    </r>
    <r>
      <rPr>
        <charset val="134"/>
        <color theme="1"/>
        <sz val="11"/>
        <rFont val="微软雅黑"/>
      </rPr>
      <t>_monster_xiaoguai3</t>
    </r>
  </si>
  <si>
    <t>sp_hero_shirenhua</t>
  </si>
  <si>
    <t>30005|30006</t>
  </si>
  <si>
    <t>贪念</t>
  </si>
  <si>
    <r>
      <rPr>
        <charset val="134"/>
        <scheme val="minor"/>
        <sz val="10"/>
        <rFont val="等线"/>
      </rPr>
      <t>z</t>
    </r>
    <r>
      <rPr>
        <charset val="134"/>
        <color theme="1"/>
        <sz val="11"/>
        <rFont val="微软雅黑"/>
      </rPr>
      <t>_monster_xiaoguai4</t>
    </r>
  </si>
  <si>
    <t>sp_hero_feinv</t>
  </si>
  <si>
    <t>30007|30008</t>
  </si>
  <si>
    <t>刀鬼灵脉第一层</t>
  </si>
  <si>
    <t>100,2000|101,500|102,500|103,500|104,90|300,5000|301,5000|132,1000</t>
  </si>
  <si>
    <t>100,7000|101,700|102,700|103,700|104,90|132,1000</t>
  </si>
  <si>
    <t>100,9000|101,900|102,900|103,900|104,100|132,1000</t>
  </si>
  <si>
    <t>100,11000|101,1100|102,1100|103,1100|104,120|132,1000</t>
  </si>
  <si>
    <t>水鬼boss</t>
  </si>
  <si>
    <t>sp_hero_shuigui</t>
  </si>
  <si>
    <t>100,11000|101,700|102,700|103,700|104,120|132,1000</t>
  </si>
  <si>
    <t>30009|30010</t>
  </si>
  <si>
    <t>100,13000|101,1300|102,1300|103,1300|104,120|132,1000</t>
  </si>
  <si>
    <t>100,17000|101,1700|102,1700|103,1700|104,120|132,1000</t>
  </si>
  <si>
    <t>100,25000|101,2500|102,2500|103,2500|104,120|132,1000</t>
  </si>
  <si>
    <t>水鬼boss第四层</t>
  </si>
  <si>
    <t>100,4000|101,500|102,500|103,500|104,90|132,1000</t>
  </si>
  <si>
    <t>辅</t>
  </si>
  <si>
    <t>糜夫人</t>
  </si>
  <si>
    <t>P_nushou</t>
  </si>
  <si>
    <t>100,53720|101,4060|102,710|132,100</t>
  </si>
  <si>
    <t>400014|410014</t>
  </si>
  <si>
    <t>小乔</t>
  </si>
  <si>
    <t>P_change</t>
  </si>
  <si>
    <t>400008|410008</t>
  </si>
  <si>
    <t>防</t>
  </si>
  <si>
    <t>夏侯惇</t>
  </si>
  <si>
    <t>P_dujiaoguiwang</t>
  </si>
  <si>
    <t>100,56280|101,3810|102,770|132,100</t>
  </si>
  <si>
    <t>400012|410012</t>
  </si>
  <si>
    <t>攻</t>
  </si>
  <si>
    <t>刘备</t>
  </si>
  <si>
    <t>sp_hero_liubei</t>
  </si>
  <si>
    <t>100,51170|101,4950|102,600|132,100</t>
  </si>
  <si>
    <t>400003|410003</t>
  </si>
  <si>
    <t>曹操</t>
  </si>
  <si>
    <t>P_shaseng</t>
  </si>
  <si>
    <t>400011|410011</t>
  </si>
  <si>
    <t>孙权</t>
  </si>
  <si>
    <t>P_tongbiyuanhou</t>
  </si>
  <si>
    <t>400007|410007</t>
  </si>
  <si>
    <t>关羽</t>
  </si>
  <si>
    <t>sp_hero_guanyu</t>
  </si>
  <si>
    <t>400004|410004</t>
  </si>
  <si>
    <t>吕布</t>
  </si>
  <si>
    <t>P_qitiandasheng</t>
  </si>
  <si>
    <t>400009|410009</t>
  </si>
  <si>
    <t>貂蝉</t>
  </si>
  <si>
    <t>P_diaochan</t>
  </si>
  <si>
    <t>400010|410010</t>
  </si>
  <si>
    <t>诸葛亮</t>
  </si>
  <si>
    <t>P_taishanglaojun</t>
  </si>
  <si>
    <t>400002|410002</t>
  </si>
  <si>
    <t>周瑜</t>
  </si>
  <si>
    <t>P_huodexingjun</t>
  </si>
  <si>
    <t>400006|410006</t>
  </si>
  <si>
    <t>据点第一章</t>
  </si>
  <si>
    <t>101,40|102,4|100,500|132,100</t>
  </si>
  <si>
    <t>据点第二章</t>
  </si>
  <si>
    <t>101,349|102,21|100,4578|132,300</t>
  </si>
  <si>
    <t>101,328|102,23|100,4796|132,300</t>
  </si>
  <si>
    <t>101,426|102,18|100,4360|132,300</t>
  </si>
  <si>
    <t>据点第三章</t>
  </si>
  <si>
    <t>101,779|102,44|100,10469|132,600</t>
  </si>
  <si>
    <t>101,732|102,48|100,10967|132,600</t>
  </si>
  <si>
    <t>101,950|102,37|100,9970|132,600</t>
  </si>
  <si>
    <t>据点第四章</t>
  </si>
  <si>
    <t>101,1501|102,81|100,20433|132,1200</t>
  </si>
  <si>
    <t>101,1409|102,89|100,21406|132,1200</t>
  </si>
  <si>
    <t>101,1830|102,69|100,19460|132,1200</t>
  </si>
  <si>
    <t>据点第五章</t>
  </si>
  <si>
    <t>101,2306|102,123|100,31563|132,1800</t>
  </si>
  <si>
    <t>101,2165|102,134|100,33066|132,1800</t>
  </si>
  <si>
    <t>101,21232|102,104|100,30060|132,1800</t>
  </si>
  <si>
    <t>据点第六章</t>
  </si>
  <si>
    <t>101,3496|102,184|100,418448|132,2200</t>
  </si>
  <si>
    <t>101,3283|102,201|100,50441|132,2200</t>
  </si>
  <si>
    <t>101,4264|102,156|100,45855|132,2200</t>
  </si>
  <si>
    <t>石油怪1</t>
  </si>
  <si>
    <t>MonsterText13</t>
  </si>
  <si>
    <t>等级{0}远程火箭炮车</t>
  </si>
  <si>
    <t>默默于野域，保卫着油井的生机。风雨无阻，超越千里，只为守住黑金的璀璨。强大的武器，在挑战中坚守，点亮安全的灯塔，守护战线，为未来开路</t>
  </si>
  <si>
    <t>1,10</t>
  </si>
  <si>
    <t>1,10000</t>
  </si>
  <si>
    <t>1,1000001|4,1000076</t>
  </si>
  <si>
    <t>1,3008|2,3009|3,3006</t>
  </si>
  <si>
    <t>npc_avatar_small_19</t>
  </si>
  <si>
    <t>sandtable_icon_longrange</t>
  </si>
  <si>
    <t>monster1</t>
  </si>
  <si>
    <t>0|28956</t>
  </si>
  <si>
    <t>28956|39177</t>
  </si>
  <si>
    <t>39177|1999999999</t>
  </si>
  <si>
    <t>石油怪2</t>
  </si>
  <si>
    <t>1,1000002|4,1000077</t>
  </si>
  <si>
    <t>0|53633</t>
  </si>
  <si>
    <t>53633|72562</t>
  </si>
  <si>
    <t>72562|1999999999</t>
  </si>
  <si>
    <t>石油怪3</t>
  </si>
  <si>
    <t>1,1000003|4,1000078</t>
  </si>
  <si>
    <t>0|90191</t>
  </si>
  <si>
    <t>90191|122024</t>
  </si>
  <si>
    <t>122024|1999999999</t>
  </si>
  <si>
    <t>石油怪4</t>
  </si>
  <si>
    <t>1,1000004|4,1000079</t>
  </si>
  <si>
    <t>0|135440</t>
  </si>
  <si>
    <t>135440|183243</t>
  </si>
  <si>
    <t>183243|1999999999</t>
  </si>
  <si>
    <t>石油怪5</t>
  </si>
  <si>
    <t>1,1000005|4,1000080</t>
  </si>
  <si>
    <t>0|195845</t>
  </si>
  <si>
    <t>195845|264968</t>
  </si>
  <si>
    <t>264968|1999999999</t>
  </si>
  <si>
    <t>石油怪6</t>
  </si>
  <si>
    <t>1,1000006|4,1000081</t>
  </si>
  <si>
    <t>monster2</t>
  </si>
  <si>
    <t>0|266410</t>
  </si>
  <si>
    <t>266410|360437</t>
  </si>
  <si>
    <t>360437|1999999999</t>
  </si>
  <si>
    <t>石油怪7</t>
  </si>
  <si>
    <t>1,1000007|4,1000082</t>
  </si>
  <si>
    <t>0|355294</t>
  </si>
  <si>
    <t>355294|480691</t>
  </si>
  <si>
    <t>480691|1999999999</t>
  </si>
  <si>
    <t>石油怪8</t>
  </si>
  <si>
    <t>1,1000008|4,1000083</t>
  </si>
  <si>
    <t>0|497685</t>
  </si>
  <si>
    <t>497685|673338</t>
  </si>
  <si>
    <t>673338|1999999999</t>
  </si>
  <si>
    <t>石油怪9</t>
  </si>
  <si>
    <t>1,1000009|4,1000084</t>
  </si>
  <si>
    <t>0|572544</t>
  </si>
  <si>
    <t>572544|774619</t>
  </si>
  <si>
    <t>774619|1999999999</t>
  </si>
  <si>
    <t>石油怪10</t>
  </si>
  <si>
    <t>1,1000010|4,1000085</t>
  </si>
  <si>
    <t>0|646600</t>
  </si>
  <si>
    <t>646600|874813</t>
  </si>
  <si>
    <t>874813|1999999999</t>
  </si>
  <si>
    <t>石油怪11</t>
  </si>
  <si>
    <t>1,1000011|4,1000086</t>
  </si>
  <si>
    <t>0|743847</t>
  </si>
  <si>
    <t>743847|1006382</t>
  </si>
  <si>
    <t>1006382|1999999999</t>
  </si>
  <si>
    <t>石油怪12</t>
  </si>
  <si>
    <t>1,1000012|4,1000087</t>
  </si>
  <si>
    <t>0|894386</t>
  </si>
  <si>
    <t>894386|1210051</t>
  </si>
  <si>
    <t>1210051|1999999999</t>
  </si>
  <si>
    <t>石油怪13</t>
  </si>
  <si>
    <t>1,1000013|4,1000088</t>
  </si>
  <si>
    <t>0|1334490</t>
  </si>
  <si>
    <t>1334490|1805487</t>
  </si>
  <si>
    <t>1805487|1999999999</t>
  </si>
  <si>
    <t>石油怪14</t>
  </si>
  <si>
    <t>1,1000014|4,1000089</t>
  </si>
  <si>
    <t>0|1658854</t>
  </si>
  <si>
    <t>2244331|1999999999</t>
  </si>
  <si>
    <t>石油怪15</t>
  </si>
  <si>
    <t>1,1000015|4,1000090</t>
  </si>
  <si>
    <t>0|1889413</t>
  </si>
  <si>
    <t>1889413|2556264</t>
  </si>
  <si>
    <t>2556264|1999999999</t>
  </si>
  <si>
    <t>石油怪16</t>
  </si>
  <si>
    <t>1,1000016|4,1000091</t>
  </si>
  <si>
    <t>monster3</t>
  </si>
  <si>
    <t>0|2279445</t>
  </si>
  <si>
    <t>2279445|3083956</t>
  </si>
  <si>
    <t>3083956|1999999999</t>
  </si>
  <si>
    <t>石油怪17</t>
  </si>
  <si>
    <t>1,1000017|4,1000092</t>
  </si>
  <si>
    <t>0|2978094</t>
  </si>
  <si>
    <t>2978094|4029186</t>
  </si>
  <si>
    <t>4029186|1999999999</t>
  </si>
  <si>
    <t>石油怪18</t>
  </si>
  <si>
    <t>1,1000018|4,1000093</t>
  </si>
  <si>
    <t>0|3524462</t>
  </si>
  <si>
    <t>3524462|4768389</t>
  </si>
  <si>
    <t>4768389|1999999999</t>
  </si>
  <si>
    <t>石油怪19</t>
  </si>
  <si>
    <t>1,1000019|4,1000094</t>
  </si>
  <si>
    <t>0|4156749</t>
  </si>
  <si>
    <t>4156749|5623836</t>
  </si>
  <si>
    <t>5623836|1999999999</t>
  </si>
  <si>
    <t>石油怪20</t>
  </si>
  <si>
    <t>1,1000020|4,1000095</t>
  </si>
  <si>
    <t>0|5519713</t>
  </si>
  <si>
    <t>5519713|7467848</t>
  </si>
  <si>
    <t>7467848|1999999999</t>
  </si>
  <si>
    <t>石油怪21</t>
  </si>
  <si>
    <t>1,1000021|4,1000096</t>
  </si>
  <si>
    <t>0|6065231</t>
  </si>
  <si>
    <t>6065231|8205900</t>
  </si>
  <si>
    <t>8205900|1999999999</t>
  </si>
  <si>
    <t>石油怪22</t>
  </si>
  <si>
    <t>1,1000022|4,1000097</t>
  </si>
  <si>
    <t>0|6610748</t>
  </si>
  <si>
    <t>6610748|8943953</t>
  </si>
  <si>
    <t>8943953|1999999999</t>
  </si>
  <si>
    <t>石油怪23</t>
  </si>
  <si>
    <t>1,1000023|4,1000098</t>
  </si>
  <si>
    <t>0|7156265</t>
  </si>
  <si>
    <t>7156265|9682006</t>
  </si>
  <si>
    <t>9682006|1999999999</t>
  </si>
  <si>
    <t>石油怪24</t>
  </si>
  <si>
    <t>1,1000024|4,1000099</t>
  </si>
  <si>
    <t>0|7701782</t>
  </si>
  <si>
    <t>7701782|10420059</t>
  </si>
  <si>
    <t>10420059|1999999999</t>
  </si>
  <si>
    <t>石油怪25</t>
  </si>
  <si>
    <t>1,1000025|4,1000100</t>
  </si>
  <si>
    <t>0|8247300</t>
  </si>
  <si>
    <t>8247300|11158111</t>
  </si>
  <si>
    <t>11158111|1999999999</t>
  </si>
  <si>
    <t>铁矿怪1</t>
  </si>
  <si>
    <t>MonsterText14</t>
  </si>
  <si>
    <t>等级{0}反坦克导弹车</t>
  </si>
  <si>
    <t>MonsterText17</t>
  </si>
  <si>
    <t>坚守在铁矿的峡谷之间，守护着硬朗的生命线。在辽阔险峻中，宛如铁血卫士，勇往直前。用雷霆的力量，驱散挑战，光芒战舰，执着尽职，为铁矿场带来宁静的保障。</t>
  </si>
  <si>
    <t>1,1000026|4,1000101</t>
  </si>
  <si>
    <t>npc_avatar_small_6</t>
  </si>
  <si>
    <t>sandtable_icon_antitank</t>
  </si>
  <si>
    <t>monster4</t>
  </si>
  <si>
    <t>铁矿怪2</t>
  </si>
  <si>
    <t>1,1000027|4,1000102</t>
  </si>
  <si>
    <t>铁矿怪3</t>
  </si>
  <si>
    <t>1,1000028|4,1000103</t>
  </si>
  <si>
    <t>铁矿怪4</t>
  </si>
  <si>
    <t>1,1000029|4,1000104</t>
  </si>
  <si>
    <t>铁矿怪5</t>
  </si>
  <si>
    <t>1,1000030|4,1000105</t>
  </si>
  <si>
    <t>铁矿怪6</t>
  </si>
  <si>
    <t>1,1000031|4,1000106</t>
  </si>
  <si>
    <t>monster5</t>
  </si>
  <si>
    <t>铁矿怪7</t>
  </si>
  <si>
    <t>1,1000032|4,1000107</t>
  </si>
  <si>
    <t>铁矿怪8</t>
  </si>
  <si>
    <t>1,1000033|4,1000108</t>
  </si>
  <si>
    <t>铁矿怪9</t>
  </si>
  <si>
    <t>1,1000034|4,1000109</t>
  </si>
  <si>
    <t>铁矿怪10</t>
  </si>
  <si>
    <t>1,1000035|4,1000110</t>
  </si>
  <si>
    <t>铁矿怪11</t>
  </si>
  <si>
    <t>1,1000036|4,1000111</t>
  </si>
  <si>
    <t>铁矿怪12</t>
  </si>
  <si>
    <t>1,1000037|4,1000112</t>
  </si>
  <si>
    <t>铁矿怪13</t>
  </si>
  <si>
    <t>1,1000038|4,1000113</t>
  </si>
  <si>
    <t>铁矿怪14</t>
  </si>
  <si>
    <t>1,1000039|4,1000114</t>
  </si>
  <si>
    <t>1658854|2244331</t>
  </si>
  <si>
    <t>铁矿怪15</t>
  </si>
  <si>
    <t>1,1000040|4,1000115</t>
  </si>
  <si>
    <t>铁矿怪16</t>
  </si>
  <si>
    <t>1,1000041|4,1000116</t>
  </si>
  <si>
    <t>monster6</t>
  </si>
  <si>
    <t>铁矿怪17</t>
  </si>
  <si>
    <t>1,1000042|4,1000117</t>
  </si>
  <si>
    <t>铁矿怪18</t>
  </si>
  <si>
    <t>1,1000043|4,1000118</t>
  </si>
  <si>
    <t>铁矿怪19</t>
  </si>
  <si>
    <t>1,1000044|4,1000119</t>
  </si>
  <si>
    <t>铁矿怪20</t>
  </si>
  <si>
    <t>1,1000045|4,1000120</t>
  </si>
  <si>
    <t>铁矿怪21</t>
  </si>
  <si>
    <t>1,1000046|4,1000121</t>
  </si>
  <si>
    <t>铁矿怪22</t>
  </si>
  <si>
    <t>1,1000047|4,1000122</t>
  </si>
  <si>
    <t>铁矿怪23</t>
  </si>
  <si>
    <t>1,1000048|4,1000123</t>
  </si>
  <si>
    <t>铁矿怪24</t>
  </si>
  <si>
    <t>1,1000049|4,1000124</t>
  </si>
  <si>
    <t>铁矿怪25</t>
  </si>
  <si>
    <t>1,1000050|4,1000125</t>
  </si>
  <si>
    <t>金币怪1</t>
  </si>
  <si>
    <t>MonsterText15</t>
  </si>
  <si>
    <t>等级{0}G15轻型坦克</t>
  </si>
  <si>
    <t>MonsterText18</t>
  </si>
  <si>
    <t>默然立于金矿之巅，虔诚捍卫金色的希望。穿越挑战与危机，笃定而坚毅。温柔的巨兽，用坚不可摧的韧性，风雨同行，守护金砖，抵御风暴，照亮矿山的星光。只为温暖的希望，默默守护无声的金矿</t>
  </si>
  <si>
    <t>1,1000051|4,1000126</t>
  </si>
  <si>
    <t>npc_avatar_small_3</t>
  </si>
  <si>
    <t>sandtable_icon_g15</t>
  </si>
  <si>
    <t>monster7</t>
  </si>
  <si>
    <t>金币怪2</t>
  </si>
  <si>
    <t>1,1000052|4,1000127</t>
  </si>
  <si>
    <t>金币怪3</t>
  </si>
  <si>
    <t>1,1000053|4,1000128</t>
  </si>
  <si>
    <t>金币怪4</t>
  </si>
  <si>
    <t>1,1000054|4,1000129</t>
  </si>
  <si>
    <t>金币怪5</t>
  </si>
  <si>
    <t>1,1000055|4,1000130</t>
  </si>
  <si>
    <t>金币怪6</t>
  </si>
  <si>
    <t>1,1000056|4,1000131</t>
  </si>
  <si>
    <t>monster8</t>
  </si>
  <si>
    <t>金币怪7</t>
  </si>
  <si>
    <t>1,1000057|4,1000132</t>
  </si>
  <si>
    <t>金币怪8</t>
  </si>
  <si>
    <t>1,1000058|4,1000133</t>
  </si>
  <si>
    <t>金币怪9</t>
  </si>
  <si>
    <t>1,1000059|4,1000134</t>
  </si>
  <si>
    <t>金币怪10</t>
  </si>
  <si>
    <t>1,1000060|4,1000135</t>
  </si>
  <si>
    <t>金币怪11</t>
  </si>
  <si>
    <t>1,1000061|4,1000136</t>
  </si>
  <si>
    <t>金币怪12</t>
  </si>
  <si>
    <t>1,1000062|4,1000137</t>
  </si>
  <si>
    <t>金币怪13</t>
  </si>
  <si>
    <t>1,1000063|4,1000138</t>
  </si>
  <si>
    <t>金币怪14</t>
  </si>
  <si>
    <t>1,1000064|4,1000139</t>
  </si>
  <si>
    <t>金币怪15</t>
  </si>
  <si>
    <t>1,1000065|4,1000140</t>
  </si>
  <si>
    <t>金币怪16</t>
  </si>
  <si>
    <t>1,1000066|4,1000141</t>
  </si>
  <si>
    <t>monster9</t>
  </si>
  <si>
    <t>金币怪17</t>
  </si>
  <si>
    <t>1,1000067|4,1000142</t>
  </si>
  <si>
    <t>金币怪18</t>
  </si>
  <si>
    <t>1,1000068|4,1000143</t>
  </si>
  <si>
    <t>金币怪19</t>
  </si>
  <si>
    <t>1,1000069|4,1000144</t>
  </si>
  <si>
    <t>金币怪20</t>
  </si>
  <si>
    <t>1,1000070|4,1000145</t>
  </si>
  <si>
    <t>金币怪21</t>
  </si>
  <si>
    <t>1,1000071|4,1000146</t>
  </si>
  <si>
    <t>金币怪22</t>
  </si>
  <si>
    <t>1,1000072|4,1000147</t>
  </si>
  <si>
    <t>金币怪23</t>
  </si>
  <si>
    <t>1,1000073|4,1000148</t>
  </si>
  <si>
    <t>金币怪24</t>
  </si>
  <si>
    <t>1,1000074|4,1000149</t>
  </si>
  <si>
    <t>金币怪25</t>
  </si>
  <si>
    <t>1,1000075|4,1000150</t>
  </si>
  <si>
    <t>雷达任务怪1</t>
  </si>
  <si>
    <t>MonsterText20</t>
  </si>
  <si>
    <t>等级{0}赤色游骑兵</t>
  </si>
  <si>
    <t>MonsterText21</t>
  </si>
  <si>
    <t>黑暗军团精锐部队之一，拥有精良的装备，出色的作战能力。</t>
  </si>
  <si>
    <t>1,1000001</t>
  </si>
  <si>
    <t>boss_icon_1</t>
  </si>
  <si>
    <t>world_master_02</t>
  </si>
  <si>
    <t>0|204</t>
  </si>
  <si>
    <t>204|276</t>
  </si>
  <si>
    <t>276|1999999999</t>
  </si>
  <si>
    <t>雷达任务怪2</t>
  </si>
  <si>
    <t>1,1000002</t>
  </si>
  <si>
    <t>0|401</t>
  </si>
  <si>
    <t>401|542</t>
  </si>
  <si>
    <t>542|1999999999</t>
  </si>
  <si>
    <t>雷达任务怪3</t>
  </si>
  <si>
    <t>1,1000003</t>
  </si>
  <si>
    <t>0|561</t>
  </si>
  <si>
    <t>561|759</t>
  </si>
  <si>
    <t>759|1999999999</t>
  </si>
  <si>
    <t>雷达任务怪4</t>
  </si>
  <si>
    <t>1,1000004</t>
  </si>
  <si>
    <t>0|1173</t>
  </si>
  <si>
    <t>1173|1587</t>
  </si>
  <si>
    <t>1587|1999999999</t>
  </si>
  <si>
    <t>雷达任务怪5</t>
  </si>
  <si>
    <t>1,1000005</t>
  </si>
  <si>
    <t>0|1836</t>
  </si>
  <si>
    <t>1836|2484</t>
  </si>
  <si>
    <t>2484|1999999999</t>
  </si>
  <si>
    <t>雷达任务怪6</t>
  </si>
  <si>
    <t>1,1000006</t>
  </si>
  <si>
    <t>0|2868</t>
  </si>
  <si>
    <t>2868|3881</t>
  </si>
  <si>
    <t>3881|1999999999</t>
  </si>
  <si>
    <t>雷达任务怪7</t>
  </si>
  <si>
    <t>1,1000007</t>
  </si>
  <si>
    <t>0|3978</t>
  </si>
  <si>
    <t>3978|5382</t>
  </si>
  <si>
    <t>5382|1999999999</t>
  </si>
  <si>
    <t>雷达任务怪8</t>
  </si>
  <si>
    <t>1,1000008</t>
  </si>
  <si>
    <t>0|5852</t>
  </si>
  <si>
    <t>5852|7917</t>
  </si>
  <si>
    <t>7917|1999999999</t>
  </si>
  <si>
    <t>雷达任务怪9</t>
  </si>
  <si>
    <t>1,1000009</t>
  </si>
  <si>
    <t>0|14280</t>
  </si>
  <si>
    <t>14280|19320</t>
  </si>
  <si>
    <t>19320|1999999999</t>
  </si>
  <si>
    <t>雷达任务怪10</t>
  </si>
  <si>
    <t>1,1000010</t>
  </si>
  <si>
    <t>0|25882</t>
  </si>
  <si>
    <t>25882|35017</t>
  </si>
  <si>
    <t>35017|1999999999</t>
  </si>
  <si>
    <t>雷达任务怪11</t>
  </si>
  <si>
    <t>1,1000011</t>
  </si>
  <si>
    <t>0|36465</t>
  </si>
  <si>
    <t>36465|49335</t>
  </si>
  <si>
    <t>49335|1999999999</t>
  </si>
  <si>
    <t>雷达任务怪12</t>
  </si>
  <si>
    <t>1,1000012</t>
  </si>
  <si>
    <t>0|51382</t>
  </si>
  <si>
    <t>51382|69517</t>
  </si>
  <si>
    <t>69517|1999999999</t>
  </si>
  <si>
    <t>雷达任务怪13</t>
  </si>
  <si>
    <t>1,1000013</t>
  </si>
  <si>
    <t>0|70720</t>
  </si>
  <si>
    <t>70720|95680</t>
  </si>
  <si>
    <t>95680|1999999999</t>
  </si>
  <si>
    <t>雷达任务怪14</t>
  </si>
  <si>
    <t>1,1000014</t>
  </si>
  <si>
    <t>0|91162</t>
  </si>
  <si>
    <t>91162|123337</t>
  </si>
  <si>
    <t>123337|1999999999</t>
  </si>
  <si>
    <t>雷达任务怪15</t>
  </si>
  <si>
    <t>1,1000015</t>
  </si>
  <si>
    <t>0|112710</t>
  </si>
  <si>
    <t>112710|152490</t>
  </si>
  <si>
    <t>152490|1999999999</t>
  </si>
  <si>
    <t>雷达任务怪16</t>
  </si>
  <si>
    <t>1,1000016</t>
  </si>
  <si>
    <t>0|154700</t>
  </si>
  <si>
    <t>154700|209300</t>
  </si>
  <si>
    <t>209300|1999999999</t>
  </si>
  <si>
    <t>雷达任务怪17</t>
  </si>
  <si>
    <t>1,1000017</t>
  </si>
  <si>
    <t>0|207187</t>
  </si>
  <si>
    <t>207187|280312</t>
  </si>
  <si>
    <t>280312|1999999999</t>
  </si>
  <si>
    <t>雷达任务怪18</t>
  </si>
  <si>
    <t>1,1000018</t>
  </si>
  <si>
    <t>0|265200</t>
  </si>
  <si>
    <t>265200|358800</t>
  </si>
  <si>
    <t>358800|1999999999</t>
  </si>
  <si>
    <t>雷达任务怪19</t>
  </si>
  <si>
    <t>1,1000019</t>
  </si>
  <si>
    <t>0|405756</t>
  </si>
  <si>
    <t>405756|548964</t>
  </si>
  <si>
    <t>548964|1999999999</t>
  </si>
  <si>
    <t>雷达任务怪20</t>
  </si>
  <si>
    <t>1,1000020</t>
  </si>
  <si>
    <t>0|482310</t>
  </si>
  <si>
    <t>482310|652537</t>
  </si>
  <si>
    <t>652537|1999999999</t>
  </si>
  <si>
    <t>雷达任务怪21</t>
  </si>
  <si>
    <t>1,1000021</t>
  </si>
  <si>
    <t>0|556920</t>
  </si>
  <si>
    <t>556920|753480</t>
  </si>
  <si>
    <t>753480|1999999999</t>
  </si>
  <si>
    <t>雷达任务怪22</t>
  </si>
  <si>
    <t>1,1000022</t>
  </si>
  <si>
    <t>0|803058</t>
  </si>
  <si>
    <t>803058|1086491</t>
  </si>
  <si>
    <t>1086491|1999999999</t>
  </si>
  <si>
    <t>雷达任务怪23</t>
  </si>
  <si>
    <t>1,1000023</t>
  </si>
  <si>
    <t>0|986212</t>
  </si>
  <si>
    <t>986212|1334287</t>
  </si>
  <si>
    <t>1334287|1999999999</t>
  </si>
  <si>
    <t>雷达任务怪24</t>
  </si>
  <si>
    <t>1,1000024</t>
  </si>
  <si>
    <t>0|1149642</t>
  </si>
  <si>
    <t>1149642|1555398</t>
  </si>
  <si>
    <t>1555398|1999999999</t>
  </si>
  <si>
    <t>雷达任务怪25</t>
  </si>
  <si>
    <t>1,1000025</t>
  </si>
  <si>
    <t>0|1479318</t>
  </si>
  <si>
    <t>1479318|2001431</t>
  </si>
  <si>
    <t>2001431|1999999999</t>
  </si>
  <si>
    <t>雷达任务怪26</t>
  </si>
  <si>
    <t>雷达任务怪27</t>
  </si>
  <si>
    <t>雷达任务怪28</t>
  </si>
  <si>
    <t>雷达任务怪29</t>
  </si>
  <si>
    <t>雷达任务怪30</t>
  </si>
  <si>
    <t>集结怪1</t>
  </si>
  <si>
    <t>MonsterText22</t>
  </si>
  <si>
    <t>等级{0}赤色精英</t>
  </si>
  <si>
    <t>MonsterText23</t>
  </si>
  <si>
    <t>赤色精英是黑暗军团的强力战斗单位，需要集结多支部队才能战胜他们！</t>
  </si>
  <si>
    <t>2,20|3,0</t>
  </si>
  <si>
    <t>2,10000|3,0</t>
  </si>
  <si>
    <t>2,1001001|3,1002001</t>
  </si>
  <si>
    <t>npc_avatar_small_21</t>
  </si>
  <si>
    <t>rallyboss_icon_1</t>
  </si>
  <si>
    <t>monster10</t>
  </si>
  <si>
    <t>0|96905</t>
  </si>
  <si>
    <t>96905|131108</t>
  </si>
  <si>
    <t>131108|1999999999</t>
  </si>
  <si>
    <t>2001,1,100000</t>
  </si>
  <si>
    <t>MonsterText25</t>
  </si>
  <si>
    <t>集结怪2</t>
  </si>
  <si>
    <t>2,1001002|3,1002002</t>
  </si>
  <si>
    <t>0|134299</t>
  </si>
  <si>
    <t>134299|181698</t>
  </si>
  <si>
    <t>181698|1999999999</t>
  </si>
  <si>
    <t>2001,2,100000</t>
  </si>
  <si>
    <t>集结怪3</t>
  </si>
  <si>
    <t>2,1001003|3,1002003</t>
  </si>
  <si>
    <t>0|181427</t>
  </si>
  <si>
    <t>181427|245460</t>
  </si>
  <si>
    <t>245460|1999999999</t>
  </si>
  <si>
    <t>2001,3,100000</t>
  </si>
  <si>
    <t>集结怪4</t>
  </si>
  <si>
    <t>2,1001004|3,1002004</t>
  </si>
  <si>
    <t>0|228667</t>
  </si>
  <si>
    <t>228667|309374</t>
  </si>
  <si>
    <t>309374|1999999999</t>
  </si>
  <si>
    <t>2001,4,100000</t>
  </si>
  <si>
    <t>集结怪5</t>
  </si>
  <si>
    <t>2,1001005|3,1002005</t>
  </si>
  <si>
    <t>0|301823</t>
  </si>
  <si>
    <t>301823|408350</t>
  </si>
  <si>
    <t>408350|1999999999</t>
  </si>
  <si>
    <t>2001,5,100000</t>
  </si>
  <si>
    <t>集结怪6</t>
  </si>
  <si>
    <t>2,1001006|3,1002006</t>
  </si>
  <si>
    <t>0|392762</t>
  </si>
  <si>
    <t>392762|531385</t>
  </si>
  <si>
    <t>531385|1999999999</t>
  </si>
  <si>
    <t>2001,6,100000</t>
  </si>
  <si>
    <t>集结怪7</t>
  </si>
  <si>
    <t>2,1001007|3,1002007</t>
  </si>
  <si>
    <t>0|469293</t>
  </si>
  <si>
    <t>469293|634926</t>
  </si>
  <si>
    <t>634926|1999999999</t>
  </si>
  <si>
    <t>2001,7,100000</t>
  </si>
  <si>
    <t>集结怪8</t>
  </si>
  <si>
    <t>2,1001008|3,1002008</t>
  </si>
  <si>
    <t>0|610782</t>
  </si>
  <si>
    <t>610782|826353</t>
  </si>
  <si>
    <t>826353|1999999999</t>
  </si>
  <si>
    <t>2001,8,100000</t>
  </si>
  <si>
    <t>集结怪9</t>
  </si>
  <si>
    <t>2,1001009|3,1002009</t>
  </si>
  <si>
    <t>0|705658</t>
  </si>
  <si>
    <t>705658|954713</t>
  </si>
  <si>
    <t>954713|1999999999</t>
  </si>
  <si>
    <t>2001,9,100000</t>
  </si>
  <si>
    <t>集结怪10</t>
  </si>
  <si>
    <t>2,1001010|3,1002010</t>
  </si>
  <si>
    <t>0|802397</t>
  </si>
  <si>
    <t>802397|1085596</t>
  </si>
  <si>
    <t>1085596|1999999999</t>
  </si>
  <si>
    <t>2001,10,100000</t>
  </si>
  <si>
    <t>集结怪11</t>
  </si>
  <si>
    <t>2,1001011|3,1002011</t>
  </si>
  <si>
    <t>0|926402</t>
  </si>
  <si>
    <t>926402|1253367</t>
  </si>
  <si>
    <t>1253367|1999999999</t>
  </si>
  <si>
    <t>2001,11,100000</t>
  </si>
  <si>
    <t>集结怪12</t>
  </si>
  <si>
    <t>2,1001012|3,1002012</t>
  </si>
  <si>
    <t>0|1123788</t>
  </si>
  <si>
    <t>1123788|1520419</t>
  </si>
  <si>
    <t>1520419|1999999999</t>
  </si>
  <si>
    <t>2001,12,100000</t>
  </si>
  <si>
    <t>集结怪13</t>
  </si>
  <si>
    <t>2,1001013|3,1002013</t>
  </si>
  <si>
    <t>0|1422440</t>
  </si>
  <si>
    <t>1422440|1924477</t>
  </si>
  <si>
    <t>1924477|1999999999</t>
  </si>
  <si>
    <t>2001,13,100000</t>
  </si>
  <si>
    <t>集结怪14</t>
  </si>
  <si>
    <t>2,1001014|3,1002014</t>
  </si>
  <si>
    <t>0|1684494</t>
  </si>
  <si>
    <t>1684494|2279021</t>
  </si>
  <si>
    <t>2279021|1999999999</t>
  </si>
  <si>
    <t>2001,14,100000</t>
  </si>
  <si>
    <t>集结怪15</t>
  </si>
  <si>
    <t>2,1001015|3,1002015</t>
  </si>
  <si>
    <t>0|2015102</t>
  </si>
  <si>
    <t>2015102|2726315</t>
  </si>
  <si>
    <t>2726315|1999999999</t>
  </si>
  <si>
    <t>2001,15,100000</t>
  </si>
  <si>
    <t>集结怪16</t>
  </si>
  <si>
    <t>2,1001016|3,1002016</t>
  </si>
  <si>
    <t>monster11</t>
  </si>
  <si>
    <t>0|2451150</t>
  </si>
  <si>
    <t>2451150|3316261</t>
  </si>
  <si>
    <t>3316261|1999999999</t>
  </si>
  <si>
    <t>2001,16,100000</t>
  </si>
  <si>
    <t>集结怪17</t>
  </si>
  <si>
    <t>2,1001017|3,1002017</t>
  </si>
  <si>
    <t>0|2975815</t>
  </si>
  <si>
    <t>2975815|4026102</t>
  </si>
  <si>
    <t>4026102|1999999999</t>
  </si>
  <si>
    <t>2001,17,100000</t>
  </si>
  <si>
    <t>集结怪18</t>
  </si>
  <si>
    <t>2,1001018|3,1002018</t>
  </si>
  <si>
    <t>0|3542138</t>
  </si>
  <si>
    <t>3542138|4792305</t>
  </si>
  <si>
    <t>4792305|1999999999</t>
  </si>
  <si>
    <t>2001,18,100000</t>
  </si>
  <si>
    <t>集结怪19</t>
  </si>
  <si>
    <t>2,1001019|3,1002019</t>
  </si>
  <si>
    <t>0|4193870</t>
  </si>
  <si>
    <t>4193870|5674059</t>
  </si>
  <si>
    <t>5674059|1999999999</t>
  </si>
  <si>
    <t>2001,19,100000</t>
  </si>
  <si>
    <t>集结怪20</t>
  </si>
  <si>
    <t>2,1001020|3,1002020</t>
  </si>
  <si>
    <t>0|5151334</t>
  </si>
  <si>
    <t>5151334|6969451</t>
  </si>
  <si>
    <t>6969451|1999999999</t>
  </si>
  <si>
    <t>2001,20,100000</t>
  </si>
  <si>
    <t>集结怪21</t>
  </si>
  <si>
    <t>2,1001021|3,1002021</t>
  </si>
  <si>
    <t>0|6111160</t>
  </si>
  <si>
    <t>6111160|8268040</t>
  </si>
  <si>
    <t>8268040|1999999999</t>
  </si>
  <si>
    <t>2001,21,100000</t>
  </si>
  <si>
    <t>集结怪22</t>
  </si>
  <si>
    <t>2,1001022|3,1002022</t>
  </si>
  <si>
    <t>0|6755303</t>
  </si>
  <si>
    <t>6755303|9139528</t>
  </si>
  <si>
    <t>9139528|1999999999</t>
  </si>
  <si>
    <t>2001,22,100000</t>
  </si>
  <si>
    <t>集结怪23</t>
  </si>
  <si>
    <t>2,1001023|3,1002023</t>
  </si>
  <si>
    <t>0|7353415</t>
  </si>
  <si>
    <t>7353415|9948738</t>
  </si>
  <si>
    <t>9948738|1999999999</t>
  </si>
  <si>
    <t>2001,23,100000</t>
  </si>
  <si>
    <t>集结怪24</t>
  </si>
  <si>
    <t>2,1001024|3,1002024</t>
  </si>
  <si>
    <t>0|7965001</t>
  </si>
  <si>
    <t>7965001|10776178</t>
  </si>
  <si>
    <t>10776178|1999999999</t>
  </si>
  <si>
    <t>2001,24,100000</t>
  </si>
  <si>
    <t>集结怪25</t>
  </si>
  <si>
    <t>2,1001025|3,1002025</t>
  </si>
  <si>
    <t>0|8897067</t>
  </si>
  <si>
    <t>8897067|12037208</t>
  </si>
  <si>
    <t>12037208|1999999999</t>
  </si>
  <si>
    <t>2001,25,100000</t>
  </si>
  <si>
    <t>集结怪26</t>
  </si>
  <si>
    <t>2,1001026|3,1002026</t>
  </si>
  <si>
    <t>0|9729020</t>
  </si>
  <si>
    <t>9729020|13162791</t>
  </si>
  <si>
    <t>13162791|1999999999</t>
  </si>
  <si>
    <t>2001,26,100000</t>
  </si>
  <si>
    <t>集结怪27</t>
  </si>
  <si>
    <t>2,1001027|3,1002027</t>
  </si>
  <si>
    <t>0|10436141</t>
  </si>
  <si>
    <t>10436141|14119486</t>
  </si>
  <si>
    <t>14119486|1999999999</t>
  </si>
  <si>
    <t>2001,27,100000</t>
  </si>
  <si>
    <t>集结怪28</t>
  </si>
  <si>
    <t>2,1001028|3,1002028</t>
  </si>
  <si>
    <t>0|11062123</t>
  </si>
  <si>
    <t>11062123|14966402</t>
  </si>
  <si>
    <t>14966402|1999999999</t>
  </si>
  <si>
    <t>2001,28,100000</t>
  </si>
  <si>
    <t>集结怪29</t>
  </si>
  <si>
    <t>2,1001029|3,1002029</t>
  </si>
  <si>
    <t>0|12204267</t>
  </si>
  <si>
    <t>12204267|16511656</t>
  </si>
  <si>
    <t>16511656|1999999999</t>
  </si>
  <si>
    <t>2001,29,100000</t>
  </si>
  <si>
    <t>集结怪30</t>
  </si>
  <si>
    <t>2,1001030|3,1002030</t>
  </si>
  <si>
    <t>0|12862919</t>
  </si>
  <si>
    <t>12862919|17402772</t>
  </si>
  <si>
    <t>17402772|1999999999</t>
  </si>
  <si>
    <t>2001,30,100000</t>
  </si>
  <si>
    <t>世界Boss1</t>
  </si>
  <si>
    <t>worldplay1</t>
  </si>
  <si>
    <t>A01-战争堡垒</t>
  </si>
  <si>
    <t>1,0</t>
  </si>
  <si>
    <t>npc_avatar_small_2</t>
  </si>
  <si>
    <t>world_massboss_01</t>
  </si>
  <si>
    <t>monster12</t>
  </si>
  <si>
    <t>0|1</t>
  </si>
  <si>
    <t>1|2</t>
  </si>
  <si>
    <t>2|1999999999</t>
  </si>
  <si>
    <t>worldplay50</t>
  </si>
  <si>
    <t>限时集结怪1</t>
  </si>
  <si>
    <t>activity_rallymonster3</t>
  </si>
  <si>
    <t>等级{0}武装警队</t>
  </si>
  <si>
    <t>activity_rallymonster4</t>
  </si>
  <si>
    <t>武装竞对是对抗黑暗军团的坚韧力量，需要集结多支部队才能战胜他们！</t>
  </si>
  <si>
    <t>2,1003001|3,1004001</t>
  </si>
  <si>
    <t>npc_avatar_small_22</t>
  </si>
  <si>
    <t>monster13</t>
  </si>
  <si>
    <t>限时集结怪2</t>
  </si>
  <si>
    <t>2,1003002|3,1004002</t>
  </si>
  <si>
    <t>限时集结怪3</t>
  </si>
  <si>
    <t>2,1003003|3,1004003</t>
  </si>
  <si>
    <t>限时集结怪4</t>
  </si>
  <si>
    <t>2,1003004|3,1004004</t>
  </si>
  <si>
    <t>限时集结怪5</t>
  </si>
  <si>
    <t>2,1003005|3,1004005</t>
  </si>
  <si>
    <t>限时集结怪6</t>
  </si>
  <si>
    <t>2,1003006|3,1004006</t>
  </si>
  <si>
    <t>限时集结怪7</t>
  </si>
  <si>
    <t>2,1003007|3,1004007</t>
  </si>
  <si>
    <t>限时集结怪8</t>
  </si>
  <si>
    <t>2,1003008|3,1004008</t>
  </si>
  <si>
    <t>限时集结怪9</t>
  </si>
  <si>
    <t>2,1003009|3,1004009</t>
  </si>
  <si>
    <t>限时集结怪10</t>
  </si>
  <si>
    <t>2,1003010|3,1004010</t>
  </si>
  <si>
    <t>限时集结怪11</t>
  </si>
  <si>
    <t>2,1003011|3,1004011</t>
  </si>
  <si>
    <t>限时集结怪12</t>
  </si>
  <si>
    <t>2,1003012|3,1004012</t>
  </si>
  <si>
    <t>限时集结怪13</t>
  </si>
  <si>
    <t>2,1003013|3,1004013</t>
  </si>
  <si>
    <t>限时集结怪14</t>
  </si>
  <si>
    <t>2,1003014|3,1004014</t>
  </si>
  <si>
    <t>限时集结怪15</t>
  </si>
  <si>
    <t>2,1003015|3,1004015</t>
  </si>
  <si>
    <t>限时集结怪16</t>
  </si>
  <si>
    <t>2,1003016|3,1004016</t>
  </si>
  <si>
    <t>monster18</t>
  </si>
  <si>
    <t>限时集结怪17</t>
  </si>
  <si>
    <t>2,1003017|3,1004017</t>
  </si>
  <si>
    <t>限时集结怪18</t>
  </si>
  <si>
    <t>2,1003018|3,1004018</t>
  </si>
  <si>
    <t>限时集结怪19</t>
  </si>
  <si>
    <t>2,1003019|3,1004019</t>
  </si>
  <si>
    <t>限时集结怪20</t>
  </si>
  <si>
    <t>2,1003020|3,1004020</t>
  </si>
  <si>
    <t>限时集结怪21</t>
  </si>
  <si>
    <t>2,1003021|3,1004021</t>
  </si>
  <si>
    <t>限时集结怪22</t>
  </si>
  <si>
    <t>2,1003022|3,1004022</t>
  </si>
  <si>
    <t>限时集结怪23</t>
  </si>
  <si>
    <t>2,1003023|3,1004023</t>
  </si>
  <si>
    <t>限时集结怪24</t>
  </si>
  <si>
    <t>2,1003024|3,1004024</t>
  </si>
  <si>
    <t>限时集结怪25</t>
  </si>
  <si>
    <t>2,1003025|3,1004025</t>
  </si>
  <si>
    <t>限时集结怪26</t>
  </si>
  <si>
    <t>2,1003026|3,1004026</t>
  </si>
  <si>
    <t>限时集结怪27</t>
  </si>
  <si>
    <t>2,1003027|3,1004027</t>
  </si>
  <si>
    <t>限时集结怪28</t>
  </si>
  <si>
    <t>2,1003028|3,1004028</t>
  </si>
  <si>
    <t>限时集结怪29</t>
  </si>
  <si>
    <t>2,1003029|3,1004029</t>
  </si>
  <si>
    <t>限时集结怪30</t>
  </si>
  <si>
    <t>2,1003030|3,1004030</t>
  </si>
  <si>
    <t>联盟Boss演练期1</t>
  </si>
  <si>
    <t>allianceboss30</t>
  </si>
  <si>
    <t>统帅护卫</t>
  </si>
  <si>
    <t>npc_avatar_small_23</t>
  </si>
  <si>
    <t>monster15</t>
  </si>
  <si>
    <t>1|1999999998</t>
  </si>
  <si>
    <t>1999999998|1999999999</t>
  </si>
  <si>
    <t>联盟Boss演练期2</t>
  </si>
  <si>
    <t>联盟Boss演练期3</t>
  </si>
  <si>
    <t>联盟Boss演练期4</t>
  </si>
  <si>
    <t>联盟Boss演练期5</t>
  </si>
  <si>
    <t>统帅试炼个人挑战难度一1</t>
  </si>
  <si>
    <t>commanderchallenge8</t>
  </si>
  <si>
    <t>纳塔莎(教官)</t>
  </si>
  <si>
    <t>commanderchallenge9</t>
  </si>
  <si>
    <t>来自纳塔莎军队的教官们肩负着把南瓜训练城勇敢帝国士兵的重任！</t>
  </si>
  <si>
    <t>1,10|2,20</t>
  </si>
  <si>
    <t>1,10000|2,10000|3,10000</t>
  </si>
  <si>
    <t>1,1100001|2,1100001|3,1100002</t>
  </si>
  <si>
    <t>npc_avatar_small_24</t>
  </si>
  <si>
    <t>monster16</t>
  </si>
  <si>
    <t>0|270167</t>
  </si>
  <si>
    <t>270167|365520</t>
  </si>
  <si>
    <t>365520|1999999999</t>
  </si>
  <si>
    <t>统帅试炼个人挑战难度一2</t>
  </si>
  <si>
    <t>0|283719</t>
  </si>
  <si>
    <t>283719|383856</t>
  </si>
  <si>
    <t>383856|1999999999</t>
  </si>
  <si>
    <t>统帅试炼个人挑战难度一3</t>
  </si>
  <si>
    <t>0|297192</t>
  </si>
  <si>
    <t>297192|402083</t>
  </si>
  <si>
    <t>402083|1999999999</t>
  </si>
  <si>
    <t>统帅试炼个人挑战难度一4</t>
  </si>
  <si>
    <t>0|310695</t>
  </si>
  <si>
    <t>310695|420352</t>
  </si>
  <si>
    <t>420352|1999999999</t>
  </si>
  <si>
    <t>统帅试炼个人挑战难度一5</t>
  </si>
  <si>
    <t>0|324153</t>
  </si>
  <si>
    <t>324153|438560</t>
  </si>
  <si>
    <t>438560|1999999999</t>
  </si>
  <si>
    <t>统帅试炼个人挑战难度一6</t>
  </si>
  <si>
    <t>0|337779</t>
  </si>
  <si>
    <t>337779|456996</t>
  </si>
  <si>
    <t>456996|1999999999</t>
  </si>
  <si>
    <t>统帅试炼个人挑战难度一7</t>
  </si>
  <si>
    <t>0|351183</t>
  </si>
  <si>
    <t>351183|475130</t>
  </si>
  <si>
    <t>475130|1999999999</t>
  </si>
  <si>
    <t>统帅试炼个人挑战难度一8</t>
  </si>
  <si>
    <t>0|364730</t>
  </si>
  <si>
    <t>364730|493459</t>
  </si>
  <si>
    <t>493459|1999999999</t>
  </si>
  <si>
    <t>统帅试炼个人挑战难度一9</t>
  </si>
  <si>
    <t>0|378218</t>
  </si>
  <si>
    <t>378218|511707</t>
  </si>
  <si>
    <t>511707|1999999999</t>
  </si>
  <si>
    <t>统帅试炼个人挑战难度一10</t>
  </si>
  <si>
    <t>0|391706</t>
  </si>
  <si>
    <t>391706|529955</t>
  </si>
  <si>
    <t>529955|1999999999</t>
  </si>
  <si>
    <t>统帅试炼个人挑战难度一11</t>
  </si>
  <si>
    <t>0|405332</t>
  </si>
  <si>
    <t>405332|548391</t>
  </si>
  <si>
    <t>548391|1999999999</t>
  </si>
  <si>
    <t>统帅试炼个人挑战难度一12</t>
  </si>
  <si>
    <t>0|418795</t>
  </si>
  <si>
    <t>418795|566606</t>
  </si>
  <si>
    <t>566606|1999999999</t>
  </si>
  <si>
    <t>统帅试炼个人挑战难度一13</t>
  </si>
  <si>
    <t>0|432283</t>
  </si>
  <si>
    <t>432283|584854</t>
  </si>
  <si>
    <t>584854|1999999999</t>
  </si>
  <si>
    <t>统帅试炼个人挑战难度一14</t>
  </si>
  <si>
    <t>0|445771</t>
  </si>
  <si>
    <t>445771|603102</t>
  </si>
  <si>
    <t>603102|1999999999</t>
  </si>
  <si>
    <t>统帅试炼个人挑战难度一15</t>
  </si>
  <si>
    <t>0|459318</t>
  </si>
  <si>
    <t>459318|621431</t>
  </si>
  <si>
    <t>621431|1999999999</t>
  </si>
  <si>
    <t>统帅试炼个人挑战难度一16</t>
  </si>
  <si>
    <t>0|472781</t>
  </si>
  <si>
    <t>472781|639646</t>
  </si>
  <si>
    <t>639646|1999999999</t>
  </si>
  <si>
    <t>统帅试炼个人挑战难度一17</t>
  </si>
  <si>
    <t>0|486348</t>
  </si>
  <si>
    <t>486348|658001</t>
  </si>
  <si>
    <t>658001|1999999999</t>
  </si>
  <si>
    <t>统帅试炼个人挑战难度一18</t>
  </si>
  <si>
    <t>0|499806</t>
  </si>
  <si>
    <t>499806|676209</t>
  </si>
  <si>
    <t>676209|1999999999</t>
  </si>
  <si>
    <t>统帅试炼个人挑战难度一19</t>
  </si>
  <si>
    <t>0|513309</t>
  </si>
  <si>
    <t>513309|694478</t>
  </si>
  <si>
    <t>694478|1999999999</t>
  </si>
  <si>
    <t>统帅试炼个人挑战难度一20</t>
  </si>
  <si>
    <t>0|526782</t>
  </si>
  <si>
    <t>526782|712705</t>
  </si>
  <si>
    <t>712705|1999999999</t>
  </si>
  <si>
    <t>统帅试炼个人挑战难度一21</t>
  </si>
  <si>
    <t>0|540334</t>
  </si>
  <si>
    <t>540334|731041</t>
  </si>
  <si>
    <t>731041|1999999999</t>
  </si>
  <si>
    <t>统帅试炼个人挑战难度一22</t>
  </si>
  <si>
    <t>0|643070</t>
  </si>
  <si>
    <t>643070|870035</t>
  </si>
  <si>
    <t>870035|1999999999</t>
  </si>
  <si>
    <t>统帅试炼个人挑战难度一23</t>
  </si>
  <si>
    <t>0|745805</t>
  </si>
  <si>
    <t>745805|1009030</t>
  </si>
  <si>
    <t>1009030|1999999999</t>
  </si>
  <si>
    <t>统帅试炼个人挑战难度一24</t>
  </si>
  <si>
    <t>0|848540</t>
  </si>
  <si>
    <t>848540|1148025</t>
  </si>
  <si>
    <t>1148025|1999999999</t>
  </si>
  <si>
    <t>统帅试炼个人挑战难度一25</t>
  </si>
  <si>
    <t>0|951275</t>
  </si>
  <si>
    <t>951275|1287020</t>
  </si>
  <si>
    <t>1287020|1999999999</t>
  </si>
  <si>
    <t>统帅试炼个人挑战难度一26</t>
  </si>
  <si>
    <t>0|1054011</t>
  </si>
  <si>
    <t>1054011|1426014</t>
  </si>
  <si>
    <t>1426014|1999999999</t>
  </si>
  <si>
    <t>统帅试炼个人挑战难度一27</t>
  </si>
  <si>
    <t>0|1156746</t>
  </si>
  <si>
    <t>1156746|1565009</t>
  </si>
  <si>
    <t>1565009|1999999999</t>
  </si>
  <si>
    <t>统帅试炼个人挑战难度一28</t>
  </si>
  <si>
    <t>0|1259481</t>
  </si>
  <si>
    <t>1259481|1704004</t>
  </si>
  <si>
    <t>1704004|1999999999</t>
  </si>
  <si>
    <t>统帅试炼个人挑战难度一29</t>
  </si>
  <si>
    <t>0|1362216</t>
  </si>
  <si>
    <t>1362216|1842999</t>
  </si>
  <si>
    <t>1842999|1999999999</t>
  </si>
  <si>
    <t>统帅试炼个人挑战难度一30</t>
  </si>
  <si>
    <t>0|1464388</t>
  </si>
  <si>
    <t>1464388|1981231</t>
  </si>
  <si>
    <t>1981231|1999999999</t>
  </si>
  <si>
    <t>统帅试炼个人挑战难度二1</t>
  </si>
  <si>
    <t>统帅试炼个人挑战难度二2</t>
  </si>
  <si>
    <t>统帅试炼个人挑战难度二3</t>
  </si>
  <si>
    <t>统帅试炼个人挑战难度二4</t>
  </si>
  <si>
    <t>统帅试炼个人挑战难度二5</t>
  </si>
  <si>
    <t>统帅试炼个人挑战难度二6</t>
  </si>
  <si>
    <t>统帅试炼个人挑战难度二7</t>
  </si>
  <si>
    <t>统帅试炼个人挑战难度二8</t>
  </si>
  <si>
    <t>统帅试炼个人挑战难度二9</t>
  </si>
  <si>
    <t>统帅试炼个人挑战难度二10</t>
  </si>
  <si>
    <t>统帅试炼个人挑战难度二11</t>
  </si>
  <si>
    <t>统帅试炼个人挑战难度二12</t>
  </si>
  <si>
    <t>统帅试炼个人挑战难度二13</t>
  </si>
  <si>
    <t>统帅试炼个人挑战难度二14</t>
  </si>
  <si>
    <t>统帅试炼个人挑战难度二15</t>
  </si>
  <si>
    <t>统帅试炼个人挑战难度二16</t>
  </si>
  <si>
    <t>统帅试炼个人挑战难度二17</t>
  </si>
  <si>
    <t>统帅试炼个人挑战难度二18</t>
  </si>
  <si>
    <t>统帅试炼个人挑战难度二19</t>
  </si>
  <si>
    <t>统帅试炼个人挑战难度二20</t>
  </si>
  <si>
    <t>统帅试炼个人挑战难度二21</t>
  </si>
  <si>
    <t>统帅试炼个人挑战难度二22</t>
  </si>
  <si>
    <t>0|1601281</t>
  </si>
  <si>
    <t>1601281|2166439</t>
  </si>
  <si>
    <t>2166439|1999999999</t>
  </si>
  <si>
    <t>统帅试炼个人挑战难度二23</t>
  </si>
  <si>
    <t>0|1738173</t>
  </si>
  <si>
    <t>1738173|2351646</t>
  </si>
  <si>
    <t>2351646|1999999999</t>
  </si>
  <si>
    <t>统帅试炼个人挑战难度二24</t>
  </si>
  <si>
    <t>0|1875066</t>
  </si>
  <si>
    <t>1875066|2536854</t>
  </si>
  <si>
    <t>2536854|1999999999</t>
  </si>
  <si>
    <t>统帅试炼个人挑战难度二25</t>
  </si>
  <si>
    <t>0|2011958</t>
  </si>
  <si>
    <t>2011958|2722061</t>
  </si>
  <si>
    <t>2722061|1999999999</t>
  </si>
  <si>
    <t>统帅试炼个人挑战难度二26</t>
  </si>
  <si>
    <t>0|2148851</t>
  </si>
  <si>
    <t>2148851|2907269</t>
  </si>
  <si>
    <t>2907269|1999999999</t>
  </si>
  <si>
    <t>统帅试炼个人挑战难度二27</t>
  </si>
  <si>
    <t>0|2285743</t>
  </si>
  <si>
    <t>2285743|3092476</t>
  </si>
  <si>
    <t>3092476|1999999999</t>
  </si>
  <si>
    <t>统帅试炼个人挑战难度二28</t>
  </si>
  <si>
    <t>0|2422636</t>
  </si>
  <si>
    <t>2422636|3277684</t>
  </si>
  <si>
    <t>3277684|1999999999</t>
  </si>
  <si>
    <t>统帅试炼个人挑战难度二29</t>
  </si>
  <si>
    <t>0|2559528</t>
  </si>
  <si>
    <t>2559528|3462891</t>
  </si>
  <si>
    <t>3462891|1999999999</t>
  </si>
  <si>
    <t>统帅试炼个人挑战难度二30</t>
  </si>
  <si>
    <t>0|2696147</t>
  </si>
  <si>
    <t>2696147|3647728</t>
  </si>
  <si>
    <t>3647728|1999999999</t>
  </si>
  <si>
    <t>统帅试炼个人挑战难度三1</t>
  </si>
  <si>
    <t>统帅试炼个人挑战难度三2</t>
  </si>
  <si>
    <t>统帅试炼个人挑战难度三3</t>
  </si>
  <si>
    <t>统帅试炼个人挑战难度三4</t>
  </si>
  <si>
    <t>统帅试炼个人挑战难度三5</t>
  </si>
  <si>
    <t>统帅试炼个人挑战难度三6</t>
  </si>
  <si>
    <t>统帅试炼个人挑战难度三7</t>
  </si>
  <si>
    <t>统帅试炼个人挑战难度三8</t>
  </si>
  <si>
    <t>统帅试炼个人挑战难度三9</t>
  </si>
  <si>
    <t>统帅试炼个人挑战难度三10</t>
  </si>
  <si>
    <t>统帅试炼个人挑战难度三11</t>
  </si>
  <si>
    <t>统帅试炼个人挑战难度三12</t>
  </si>
  <si>
    <t>统帅试炼个人挑战难度三13</t>
  </si>
  <si>
    <t>统帅试炼个人挑战难度三14</t>
  </si>
  <si>
    <t>统帅试炼个人挑战难度三15</t>
  </si>
  <si>
    <t>统帅试炼个人挑战难度三16</t>
  </si>
  <si>
    <t>统帅试炼个人挑战难度三17</t>
  </si>
  <si>
    <t>统帅试炼个人挑战难度三18</t>
  </si>
  <si>
    <t>统帅试炼个人挑战难度三19</t>
  </si>
  <si>
    <t>统帅试炼个人挑战难度三20</t>
  </si>
  <si>
    <t>统帅试炼个人挑战难度三21</t>
  </si>
  <si>
    <t>统帅试炼个人挑战难度三22</t>
  </si>
  <si>
    <t>0|2909094</t>
  </si>
  <si>
    <t>2909094|3935833</t>
  </si>
  <si>
    <t>3935833|1999999999</t>
  </si>
  <si>
    <t>统帅试炼个人挑战难度三23</t>
  </si>
  <si>
    <t>0|3122041</t>
  </si>
  <si>
    <t>3122041|4223938</t>
  </si>
  <si>
    <t>4223938|1999999999</t>
  </si>
  <si>
    <t>统帅试炼个人挑战难度三24</t>
  </si>
  <si>
    <t>0|3334988</t>
  </si>
  <si>
    <t>3334988|4512043</t>
  </si>
  <si>
    <t>4512043|1999999999</t>
  </si>
  <si>
    <t>统帅试炼个人挑战难度三25</t>
  </si>
  <si>
    <t>0|3547935</t>
  </si>
  <si>
    <t>3547935|4800148</t>
  </si>
  <si>
    <t>4800148|1999999999</t>
  </si>
  <si>
    <t>统帅试炼个人挑战难度三26</t>
  </si>
  <si>
    <t>0|3760882</t>
  </si>
  <si>
    <t>3760882|5088253</t>
  </si>
  <si>
    <t>5088253|1999999999</t>
  </si>
  <si>
    <t>统帅试炼个人挑战难度三27</t>
  </si>
  <si>
    <t>0|3973829</t>
  </si>
  <si>
    <t>3973829|5376358</t>
  </si>
  <si>
    <t>5376358|1999999999</t>
  </si>
  <si>
    <t>统帅试炼个人挑战难度三28</t>
  </si>
  <si>
    <t>0|4186777</t>
  </si>
  <si>
    <t>4186777|5664463</t>
  </si>
  <si>
    <t>5664463|1999999999</t>
  </si>
  <si>
    <t>统帅试炼个人挑战难度三29</t>
  </si>
  <si>
    <t>0|4399724</t>
  </si>
  <si>
    <t>4399724|5952567</t>
  </si>
  <si>
    <t>5952567|1999999999</t>
  </si>
  <si>
    <t>统帅试炼个人挑战难度三30</t>
  </si>
  <si>
    <t>0|4613184</t>
  </si>
  <si>
    <t>4613184|6241367</t>
  </si>
  <si>
    <t>6241367|1999999999</t>
  </si>
  <si>
    <t>统帅试炼个人挑战难度四1</t>
  </si>
  <si>
    <t>统帅试炼个人挑战难度四2</t>
  </si>
  <si>
    <t>统帅试炼个人挑战难度四3</t>
  </si>
  <si>
    <t>统帅试炼个人挑战难度四4</t>
  </si>
  <si>
    <t>统帅试炼个人挑战难度四5</t>
  </si>
  <si>
    <t>统帅试炼个人挑战难度四6</t>
  </si>
  <si>
    <t>统帅试炼个人挑战难度四7</t>
  </si>
  <si>
    <t>统帅试炼个人挑战难度四8</t>
  </si>
  <si>
    <t>统帅试炼个人挑战难度四9</t>
  </si>
  <si>
    <t>统帅试炼个人挑战难度四10</t>
  </si>
  <si>
    <t>统帅试炼个人挑战难度四11</t>
  </si>
  <si>
    <t>统帅试炼个人挑战难度四12</t>
  </si>
  <si>
    <t>统帅试炼个人挑战难度四13</t>
  </si>
  <si>
    <t>统帅试炼个人挑战难度四14</t>
  </si>
  <si>
    <t>统帅试炼个人挑战难度四15</t>
  </si>
  <si>
    <t>统帅试炼个人挑战难度四16</t>
  </si>
  <si>
    <t>统帅试炼个人挑战难度四17</t>
  </si>
  <si>
    <t>统帅试炼个人挑战难度四18</t>
  </si>
  <si>
    <t>统帅试炼个人挑战难度四19</t>
  </si>
  <si>
    <t>统帅试炼个人挑战难度四20</t>
  </si>
  <si>
    <t>统帅试炼个人挑战难度四21</t>
  </si>
  <si>
    <t>统帅试炼个人挑战难度四22</t>
  </si>
  <si>
    <t>0|4881502</t>
  </si>
  <si>
    <t>4881502|6604385</t>
  </si>
  <si>
    <t>6604385|1999999999</t>
  </si>
  <si>
    <t>统帅试炼个人挑战难度四23</t>
  </si>
  <si>
    <t>0|5149820</t>
  </si>
  <si>
    <t>5149820|6967403</t>
  </si>
  <si>
    <t>6967403|1999999999</t>
  </si>
  <si>
    <t>统帅试炼个人挑战难度四24</t>
  </si>
  <si>
    <t>0|5418138</t>
  </si>
  <si>
    <t>5418138|7330422</t>
  </si>
  <si>
    <t>7330422|1999999999</t>
  </si>
  <si>
    <t>统帅试炼个人挑战难度四25</t>
  </si>
  <si>
    <t>0|5686455</t>
  </si>
  <si>
    <t>5686455|7693440</t>
  </si>
  <si>
    <t>7693440|1999999999</t>
  </si>
  <si>
    <t>统帅试炼个人挑战难度四26</t>
  </si>
  <si>
    <t>0|5954773</t>
  </si>
  <si>
    <t>5954773|8056458</t>
  </si>
  <si>
    <t>8056458|1999999999</t>
  </si>
  <si>
    <t>统帅试炼个人挑战难度四27</t>
  </si>
  <si>
    <t>0|6223091</t>
  </si>
  <si>
    <t>6223091|8419476</t>
  </si>
  <si>
    <t>8419476|1999999999</t>
  </si>
  <si>
    <t>统帅试炼个人挑战难度四28</t>
  </si>
  <si>
    <t>0|6491409</t>
  </si>
  <si>
    <t>6491409|8782494</t>
  </si>
  <si>
    <t>8782494|1999999999</t>
  </si>
  <si>
    <t>统帅试炼个人挑战难度四29</t>
  </si>
  <si>
    <t>0|6759727</t>
  </si>
  <si>
    <t>6759727|9145513</t>
  </si>
  <si>
    <t>9145513|1999999999</t>
  </si>
  <si>
    <t>统帅试炼个人挑战难度四30</t>
  </si>
  <si>
    <t>0|7027703</t>
  </si>
  <si>
    <t>7027703|9508068</t>
  </si>
  <si>
    <t>9508068|1999999999</t>
  </si>
  <si>
    <t>统帅试炼个人挑战难度五1</t>
  </si>
  <si>
    <t>统帅试炼个人挑战难度五2</t>
  </si>
  <si>
    <t>统帅试炼个人挑战难度五3</t>
  </si>
  <si>
    <t>统帅试炼个人挑战难度五4</t>
  </si>
  <si>
    <t>统帅试炼个人挑战难度五5</t>
  </si>
  <si>
    <t>统帅试炼个人挑战难度五6</t>
  </si>
  <si>
    <t>统帅试炼个人挑战难度五7</t>
  </si>
  <si>
    <t>统帅试炼个人挑战难度五8</t>
  </si>
  <si>
    <t>统帅试炼个人挑战难度五9</t>
  </si>
  <si>
    <t>统帅试炼个人挑战难度五10</t>
  </si>
  <si>
    <t>统帅试炼个人挑战难度五11</t>
  </si>
  <si>
    <t>统帅试炼个人挑战难度五12</t>
  </si>
  <si>
    <t>统帅试炼个人挑战难度五13</t>
  </si>
  <si>
    <t>统帅试炼个人挑战难度五14</t>
  </si>
  <si>
    <t>统帅试炼个人挑战难度五15</t>
  </si>
  <si>
    <t>统帅试炼个人挑战难度五16</t>
  </si>
  <si>
    <t>统帅试炼个人挑战难度五17</t>
  </si>
  <si>
    <t>统帅试炼个人挑战难度五18</t>
  </si>
  <si>
    <t>统帅试炼个人挑战难度五19</t>
  </si>
  <si>
    <t>统帅试炼个人挑战难度五20</t>
  </si>
  <si>
    <t>统帅试炼个人挑战难度五21</t>
  </si>
  <si>
    <t>统帅试炼个人挑战难度五22</t>
  </si>
  <si>
    <t>0|7353040</t>
  </si>
  <si>
    <t>7353040|9948231</t>
  </si>
  <si>
    <t>9948231|1999999999</t>
  </si>
  <si>
    <t>统帅试炼个人挑战难度五23</t>
  </si>
  <si>
    <t>0|7678378</t>
  </si>
  <si>
    <t>7678378|10388393</t>
  </si>
  <si>
    <t>10388393|1999999999</t>
  </si>
  <si>
    <t>统帅试炼个人挑战难度五24</t>
  </si>
  <si>
    <t>0|8003715</t>
  </si>
  <si>
    <t>8003715|10828556</t>
  </si>
  <si>
    <t>10828556|1999999999</t>
  </si>
  <si>
    <t>统帅试炼个人挑战难度五25</t>
  </si>
  <si>
    <t>0|8329053</t>
  </si>
  <si>
    <t>8329053|11268718</t>
  </si>
  <si>
    <t>11268718|1999999999</t>
  </si>
  <si>
    <t>统帅试炼个人挑战难度五26</t>
  </si>
  <si>
    <t>0|8654390</t>
  </si>
  <si>
    <t>8654390|11708881</t>
  </si>
  <si>
    <t>11708881|1999999999</t>
  </si>
  <si>
    <t>统帅试炼个人挑战难度五27</t>
  </si>
  <si>
    <t>0|8979728</t>
  </si>
  <si>
    <t>8979728|12149043</t>
  </si>
  <si>
    <t>12149043|1999999999</t>
  </si>
  <si>
    <t>统帅试炼个人挑战难度五28</t>
  </si>
  <si>
    <t>0|9305065</t>
  </si>
  <si>
    <t>9305065|12589206</t>
  </si>
  <si>
    <t>12589206|1999999999</t>
  </si>
  <si>
    <t>统帅试炼个人挑战难度五29</t>
  </si>
  <si>
    <t>0|9630403</t>
  </si>
  <si>
    <t>9630403|13029368</t>
  </si>
  <si>
    <t>13029368|1999999999</t>
  </si>
  <si>
    <t>统帅试炼个人挑战难度五30</t>
  </si>
  <si>
    <t>0|9956115</t>
  </si>
  <si>
    <t>9956115|13470038</t>
  </si>
  <si>
    <t>13470038|1999999999</t>
  </si>
  <si>
    <t>统帅试炼个人挑战难度六1</t>
  </si>
  <si>
    <t>统帅试炼个人挑战难度六2</t>
  </si>
  <si>
    <t>统帅试炼个人挑战难度六3</t>
  </si>
  <si>
    <t>统帅试炼个人挑战难度六4</t>
  </si>
  <si>
    <t>统帅试炼个人挑战难度六5</t>
  </si>
  <si>
    <t>统帅试炼个人挑战难度六6</t>
  </si>
  <si>
    <t>统帅试炼个人挑战难度六7</t>
  </si>
  <si>
    <t>统帅试炼个人挑战难度六8</t>
  </si>
  <si>
    <t>统帅试炼个人挑战难度六9</t>
  </si>
  <si>
    <t>统帅试炼个人挑战难度六10</t>
  </si>
  <si>
    <t>统帅试炼个人挑战难度六11</t>
  </si>
  <si>
    <t>统帅试炼个人挑战难度六12</t>
  </si>
  <si>
    <t>统帅试炼个人挑战难度六13</t>
  </si>
  <si>
    <t>统帅试炼个人挑战难度六14</t>
  </si>
  <si>
    <t>统帅试炼个人挑战难度六15</t>
  </si>
  <si>
    <t>统帅试炼个人挑战难度六16</t>
  </si>
  <si>
    <t>统帅试炼个人挑战难度六17</t>
  </si>
  <si>
    <t>统帅试炼个人挑战难度六18</t>
  </si>
  <si>
    <t>统帅试炼个人挑战难度六19</t>
  </si>
  <si>
    <t>0|10343980</t>
  </si>
  <si>
    <t>10343980|13994797</t>
  </si>
  <si>
    <t>13994797|1999999999</t>
  </si>
  <si>
    <t>统帅试炼个人挑战难度六20</t>
  </si>
  <si>
    <t>0|10731845</t>
  </si>
  <si>
    <t>10731845|14519556</t>
  </si>
  <si>
    <t>14519556|1999999999</t>
  </si>
  <si>
    <t>统帅试炼个人挑战难度六21</t>
  </si>
  <si>
    <t>0|11119711</t>
  </si>
  <si>
    <t>11119711|15044314</t>
  </si>
  <si>
    <t>15044314|1999999999</t>
  </si>
  <si>
    <t>统帅试炼个人挑战难度六22</t>
  </si>
  <si>
    <t>0|11507576</t>
  </si>
  <si>
    <t>11507576|15569073</t>
  </si>
  <si>
    <t>15569073|1999999999</t>
  </si>
  <si>
    <t>统帅试炼个人挑战难度六23</t>
  </si>
  <si>
    <t>0|11895441</t>
  </si>
  <si>
    <t>11895441|16093832</t>
  </si>
  <si>
    <t>16093832|1999999999</t>
  </si>
  <si>
    <t>统帅试炼个人挑战难度六24</t>
  </si>
  <si>
    <t>0|12283306</t>
  </si>
  <si>
    <t>12283306|16618591</t>
  </si>
  <si>
    <t>16618591|1999999999</t>
  </si>
  <si>
    <t>统帅试炼个人挑战难度六25</t>
  </si>
  <si>
    <t>0|12671171</t>
  </si>
  <si>
    <t>12671171|17143350</t>
  </si>
  <si>
    <t>17143350|1999999999</t>
  </si>
  <si>
    <t>统帅试炼个人挑战难度六26</t>
  </si>
  <si>
    <t>0|13059037</t>
  </si>
  <si>
    <t>13059037|17668108</t>
  </si>
  <si>
    <t>17668108|1999999999</t>
  </si>
  <si>
    <t>统帅试炼个人挑战难度六27</t>
  </si>
  <si>
    <t>0|13446902</t>
  </si>
  <si>
    <t>13446902|18192867</t>
  </si>
  <si>
    <t>18192867|1999999999</t>
  </si>
  <si>
    <t>统帅试炼个人挑战难度六28</t>
  </si>
  <si>
    <t>0|13834767</t>
  </si>
  <si>
    <t>13834767|18717626</t>
  </si>
  <si>
    <t>18717626|1999999999</t>
  </si>
  <si>
    <t>统帅试炼个人挑战难度六29</t>
  </si>
  <si>
    <t>0|14222632</t>
  </si>
  <si>
    <t>14222632|19242385</t>
  </si>
  <si>
    <t>19242385|1999999999</t>
  </si>
  <si>
    <t>统帅试炼个人挑战难度六30</t>
  </si>
  <si>
    <t>0|14610443</t>
  </si>
  <si>
    <t>14610443|19767070</t>
  </si>
  <si>
    <t>19767070|1999999999</t>
  </si>
  <si>
    <t>统帅试炼个人挑战难度七1</t>
  </si>
  <si>
    <t>统帅试炼个人挑战难度七2</t>
  </si>
  <si>
    <t>统帅试炼个人挑战难度七3</t>
  </si>
  <si>
    <t>统帅试炼个人挑战难度七4</t>
  </si>
  <si>
    <t>统帅试炼个人挑战难度七5</t>
  </si>
  <si>
    <t>统帅试炼个人挑战难度七6</t>
  </si>
  <si>
    <t>统帅试炼个人挑战难度七7</t>
  </si>
  <si>
    <t>统帅试炼个人挑战难度七8</t>
  </si>
  <si>
    <t>统帅试炼个人挑战难度七9</t>
  </si>
  <si>
    <t>统帅试炼个人挑战难度七10</t>
  </si>
  <si>
    <t>统帅试炼个人挑战难度七11</t>
  </si>
  <si>
    <t>统帅试炼个人挑战难度七12</t>
  </si>
  <si>
    <t>统帅试炼个人挑战难度七13</t>
  </si>
  <si>
    <t>统帅试炼个人挑战难度七14</t>
  </si>
  <si>
    <t>统帅试炼个人挑战难度七15</t>
  </si>
  <si>
    <t>统帅试炼个人挑战难度七16</t>
  </si>
  <si>
    <t>0|15051222</t>
  </si>
  <si>
    <t>15051222|20363418</t>
  </si>
  <si>
    <t>20363418|1999999999</t>
  </si>
  <si>
    <t>统帅试炼个人挑战难度七17</t>
  </si>
  <si>
    <t>0|15492000</t>
  </si>
  <si>
    <t>15492000|20959765</t>
  </si>
  <si>
    <t>20959765|1999999999</t>
  </si>
  <si>
    <t>统帅试炼个人挑战难度七18</t>
  </si>
  <si>
    <t>0|15932779</t>
  </si>
  <si>
    <t>15932779|21556112</t>
  </si>
  <si>
    <t>21556112|1999999999</t>
  </si>
  <si>
    <t>统帅试炼个人挑战难度七19</t>
  </si>
  <si>
    <t>0|16373557</t>
  </si>
  <si>
    <t>16373557|22152460</t>
  </si>
  <si>
    <t>22152460|1999999999</t>
  </si>
  <si>
    <t>统帅试炼个人挑战难度七20</t>
  </si>
  <si>
    <t>0|16814336</t>
  </si>
  <si>
    <t>16814336|22748807</t>
  </si>
  <si>
    <t>22748807|1999999999</t>
  </si>
  <si>
    <t>统帅试炼个人挑战难度七21</t>
  </si>
  <si>
    <t>0|17255114</t>
  </si>
  <si>
    <t>17255114|23345155</t>
  </si>
  <si>
    <t>23345155|1999999999</t>
  </si>
  <si>
    <t>统帅试炼个人挑战难度七22</t>
  </si>
  <si>
    <t>0|17695893</t>
  </si>
  <si>
    <t>17695893|23941502</t>
  </si>
  <si>
    <t>23941502|1999999999</t>
  </si>
  <si>
    <t>统帅试炼个人挑战难度七23</t>
  </si>
  <si>
    <t>0|18136671</t>
  </si>
  <si>
    <t>18136671|24537850</t>
  </si>
  <si>
    <t>24537850|1999999999</t>
  </si>
  <si>
    <t>统帅试炼个人挑战难度七24</t>
  </si>
  <si>
    <t>0|18577450</t>
  </si>
  <si>
    <t>18577450|25134197</t>
  </si>
  <si>
    <t>25134197|1999999999</t>
  </si>
  <si>
    <t>统帅试炼个人挑战难度七25</t>
  </si>
  <si>
    <t>0|19018228</t>
  </si>
  <si>
    <t>19018228|25730545</t>
  </si>
  <si>
    <t>25730545|1999999999</t>
  </si>
  <si>
    <t>统帅试炼个人挑战难度七26</t>
  </si>
  <si>
    <t>0|19459007</t>
  </si>
  <si>
    <t>19459007|26326892</t>
  </si>
  <si>
    <t>26326892|1999999999</t>
  </si>
  <si>
    <t>统帅试炼个人挑战难度七27</t>
  </si>
  <si>
    <t>0|19899786</t>
  </si>
  <si>
    <t>19899786|26923239</t>
  </si>
  <si>
    <t>26923239|1999999999</t>
  </si>
  <si>
    <t>统帅试炼个人挑战难度七28</t>
  </si>
  <si>
    <t>0|20340564</t>
  </si>
  <si>
    <t>20340564|27519587</t>
  </si>
  <si>
    <t>27519587|1999999999</t>
  </si>
  <si>
    <t>统帅试炼个人挑战难度七29</t>
  </si>
  <si>
    <t>0|20781343</t>
  </si>
  <si>
    <t>20781343|28115934</t>
  </si>
  <si>
    <t>28115934|1999999999</t>
  </si>
  <si>
    <t>统帅试炼个人挑战难度七30</t>
  </si>
  <si>
    <t>0|21223637</t>
  </si>
  <si>
    <t>21223637|28714332</t>
  </si>
  <si>
    <t>28714332|1999999999</t>
  </si>
  <si>
    <t>统帅试炼联盟挑战难度1</t>
  </si>
  <si>
    <t>commanderalliance1</t>
  </si>
  <si>
    <t>等级{0}精锐军团(Mi24)</t>
  </si>
  <si>
    <t>commanderalliance2</t>
  </si>
  <si>
    <t>来自纳塔莎带领的精锐军团(Mi24)，集团军的战斗力可想而知！</t>
  </si>
  <si>
    <t>2,5000|3,10000</t>
  </si>
  <si>
    <t>2,1000091|3,1000040</t>
  </si>
  <si>
    <t>monster17</t>
  </si>
  <si>
    <t>统帅试炼联盟挑战难度2</t>
  </si>
  <si>
    <t>统帅试炼联盟挑战难度3</t>
  </si>
  <si>
    <t>统帅试炼联盟挑战难度4</t>
  </si>
  <si>
    <t>统帅试炼联盟挑战难度5</t>
  </si>
  <si>
    <t>统帅试炼联盟挑战难度6</t>
  </si>
  <si>
    <t>统帅试炼联盟挑战难度7</t>
  </si>
  <si>
    <t>待机动作</t>
  </si>
  <si>
    <t>跑步动作</t>
  </si>
  <si>
    <t>受击撞飞</t>
  </si>
  <si>
    <t>死亡</t>
  </si>
  <si>
    <t>id</t>
  </si>
  <si>
    <t>idle</t>
  </si>
  <si>
    <r>
      <rPr>
        <charset val="134"/>
        <color theme="1"/>
        <scheme val="minor"/>
        <sz val="11"/>
        <rFont val="等线"/>
      </rPr>
      <t>r</t>
    </r>
    <r>
      <rPr>
        <charset val="134"/>
        <color theme="1"/>
        <scheme val="minor"/>
        <sz val="11"/>
        <rFont val="等线"/>
      </rPr>
      <t>un</t>
    </r>
  </si>
  <si>
    <r>
      <rPr>
        <charset val="134"/>
        <color theme="1"/>
        <scheme val="minor"/>
        <sz val="11"/>
        <rFont val="等线"/>
      </rPr>
      <t>h</t>
    </r>
    <r>
      <rPr>
        <charset val="134"/>
        <color theme="1"/>
        <scheme val="minor"/>
        <sz val="11"/>
        <rFont val="等线"/>
      </rPr>
      <t>it</t>
    </r>
  </si>
  <si>
    <t>dead</t>
  </si>
  <si>
    <r>
      <rPr>
        <charset val="134"/>
        <color theme="1"/>
        <scheme val="minor"/>
        <sz val="11"/>
        <rFont val="等线"/>
      </rPr>
      <t>s</t>
    </r>
    <r>
      <rPr>
        <charset val="134"/>
        <color theme="1"/>
        <scheme val="minor"/>
        <sz val="11"/>
        <rFont val="等线"/>
      </rPr>
      <t>tring</t>
    </r>
  </si>
  <si>
    <t>怪物id/位置</t>
  </si>
  <si>
    <t>monster_troop</t>
  </si>
  <si>
    <t>11001,1|11002,4</t>
  </si>
  <si>
    <t>11001,3|11002,4</t>
  </si>
  <si>
    <t>11003,1|11003,2|11002,4</t>
  </si>
  <si>
    <t>11001,1|11001,2|11066,4</t>
  </si>
  <si>
    <t>11001,1|11003,2|11004,3|11004,5</t>
  </si>
  <si>
    <t>11003,1|11003,1|11002,3|11001,4|11002,5</t>
  </si>
  <si>
    <t>11001,1|11004,2|11003,3|11002,4|11003,5</t>
  </si>
  <si>
    <t>11001,1|11001,2|11003,3|11035,4|11003,5</t>
  </si>
  <si>
    <t>11003,1|11004,2|11011,3|11002,4|11002,5</t>
  </si>
  <si>
    <t>11001,1|11014,2|11001,3|11002,4|11002,5</t>
  </si>
  <si>
    <t>11011,1|11014,2|11002,3|11001,4|11004,5</t>
  </si>
  <si>
    <t>11003,1|11013,2|11011,3|12001,4|11003,5</t>
  </si>
  <si>
    <t>11004,1|11013,2|11012,3|11003,4|11011,5</t>
  </si>
  <si>
    <t>11011,1|11011,2|11012,3|11003,4|11003,5</t>
  </si>
  <si>
    <t>11014,1|11002,2|11014,3|11014,4|11012,5</t>
  </si>
  <si>
    <t>11012,1|11013,2|11013,3|11035,4|11013,5</t>
  </si>
  <si>
    <t>11011,1|11014,2|11011,3|11013,4|11014,5</t>
  </si>
  <si>
    <t>11013,1|11013,2|11013,3|11011,4|11011,5</t>
  </si>
  <si>
    <t>11011,1|11013,2|11021,3|11012,4|11012,5</t>
  </si>
  <si>
    <t>11021,1|11014,2|11013,3|12003,4|11014,5</t>
  </si>
  <si>
    <t>11014,1|11022,2|11012,3|11022,4|11012,5</t>
  </si>
  <si>
    <t>11011,1|11023,2|11012,3|11013,4|11022,5</t>
  </si>
  <si>
    <t>11024,1|11012,2|11021,3|11013,4|11024,5</t>
  </si>
  <si>
    <t>11012,1|11022,2|11024,3|11045,4|11024,5</t>
  </si>
  <si>
    <t>11023,1|11022,2|11024,3|11011,4|11022,5</t>
  </si>
  <si>
    <t>11021,1|11013,2|11022,3|11024,4|11023,5</t>
  </si>
  <si>
    <t>11022,1|11021,2|11021,3|11023,4|11021,5</t>
  </si>
  <si>
    <t>11023,1|11021,2|11024,3|12005,4|11021,5</t>
  </si>
  <si>
    <t>11034,1|11021,2|11024,3|11024,4|11023,5</t>
  </si>
  <si>
    <t>11023,1|11034,2|11024,3|11024,4|11022,5</t>
  </si>
  <si>
    <t>11022,1|11023,2|11034,3|11032,4|11024,5</t>
  </si>
  <si>
    <t>11034,1|11034,2|11024,3|11045,4|11024,5</t>
  </si>
  <si>
    <t>11022,1|11031,2|11031,3|11022,4|11032,5</t>
  </si>
  <si>
    <t>11032,1|11021,2|11033,3|11021,4|11033,5</t>
  </si>
  <si>
    <t>11032,1|11033,2|11031,3|11033,4|11021,5</t>
  </si>
  <si>
    <t>11023,1|11034,2|11031,3|12004,4|11033,5</t>
  </si>
  <si>
    <t>11031,1|11033,2|11033,3|11031,4|11031,5</t>
  </si>
  <si>
    <t>11032,1|11033,2|11031,3|11031,4|11034,5</t>
  </si>
  <si>
    <t>11044,1|11032,2|11031,3|11034,4|11033,5</t>
  </si>
  <si>
    <t>11032,1|11032,2|11041,3|11055,4|11031,5</t>
  </si>
  <si>
    <t>11031,1|11042,2|11031,3|11044,4|11032,5</t>
  </si>
  <si>
    <t>11042,1|11042,2|11032,3|11033,4|11033,5</t>
  </si>
  <si>
    <t>11034,1|11044,2|11031,3|11042,4|11031,5</t>
  </si>
  <si>
    <t>11031,1|11042,2|11032,3|12001,4|11033,5</t>
  </si>
  <si>
    <t>11041,1|11042,2|11034,3|11031,4|11032,5</t>
  </si>
  <si>
    <t>11033,1|11042,2|11043,3|11043,4|11033,5</t>
  </si>
  <si>
    <t>11044,1|11042,2|11032,3|11041,4|11032,5</t>
  </si>
  <si>
    <t>11043,1|11044,2|11044,3|11055,4|11032,5</t>
  </si>
  <si>
    <t>11044,1|11042,2|11042,3|11031,4|11043,5</t>
  </si>
  <si>
    <t>11044,1|11041,2|11042,3|11043,4|11031,5</t>
  </si>
  <si>
    <t>11044,1|11043,2|11042,3|11031,4|11044,5</t>
  </si>
  <si>
    <t>11043,1|11042,2|11044,3|12003,4|11043,5</t>
  </si>
  <si>
    <t>11042,1|11043,2|11042,3|11041,4|11041,5</t>
  </si>
  <si>
    <t>11044,1|11052,2|11044,3|11043,4|11043,5</t>
  </si>
  <si>
    <t>11043,1|11043,2|11054,3|11043,4|11042,5</t>
  </si>
  <si>
    <t>11042,1|11052,2|11043,3|11055,4|11042,5</t>
  </si>
  <si>
    <t>11051,1|11042,2|11044,3|11053,4|11041,5</t>
  </si>
  <si>
    <t>11054,1|11041,2|11051,3|11052,4|11042,5</t>
  </si>
  <si>
    <t>11041,1|11052,2|11053,3|11044,4|11053,5</t>
  </si>
  <si>
    <t>11041,1|11053,2|11052,3|12005,4|11043,5</t>
  </si>
  <si>
    <t>11051,1|11051,2|11044,3|11043,4|11054,5</t>
  </si>
  <si>
    <t>11054,1|11053,2|11051,3|11052,4|11042,5</t>
  </si>
  <si>
    <t>11051,1|11044,2|11052,3|11052,4|11053,5</t>
  </si>
  <si>
    <t>11053,1|11054,2|11051,3|11055,4|11054,5</t>
  </si>
  <si>
    <t>11054,1|11053,2|11054,3|11053,4|11054,5</t>
  </si>
  <si>
    <t>11054,1|11054,2|11053,3|11053,4|11053,5</t>
  </si>
  <si>
    <t>11051,1|11053,2|11053,3|11053,4|11053,5</t>
  </si>
  <si>
    <t>11053,1|11054,2|11053,3|12004,4|11053,5</t>
  </si>
  <si>
    <t>11052,1|11054,2|11054,3|11051,4|11052,5</t>
  </si>
  <si>
    <t>11054,1|11051,2|11052,3|11052,4|11054,5</t>
  </si>
  <si>
    <t>11054,1|11062,2|11051,3|11054,4|11051,5</t>
  </si>
  <si>
    <t>11053,1|11054,2|11063,3|11055,4|11051,5</t>
  </si>
  <si>
    <t>11054,1|11053,2|11053,3|11062,4|11051,5</t>
  </si>
  <si>
    <t>11061,1|11053,2|11053,3|11054,4|11054,5</t>
  </si>
  <si>
    <t>11064,1|11051,2|11063,3|11051,4|11054,5</t>
  </si>
  <si>
    <t>11053,1|11052,2|11061,3|12001,4|11053,5</t>
  </si>
  <si>
    <t>11052,1|11063,2|11054,3|11052,4|11061,5</t>
  </si>
  <si>
    <t>11064,1|11051,2|11062,3|11063,4|11054,5</t>
  </si>
  <si>
    <t>11064,1|11052,2|11051,3|11064,4|11051,5</t>
  </si>
  <si>
    <t>11051,1|11063,2|11062,3|11065,4|11062,5</t>
  </si>
  <si>
    <t>11053,1|11061,2|11063,3|11064,4|11051,5</t>
  </si>
  <si>
    <t>11051,1|11064,2|11062,3|11051,4|11053,5</t>
  </si>
  <si>
    <t>11052,1|11063,2|11054,3|11062,4|11054,5</t>
  </si>
  <si>
    <t>11052,1|11063,2|11064,3|12003,4|11051,5</t>
  </si>
  <si>
    <t>11054,1|11061,2|11062,3|11062,4|11053,5</t>
  </si>
  <si>
    <t>11053,1|11051,2|11061,3|11064,4|11054,5</t>
  </si>
  <si>
    <t>11061,1|11051,2|11051,3|11062,4|11054,5</t>
  </si>
  <si>
    <t>11064,1|11054,2|11062,3|11065,4|11054,5</t>
  </si>
  <si>
    <t>11062,1|11051,2|11051,3|11054,4|11051,5</t>
  </si>
  <si>
    <t>11054,1|11054,2|11064,3|11062,4|11054,5</t>
  </si>
  <si>
    <t>11054,1|11051,2|11063,3|11051,4|11053,5</t>
  </si>
  <si>
    <t>11062,1|11064,2|11062,3|12005,4|11052,5</t>
  </si>
  <si>
    <t>11052,1|11063,2|11062,3|11063,4|11051,5</t>
  </si>
  <si>
    <t>11063,1|11064,2|11064,3|11062,4|11064,5</t>
  </si>
  <si>
    <t>11061,1|11064,2|11062,3|11063,4|11063,5</t>
  </si>
  <si>
    <t>11064,1|11061,2|11063,3|11065,4|11062,5</t>
  </si>
  <si>
    <t>11063,1|11062,2|11062,3|11064,4|11062,5</t>
  </si>
  <si>
    <t>11063,1|11064,2|11062,3|11064,4|11063,5</t>
  </si>
  <si>
    <t>11062,1|11063,2|11062,3|11061,4|11061,5</t>
  </si>
  <si>
    <t>11063,1|11061,2|11061,3|11065,4|11064,5</t>
  </si>
  <si>
    <t>12001,1|12002,2|12003,3|12004,4|12005,5</t>
  </si>
  <si>
    <t>11005,2</t>
  </si>
  <si>
    <t>11001,1|11003,4</t>
  </si>
  <si>
    <r>
      <rPr>
        <charset val="134"/>
        <color theme="1"/>
        <scheme val="minor"/>
        <sz val="11"/>
        <rFont val="等线"/>
      </rPr>
      <t>11001,</t>
    </r>
    <r>
      <rPr>
        <charset val="134"/>
        <color theme="1"/>
        <scheme val="minor"/>
        <sz val="11"/>
        <rFont val="等线"/>
      </rPr>
      <t>3</t>
    </r>
    <r>
      <rPr>
        <charset val="134"/>
        <color theme="1"/>
        <scheme val="minor"/>
        <sz val="11"/>
        <rFont val="等线"/>
      </rPr>
      <t>|11003,</t>
    </r>
    <r>
      <rPr>
        <charset val="134"/>
        <color theme="1"/>
        <scheme val="minor"/>
        <sz val="11"/>
        <rFont val="等线"/>
      </rPr>
      <t>5|11002,4</t>
    </r>
  </si>
  <si>
    <r>
      <rPr>
        <charset val="134"/>
        <color theme="1"/>
        <scheme val="minor"/>
        <sz val="11"/>
        <rFont val="等线"/>
      </rPr>
      <t>11001,3</t>
    </r>
    <r>
      <rPr>
        <charset val="134"/>
        <color theme="1"/>
        <scheme val="minor"/>
        <sz val="11"/>
        <rFont val="等线"/>
      </rPr>
      <t>|11003,</t>
    </r>
    <r>
      <rPr>
        <charset val="134"/>
        <color theme="1"/>
        <scheme val="minor"/>
        <sz val="11"/>
        <rFont val="等线"/>
      </rPr>
      <t>5|11004,4</t>
    </r>
  </si>
  <si>
    <t>11001,1|11001,2|11003,3|11003,5</t>
  </si>
  <si>
    <t>11001,1|11001,2|11003,3|11004,4|11003,5</t>
  </si>
  <si>
    <t>11001,1|11001,2|11003,3|12001,4|11003,5</t>
  </si>
  <si>
    <t>11002,1|11002,2|11001,3|11004,4|11001,5</t>
  </si>
  <si>
    <t>11003,1|11003,1|11002,3|12003,4|11002,5</t>
  </si>
  <si>
    <t>11001,1|11004,2|11003,3|11005,4|11003,5</t>
  </si>
  <si>
    <t>20004,1|20003,4</t>
  </si>
  <si>
    <t>刘备,1|夏侯惇,4</t>
  </si>
  <si>
    <t>20004,1|20006,4</t>
  </si>
  <si>
    <t>刘备,1|孙权,4</t>
  </si>
  <si>
    <t>20005,1|20003,4</t>
  </si>
  <si>
    <t>曹操,1|夏侯惇,4</t>
  </si>
  <si>
    <t>20005,1|20006,4</t>
  </si>
  <si>
    <t>曹操,1|孙权,4</t>
  </si>
  <si>
    <t>20007,1|20003,4</t>
  </si>
  <si>
    <t>关羽,1|夏侯惇,4</t>
  </si>
  <si>
    <t>20007,1|20006,4</t>
  </si>
  <si>
    <t>关羽,1|孙权,4</t>
  </si>
  <si>
    <t>20008,1|20003,4</t>
  </si>
  <si>
    <t>吕布,1|夏侯惇,4</t>
  </si>
  <si>
    <t>20008,1|20006,4</t>
  </si>
  <si>
    <t>吕布,1|孙权,4</t>
  </si>
  <si>
    <t>20010,1|20003,4</t>
  </si>
  <si>
    <t>诸葛亮,1|夏侯惇,4</t>
  </si>
  <si>
    <t>20010,1|20006,4</t>
  </si>
  <si>
    <t>诸葛亮,1|孙权,4</t>
  </si>
  <si>
    <t>20011,1|20003,4</t>
  </si>
  <si>
    <t>周瑜,1|夏侯惇,4</t>
  </si>
  <si>
    <t>20011,1|20006,4</t>
  </si>
  <si>
    <t>周瑜,1|孙权,4</t>
  </si>
  <si>
    <t>20004,1|20003,2|20001,4</t>
  </si>
  <si>
    <t>刘备,1|夏侯惇,2|糜夫人,4</t>
  </si>
  <si>
    <t>20004,1|20003,2|20002,4</t>
  </si>
  <si>
    <t>刘备,1|夏侯惇,2|小乔,4</t>
  </si>
  <si>
    <t>20004,1|20003,2|20009,4</t>
  </si>
  <si>
    <t>刘备,1|夏侯惇,2|貂蝉,4</t>
  </si>
  <si>
    <t>20004,1|20006,2|20001,4</t>
  </si>
  <si>
    <t>刘备,1|孙权,2|糜夫人,4</t>
  </si>
  <si>
    <t>20004,1|20006,2|20002,4</t>
  </si>
  <si>
    <t>刘备,1|孙权,2|小乔,4</t>
  </si>
  <si>
    <t>20004,1|20006,2|20009,4</t>
  </si>
  <si>
    <t>刘备,1|孙权,2|貂蝉,4</t>
  </si>
  <si>
    <t>20005,1|20003,2|20001,4</t>
  </si>
  <si>
    <t>曹操,1|夏侯惇,2|糜夫人,4</t>
  </si>
  <si>
    <t>20005,1|20003,2|20002,4</t>
  </si>
  <si>
    <t>曹操,1|夏侯惇,2|小乔,4</t>
  </si>
  <si>
    <t>20005,1|20003,2|20009,4</t>
  </si>
  <si>
    <t>曹操,1|夏侯惇,2|貂蝉,4</t>
  </si>
  <si>
    <t>20005,1|20006,2|20001,4</t>
  </si>
  <si>
    <t>曹操,1|孙权,2|糜夫人,4</t>
  </si>
  <si>
    <t>20005,1|20006,2|20002,4</t>
  </si>
  <si>
    <t>曹操,1|孙权,2|小乔,4</t>
  </si>
  <si>
    <t>20005,1|20006,2|20009,4</t>
  </si>
  <si>
    <t>曹操,1|孙权,2|貂蝉,4</t>
  </si>
  <si>
    <t>20007,1|20003,2|20001,4</t>
  </si>
  <si>
    <t>关羽,1|夏侯惇,2|糜夫人,4</t>
  </si>
  <si>
    <t>20007,1|20003,2|20002,4</t>
  </si>
  <si>
    <t>关羽,1|夏侯惇,2|小乔,4</t>
  </si>
  <si>
    <t>20007,1|20003,2|20009,4</t>
  </si>
  <si>
    <t>关羽,1|夏侯惇,2|貂蝉,4</t>
  </si>
  <si>
    <t>20007,1|20006,2|20001,4</t>
  </si>
  <si>
    <t>关羽,1|孙权,2|糜夫人,4</t>
  </si>
  <si>
    <t>20007,1|20006,2|20002,4</t>
  </si>
  <si>
    <t>关羽,1|孙权,2|小乔,4</t>
  </si>
  <si>
    <t>20007,1|20006,2|20009,4</t>
  </si>
  <si>
    <t>关羽,1|孙权,2|貂蝉,4</t>
  </si>
  <si>
    <t>20008,1|20003,2|20001,4</t>
  </si>
  <si>
    <t>吕布,1|夏侯惇,2|糜夫人,4</t>
  </si>
  <si>
    <t>20008,1|20003,2|20002,4</t>
  </si>
  <si>
    <t>吕布,1|夏侯惇,2|小乔,4</t>
  </si>
  <si>
    <t>20008,1|20003,2|20009,4</t>
  </si>
  <si>
    <t>吕布,1|夏侯惇,2|貂蝉,4</t>
  </si>
  <si>
    <t>20008,1|20006,2|20001,4</t>
  </si>
  <si>
    <t>吕布,1|孙权,2|糜夫人,4</t>
  </si>
  <si>
    <t>20008,1|20006,2|20002,4</t>
  </si>
  <si>
    <t>吕布,1|孙权,2|小乔,4</t>
  </si>
  <si>
    <t>20008,1|20006,2|20009,4</t>
  </si>
  <si>
    <t>吕布,1|孙权,2|貂蝉,4</t>
  </si>
  <si>
    <t>20010,1|20003,2|20001,4</t>
  </si>
  <si>
    <t>诸葛亮,1|夏侯惇,2|糜夫人,4</t>
  </si>
  <si>
    <t>20010,1|20003,2|20002,4</t>
  </si>
  <si>
    <t>诸葛亮,1|夏侯惇,2|小乔,4</t>
  </si>
  <si>
    <t>20010,1|20003,2|20009,4</t>
  </si>
  <si>
    <t>诸葛亮,1|夏侯惇,2|貂蝉,4</t>
  </si>
  <si>
    <t>20010,1|20006,2|20001,4</t>
  </si>
  <si>
    <t>诸葛亮,1|孙权,2|糜夫人,4</t>
  </si>
  <si>
    <t>20010,1|20006,2|20002,4</t>
  </si>
  <si>
    <t>诸葛亮,1|孙权,2|小乔,4</t>
  </si>
  <si>
    <t>20010,1|20006,2|20009,4</t>
  </si>
  <si>
    <t>诸葛亮,1|孙权,2|貂蝉,4</t>
  </si>
  <si>
    <t>20011,1|20003,2|20001,4</t>
  </si>
  <si>
    <t>周瑜,1|夏侯惇,2|糜夫人,4</t>
  </si>
  <si>
    <t>20011,1|20003,2|20002,4</t>
  </si>
  <si>
    <t>周瑜,1|夏侯惇,2|小乔,4</t>
  </si>
  <si>
    <t>20011,1|20003,2|20009,4</t>
  </si>
  <si>
    <t>周瑜,1|夏侯惇,2|貂蝉,4</t>
  </si>
  <si>
    <t>20011,1|20006,2|20001,4</t>
  </si>
  <si>
    <t>周瑜,1|孙权,2|糜夫人,4</t>
  </si>
  <si>
    <t>20011,1|20006,2|20002,4</t>
  </si>
  <si>
    <t>周瑜,1|孙权,2|小乔,4</t>
  </si>
  <si>
    <t>20011,1|20006,2|20009,4</t>
  </si>
  <si>
    <t>周瑜,1|孙权,2|貂蝉,4</t>
  </si>
  <si>
    <t>20004,3|20005,4|20003,1|20006,2|20001,5</t>
  </si>
  <si>
    <t>刘备,1|曹操,2|夏侯惇,3|孙权,4|糜夫人,5</t>
  </si>
  <si>
    <t>20004,3|20005,4|20003,1|20006,2|20002,5</t>
  </si>
  <si>
    <t>刘备,1|曹操,2|夏侯惇,3|孙权,4|小乔,5</t>
  </si>
  <si>
    <t>20004,3|20005,4|20003,1|20006,2|20009,5</t>
  </si>
  <si>
    <t>刘备,1|曹操,2|夏侯惇,3|孙权,4|貂蝉,5</t>
  </si>
  <si>
    <t>20004,3|20007,4|20003,1|20006,2|20001,5</t>
  </si>
  <si>
    <t>刘备,1|关羽,2|夏侯惇,3|孙权,4|糜夫人,5</t>
  </si>
  <si>
    <t>20004,3|20007,4|20003,1|20006,2|20002,5</t>
  </si>
  <si>
    <t>刘备,1|关羽,2|夏侯惇,3|孙权,4|小乔,5</t>
  </si>
  <si>
    <t>20004,3|20007,4|20003,1|20006,2|20009,5</t>
  </si>
  <si>
    <t>刘备,1|关羽,2|夏侯惇,3|孙权,4|貂蝉,5</t>
  </si>
  <si>
    <t>20004,3|20008,4|20003,1|20006,2|20001,5</t>
  </si>
  <si>
    <t>刘备,1|吕布,2|夏侯惇,3|孙权,4|糜夫人,5</t>
  </si>
  <si>
    <t>20004,3|20008,4|20003,1|20006,2|20002,5</t>
  </si>
  <si>
    <t>刘备,1|吕布,2|夏侯惇,3|孙权,4|小乔,5</t>
  </si>
  <si>
    <t>20004,3|20008,4|20003,1|20006,2|20009,5</t>
  </si>
  <si>
    <t>刘备,1|吕布,2|夏侯惇,3|孙权,4|貂蝉,5</t>
  </si>
  <si>
    <t>20004,3|20010,4|20003,1|20006,2|20001,5</t>
  </si>
  <si>
    <t>刘备,1|诸葛亮,2|夏侯惇,3|孙权,4|糜夫人,5</t>
  </si>
  <si>
    <t>20004,3|20010,4|20003,1|20006,2|20002,5</t>
  </si>
  <si>
    <t>刘备,1|诸葛亮,2|夏侯惇,3|孙权,4|小乔,5</t>
  </si>
  <si>
    <t>20004,3|20010,4|20003,1|20006,2|20009,5</t>
  </si>
  <si>
    <t>刘备,1|诸葛亮,2|夏侯惇,3|孙权,4|貂蝉,5</t>
  </si>
  <si>
    <t>20004,3|20011,4|20003,1|20006,2|20001,5</t>
  </si>
  <si>
    <t>刘备,1|周瑜,2|夏侯惇,3|孙权,4|糜夫人,5</t>
  </si>
  <si>
    <t>20004,3|20011,4|20003,1|20006,2|20002,5</t>
  </si>
  <si>
    <t>刘备,1|周瑜,2|夏侯惇,3|孙权,4|小乔,5</t>
  </si>
  <si>
    <t>20004,3|20011,4|20003,1|20006,2|20009,5</t>
  </si>
  <si>
    <t>刘备,1|周瑜,2|夏侯惇,3|孙权,4|貂蝉,5</t>
  </si>
  <si>
    <t>20005,3|20007,4|20003,1|20006,2|20001,5</t>
  </si>
  <si>
    <t>曹操,1|关羽,2|夏侯惇,3|孙权,4|糜夫人,5</t>
  </si>
  <si>
    <t>20005,3|20007,4|20003,1|20006,2|20002,5</t>
  </si>
  <si>
    <t>曹操,1|关羽,2|夏侯惇,3|孙权,4|小乔,5</t>
  </si>
  <si>
    <t>20005,3|20007,4|20003,1|20006,2|20009,5</t>
  </si>
  <si>
    <t>曹操,1|关羽,2|夏侯惇,3|孙权,4|貂蝉,5</t>
  </si>
  <si>
    <t>20005,3|20008,4|20003,1|20006,2|20001,5</t>
  </si>
  <si>
    <t>曹操,1|吕布,2|夏侯惇,3|孙权,4|糜夫人,5</t>
  </si>
  <si>
    <t>20005,3|20008,4|20003,1|20006,2|20002,5</t>
  </si>
  <si>
    <t>曹操,1|吕布,2|夏侯惇,3|孙权,4|小乔,5</t>
  </si>
  <si>
    <t>20005,3|20008,4|20003,1|20006,2|20009,5</t>
  </si>
  <si>
    <t>曹操,1|吕布,2|夏侯惇,3|孙权,4|貂蝉,5</t>
  </si>
  <si>
    <t>20005,3|20010,4|20003,1|20006,2|20001,5</t>
  </si>
  <si>
    <t>曹操,1|诸葛亮,2|夏侯惇,3|孙权,4|糜夫人,5</t>
  </si>
  <si>
    <t>20005,3|20010,4|20003,1|20006,2|20002,5</t>
  </si>
  <si>
    <t>曹操,1|诸葛亮,2|夏侯惇,3|孙权,4|小乔,5</t>
  </si>
  <si>
    <t>20005,3|20010,4|20003,1|20006,2|20009,5</t>
  </si>
  <si>
    <t>曹操,1|诸葛亮,2|夏侯惇,3|孙权,4|貂蝉,5</t>
  </si>
  <si>
    <t>20005,3|20011,4|20003,1|20006,2|20001,5</t>
  </si>
  <si>
    <t>曹操,1|周瑜,2|夏侯惇,3|孙权,4|糜夫人,5</t>
  </si>
  <si>
    <t>20005,3|20011,4|20003,1|20006,2|20002,5</t>
  </si>
  <si>
    <t>曹操,1|周瑜,2|夏侯惇,3|孙权,4|小乔,5</t>
  </si>
  <si>
    <t>20005,3|20011,4|20003,1|20006,2|20009,5</t>
  </si>
  <si>
    <t>曹操,1|周瑜,2|夏侯惇,3|孙权,4|貂蝉,5</t>
  </si>
  <si>
    <t>20007,3|20008,4|20003,1|20006,2|20001,5</t>
  </si>
  <si>
    <t>关羽,1|吕布,2|夏侯惇,3|孙权,4|糜夫人,5</t>
  </si>
  <si>
    <t>20007,3|20008,4|20003,1|20006,2|20002,5</t>
  </si>
  <si>
    <t>关羽,1|吕布,2|夏侯惇,3|孙权,4|小乔,5</t>
  </si>
  <si>
    <t>20007,3|20008,4|20003,1|20006,2|20009,5</t>
  </si>
  <si>
    <t>关羽,1|吕布,2|夏侯惇,3|孙权,4|貂蝉,5</t>
  </si>
  <si>
    <t>20007,3|20010,4|20003,1|20006,2|20001,5</t>
  </si>
  <si>
    <t>关羽,1|诸葛亮,2|夏侯惇,3|孙权,4|糜夫人,5</t>
  </si>
  <si>
    <t>20007,3|20010,4|20003,1|20006,2|20002,5</t>
  </si>
  <si>
    <t>关羽,1|诸葛亮,2|夏侯惇,3|孙权,4|小乔,5</t>
  </si>
  <si>
    <t>20007,3|20010,4|20003,1|20006,2|20009,5</t>
  </si>
  <si>
    <t>关羽,1|诸葛亮,2|夏侯惇,3|孙权,4|貂蝉,5</t>
  </si>
  <si>
    <t>20007,3|20011,4|20003,1|20006,2|20001,5</t>
  </si>
  <si>
    <t>关羽,1|周瑜,2|夏侯惇,3|孙权,4|糜夫人,5</t>
  </si>
  <si>
    <t>20007,3|20011,4|20003,1|20006,2|20002,5</t>
  </si>
  <si>
    <t>关羽,1|周瑜,2|夏侯惇,3|孙权,4|小乔,5</t>
  </si>
  <si>
    <t>20007,3|20011,4|20003,1|20006,2|20009,5</t>
  </si>
  <si>
    <t>关羽,1|周瑜,2|夏侯惇,3|孙权,4|貂蝉,5</t>
  </si>
  <si>
    <t>20008,3|20010,4|20003,1|20006,2|20001,5</t>
  </si>
  <si>
    <t>吕布,1|诸葛亮,2|夏侯惇,3|孙权,4|糜夫人,5</t>
  </si>
  <si>
    <t>20008,3|20010,4|20003,1|20006,2|20002,5</t>
  </si>
  <si>
    <t>吕布,1|诸葛亮,2|夏侯惇,3|孙权,4|小乔,5</t>
  </si>
  <si>
    <t>20008,3|20010,4|20003,1|20006,2|20009,5</t>
  </si>
  <si>
    <t>吕布,1|诸葛亮,2|夏侯惇,3|孙权,4|貂蝉,5</t>
  </si>
  <si>
    <t>20008,3|20011,4|20003,1|20006,2|20001,5</t>
  </si>
  <si>
    <t>吕布,1|周瑜,2|夏侯惇,3|孙权,4|糜夫人,5</t>
  </si>
  <si>
    <t>20008,3|20011,4|20003,1|20006,2|20002,5</t>
  </si>
  <si>
    <t>吕布,1|周瑜,2|夏侯惇,3|孙权,4|小乔,5</t>
  </si>
  <si>
    <t>20008,3|20011,4|20003,1|20006,2|20009,5</t>
  </si>
  <si>
    <t>吕布,1|周瑜,2|夏侯惇,3|孙权,4|貂蝉,5</t>
  </si>
  <si>
    <t>20010,3|20011,4|20003,1|20006,2|20001,5</t>
  </si>
  <si>
    <t>诸葛亮,1|周瑜,2|夏侯惇,3|孙权,4|糜夫人,5</t>
  </si>
  <si>
    <t>20010,3|20011,4|20003,1|20006,2|20002,5</t>
  </si>
  <si>
    <t>诸葛亮,1|周瑜,2|夏侯惇,3|孙权,4|小乔,5</t>
  </si>
  <si>
    <t>20010,3|20011,4|20003,1|20006,2|20009,5</t>
  </si>
  <si>
    <t>诸葛亮,1|周瑜,2|夏侯惇,3|孙权,4|貂蝉,5</t>
  </si>
  <si>
    <t>30004,1|30003,4</t>
  </si>
  <si>
    <t>30004,1|30006,4</t>
  </si>
  <si>
    <t>30005,1|30003,4</t>
  </si>
  <si>
    <t>30005,1|30006,4</t>
  </si>
  <si>
    <t>30007,1|30003,4</t>
  </si>
  <si>
    <t>30007,1|30006,4</t>
  </si>
  <si>
    <t>30008,1|30003,4</t>
  </si>
  <si>
    <t>30008,1|30006,4</t>
  </si>
  <si>
    <t>30010,1|30003,4</t>
  </si>
  <si>
    <t>30010,1|30006,4</t>
  </si>
  <si>
    <t>30011,1|30003,4</t>
  </si>
  <si>
    <t>30011,1|30006,4</t>
  </si>
  <si>
    <t>31004,1|31003,2|31001,4</t>
  </si>
  <si>
    <t>31004,1|31006,2|31009,4</t>
  </si>
  <si>
    <t>31005,1|31003,2|31009,4</t>
  </si>
  <si>
    <t>31005,1|31006,2|31001,4</t>
  </si>
  <si>
    <t>31007,1|31003,2|31009,4</t>
  </si>
  <si>
    <t>31007,1|31006,2|31001,4</t>
  </si>
  <si>
    <t>31008,1|31003,2|31009,4</t>
  </si>
  <si>
    <t>31008,1|31006,2|31001,4</t>
  </si>
  <si>
    <t>31010,1|31003,2|31009,4</t>
  </si>
  <si>
    <t>31010,1|31006,2|31001,4</t>
  </si>
  <si>
    <t>31011,1|31003,2|31009,4</t>
  </si>
  <si>
    <t>31011,1|31006,2|31001,4</t>
  </si>
  <si>
    <t>32004,1|32005,2|32003,3|32006,4|32009,5</t>
  </si>
  <si>
    <t>刘备|曹操|夏侯惇|孙权|貂蝉</t>
  </si>
  <si>
    <t>32004,1|32008,2|32003,3|32006,4|32009,5</t>
  </si>
  <si>
    <t>刘备|吕布|夏侯惇|孙权|貂蝉</t>
  </si>
  <si>
    <t>32005,1|32007,2|32003,3|32006,4|32009,5</t>
  </si>
  <si>
    <t>曹操|关羽|夏侯惇|孙权|貂蝉</t>
  </si>
  <si>
    <t>32005,1|32008,2|32003,3|32006,4|32002,5</t>
  </si>
  <si>
    <t>曹操|吕布|夏侯惇|孙权|小乔</t>
  </si>
  <si>
    <t>32005,1|32010,2|32003,3|32006,4|32002,5</t>
  </si>
  <si>
    <t>曹操|诸葛亮|夏侯惇|孙权|小乔</t>
  </si>
  <si>
    <t>32005,1|32011,2|32003,3|32006,4|32009,5</t>
  </si>
  <si>
    <t>曹操|周瑜|夏侯惇|孙权|貂蝉</t>
  </si>
  <si>
    <t>32007,1|32008,2|32003,3|32006,4|32009,5</t>
  </si>
  <si>
    <t>关羽|吕布|夏侯惇|孙权|貂蝉</t>
  </si>
  <si>
    <t>32007,1|32010,2|32003,3|32006,4|32002,5</t>
  </si>
  <si>
    <t>关羽|诸葛亮|夏侯惇|孙权|小乔</t>
  </si>
  <si>
    <t>32007,1|32011,2|32003,3|32006,4|32001,5</t>
  </si>
  <si>
    <t>关羽|周瑜|夏侯惇|孙权|糜夫人</t>
  </si>
  <si>
    <t>32007,1|32011,2|32003,3|32006,4|32009,5</t>
  </si>
  <si>
    <t>关羽|周瑜|夏侯惇|孙权|貂蝉</t>
  </si>
  <si>
    <t>32008,1|32011,2|32003,3|32006,4|32001,5</t>
  </si>
  <si>
    <t>吕布|周瑜|夏侯惇|孙权|糜夫人</t>
  </si>
  <si>
    <t>32008,1|32011,2|32003,3|32006,4|32009,5</t>
  </si>
  <si>
    <t>吕布|周瑜|夏侯惇|孙权|貂蝉</t>
  </si>
  <si>
    <t>33004,1|33005,2|33003,3|33006,4|33009,5</t>
  </si>
  <si>
    <t>33004,1|33008,2|33003,3|33006,4|33009,5</t>
  </si>
  <si>
    <t>33005,1|33007,2|33003,3|33006,4|33009,5</t>
  </si>
  <si>
    <t>33005,1|33008,2|33003,3|33006,4|33002,5</t>
  </si>
  <si>
    <t>33005,1|33010,2|33003,3|33006,4|33002,5</t>
  </si>
  <si>
    <t>33005,1|33011,2|33003,3|33006,4|33009,5</t>
  </si>
  <si>
    <t>33007,1|33008,2|33003,3|33006,4|33009,5</t>
  </si>
  <si>
    <t>33007,1|33010,2|33003,3|33006,4|33002,5</t>
  </si>
  <si>
    <t>33007,1|33011,2|33003,3|33006,4|33001,5</t>
  </si>
  <si>
    <t>33007,1|33011,2|33003,3|33006,4|33009,5</t>
  </si>
  <si>
    <t>33008,1|33011,2|33003,3|33006,4|33001,5</t>
  </si>
  <si>
    <t>33008,1|33011,2|33003,3|33006,4|33009,5</t>
  </si>
  <si>
    <t>34004,1|34005,2|34003,3|34006,4|34009,5</t>
  </si>
  <si>
    <t>34004,1|34008,2|34003,3|34006,4|34009,5</t>
  </si>
  <si>
    <t>34005,1|34007,2|34003,3|34006,4|34009,5</t>
  </si>
  <si>
    <t>34005,1|34008,2|34003,3|34006,4|34002,5</t>
  </si>
  <si>
    <t>34005,1|34010,2|34003,3|34006,4|34002,5</t>
  </si>
  <si>
    <t>34005,1|34011,2|34003,3|34006,4|34009,5</t>
  </si>
  <si>
    <t>34007,1|34008,2|34003,3|34006,4|34009,5</t>
  </si>
  <si>
    <t>34007,1|34010,2|34003,3|34006,4|34002,5</t>
  </si>
  <si>
    <t>34007,1|34011,2|34003,3|34006,4|34001,5</t>
  </si>
  <si>
    <t>34007,1|34011,2|34003,3|34006,4|34009,5</t>
  </si>
  <si>
    <t>34008,1|34011,2|34003,3|34006,4|34001,5</t>
  </si>
  <si>
    <t>34008,1|34011,2|34003,3|34006,4|34009,5</t>
  </si>
  <si>
    <t>35004,1|35005,2|35003,3|35006,4|35009,5</t>
  </si>
  <si>
    <t>35004,1|35008,2|35003,3|35006,4|35009,5</t>
  </si>
  <si>
    <t>35005,1|35007,2|35003,3|35006,4|35009,5</t>
  </si>
  <si>
    <t>35005,1|35008,2|35003,3|35006,4|35002,5</t>
  </si>
  <si>
    <t>35005,1|35010,2|35003,3|35006,4|35002,5</t>
  </si>
  <si>
    <t>35005,1|35011,2|35003,3|35006,4|35009,5</t>
  </si>
  <si>
    <t>35007,1|35008,2|35003,3|35006,4|35009,5</t>
  </si>
  <si>
    <t>35007,1|35010,2|35003,3|35006,4|35002,5</t>
  </si>
  <si>
    <t>35007,1|35011,2|35003,3|35006,4|35001,5</t>
  </si>
  <si>
    <t>35007,1|35011,2|35003,3|35006,4|35009,5</t>
  </si>
  <si>
    <t>35008,1|35011,2|35003,3|35006,4|35001,5</t>
  </si>
  <si>
    <t>35008,1|35011,2|35003,3|35006,4|35009,5</t>
  </si>
  <si>
    <t>流水号</t>
  </si>
  <si>
    <t>瓦片繁荣度</t>
  </si>
  <si>
    <t>怪物类型</t>
  </si>
  <si>
    <t>怪物子类型</t>
  </si>
  <si>
    <t>出现权重</t>
  </si>
  <si>
    <t>zoneLevel</t>
  </si>
  <si>
    <t>monsterType</t>
  </si>
  <si>
    <t>monsterSubType</t>
  </si>
  <si>
    <t>monsterLevel</t>
  </si>
  <si>
    <t>chance</t>
  </si>
  <si>
    <t>瓦片繁荣度组</t>
  </si>
  <si>
    <t>出现数量</t>
  </si>
  <si>
    <t>chanceNum</t>
  </si>
  <si>
    <t>胜利规则Id</t>
  </si>
  <si>
    <t>#策划备注</t>
  </si>
  <si>
    <t>战斗结果状态的枚举</t>
  </si>
  <si>
    <t>comment</t>
  </si>
  <si>
    <t>victoryType</t>
  </si>
  <si>
    <t>无任何限制，结果必定是胜利，与其它胜利限制规则互斥</t>
  </si>
  <si>
    <t>无任何限制，结果必定是失败，与其它胜利限制规则互斥</t>
  </si>
  <si>
    <t>攻+防</t>
  </si>
  <si>
    <t>攻+防+辅</t>
  </si>
  <si>
    <t>2攻+2防+辅</t>
  </si>
  <si>
    <t>刘备|曹操|夏侯惇|孙权|糜夫人</t>
  </si>
  <si>
    <t>20004,1|20005,2|20003,3|20006,4|20001,5</t>
  </si>
  <si>
    <t>刘备|曹操|夏侯惇|孙权|小乔</t>
  </si>
  <si>
    <t>20004,1|20005,2|20003,3|20006,4|20002,5</t>
  </si>
  <si>
    <t/>
  </si>
  <si>
    <t>20004,1|20005,2|20003,3|20006,4|20009,5</t>
  </si>
  <si>
    <t>刘备|关羽|夏侯惇|孙权|糜夫人</t>
  </si>
  <si>
    <t>20004,1|20007,2|20003,3|20006,4|20001,5</t>
  </si>
  <si>
    <t>刘备|关羽|夏侯惇|孙权|小乔</t>
  </si>
  <si>
    <t>20004,1|20007,2|20003,3|20006,4|20002,5</t>
  </si>
  <si>
    <t>刘备|关羽|夏侯惇|孙权|貂蝉</t>
  </si>
  <si>
    <t>20004,1|20007,2|20003,3|20006,4|20009,5</t>
  </si>
  <si>
    <t>刘备|吕布|夏侯惇|孙权|糜夫人</t>
  </si>
  <si>
    <t>20004,1|20008,2|20003,3|20006,4|20001,5</t>
  </si>
  <si>
    <t>刘备|吕布|夏侯惇|孙权|小乔</t>
  </si>
  <si>
    <t>20004,1|20008,2|20003,3|20006,4|20002,5</t>
  </si>
  <si>
    <t>20004,1|20008,2|20003,3|20006,4|20009,5</t>
  </si>
  <si>
    <t>刘备|诸葛亮|夏侯惇|孙权|糜夫人</t>
  </si>
  <si>
    <t>20004,1|20010,2|20003,3|20006,4|20001,5</t>
  </si>
  <si>
    <t>刘备|诸葛亮|夏侯惇|孙权|小乔</t>
  </si>
  <si>
    <t>20004,1|20010,2|20003,3|20006,4|20002,5</t>
  </si>
  <si>
    <t>刘备|诸葛亮|夏侯惇|孙权|貂蝉</t>
  </si>
  <si>
    <t>20004,1|20010,2|20003,3|20006,4|20009,5</t>
  </si>
  <si>
    <t>刘备|周瑜|夏侯惇|孙权|糜夫人</t>
  </si>
  <si>
    <t>20004,1|20011,2|20003,3|20006,4|20001,5</t>
  </si>
  <si>
    <t>刘备|周瑜|夏侯惇|孙权|小乔</t>
  </si>
  <si>
    <t>20004,1|20011,2|20003,3|20006,4|20002,5</t>
  </si>
  <si>
    <t>刘备|周瑜|夏侯惇|孙权|貂蝉</t>
  </si>
  <si>
    <t>20004,1|20011,2|20003,3|20006,4|20009,5</t>
  </si>
  <si>
    <t>曹操|关羽|夏侯惇|孙权|糜夫人</t>
  </si>
  <si>
    <t>20005,1|20007,2|20003,3|20006,4|20001,5</t>
  </si>
  <si>
    <t>曹操|关羽|夏侯惇|孙权|小乔</t>
  </si>
  <si>
    <t>20005,1|20007,2|20003,3|20006,4|20002,5</t>
  </si>
  <si>
    <t>20005,1|20007,2|20003,3|20006,4|20009,5</t>
  </si>
  <si>
    <t>曹操|吕布|夏侯惇|孙权|糜夫人</t>
  </si>
  <si>
    <t>20005,1|20008,2|20003,3|20006,4|20001,5</t>
  </si>
  <si>
    <t>20005,1|20008,2|20003,3|20006,4|20002,5</t>
  </si>
  <si>
    <t>曹操|吕布|夏侯惇|孙权|貂蝉</t>
  </si>
  <si>
    <t>20005,1|20008,2|20003,3|20006,4|20009,5</t>
  </si>
  <si>
    <t>曹操|诸葛亮|夏侯惇|孙权|糜夫人</t>
  </si>
  <si>
    <t>20005,1|20010,2|20003,3|20006,4|20001,5</t>
  </si>
  <si>
    <t>20005,1|20010,2|20003,3|20006,4|20002,5</t>
  </si>
  <si>
    <t>曹操|诸葛亮|夏侯惇|孙权|貂蝉</t>
  </si>
  <si>
    <t>20005,1|20010,2|20003,3|20006,4|20009,5</t>
  </si>
  <si>
    <t>曹操|周瑜|夏侯惇|孙权|糜夫人</t>
  </si>
  <si>
    <t>20005,1|20011,2|20003,3|20006,4|20001,5</t>
  </si>
  <si>
    <t>曹操|周瑜|夏侯惇|孙权|小乔</t>
  </si>
  <si>
    <t>20005,1|20011,2|20003,3|20006,4|20002,5</t>
  </si>
  <si>
    <t>20005,1|20011,2|20003,3|20006,4|20009,5</t>
  </si>
  <si>
    <t>关羽|吕布|夏侯惇|孙权|糜夫人</t>
  </si>
  <si>
    <t>20007,1|20008,2|20003,3|20006,4|20001,5</t>
  </si>
  <si>
    <t>关羽|吕布|夏侯惇|孙权|小乔</t>
  </si>
  <si>
    <t>20007,1|20008,2|20003,3|20006,4|20002,5</t>
  </si>
  <si>
    <t>20007,1|20008,2|20003,3|20006,4|20009,5</t>
  </si>
  <si>
    <t>关羽|诸葛亮|夏侯惇|孙权|糜夫人</t>
  </si>
  <si>
    <t>20007,1|20010,2|20003,3|20006,4|20001,5</t>
  </si>
  <si>
    <t>20007,1|20010,2|20003,3|20006,4|20002,5</t>
  </si>
  <si>
    <t>关羽|诸葛亮|夏侯惇|孙权|貂蝉</t>
  </si>
  <si>
    <t>20007,1|20010,2|20003,3|20006,4|20009,5</t>
  </si>
  <si>
    <t>20007,1|20011,2|20003,3|20006,4|20001,5</t>
  </si>
  <si>
    <t>关羽|周瑜|夏侯惇|孙权|小乔</t>
  </si>
  <si>
    <t>20007,1|20011,2|20003,3|20006,4|20002,5</t>
  </si>
  <si>
    <t>20007,1|20011,2|20003,3|20006,4|20009,5</t>
  </si>
  <si>
    <t>吕布|诸葛亮|夏侯惇|孙权|糜夫人</t>
  </si>
  <si>
    <t>20008,1|20010,2|20003,3|20006,4|20001,5</t>
  </si>
  <si>
    <t>吕布|诸葛亮|夏侯惇|孙权|小乔</t>
  </si>
  <si>
    <t>20008,1|20010,2|20003,3|20006,4|20002,5</t>
  </si>
  <si>
    <t>吕布|诸葛亮|夏侯惇|孙权|貂蝉</t>
  </si>
  <si>
    <t>20008,1|20010,2|20003,3|20006,4|20009,5</t>
  </si>
  <si>
    <t>20008,1|20011,2|20003,3|20006,4|20001,5</t>
  </si>
  <si>
    <t>吕布|周瑜|夏侯惇|孙权|小乔</t>
  </si>
  <si>
    <t>20008,1|20011,2|20003,3|20006,4|20002,5</t>
  </si>
  <si>
    <t>20008,1|20011,2|20003,3|20006,4|20009,5</t>
  </si>
  <si>
    <t>诸葛亮|周瑜|夏侯惇|孙权|糜夫人</t>
  </si>
  <si>
    <t>20010,1|20011,2|20003,3|20006,4|20001,5</t>
  </si>
  <si>
    <t>诸葛亮|周瑜|夏侯惇|孙权|小乔</t>
  </si>
  <si>
    <t>20010,1|20011,2|20003,3|20006,4|20002,5</t>
  </si>
  <si>
    <t>诸葛亮|周瑜|夏侯惇|孙权|貂蝉</t>
  </si>
  <si>
    <t>20010,1|20011,2|20003,3|20006,4|20009,5</t>
  </si>
  <si>
    <t>攻击怪</t>
  </si>
  <si>
    <t>防御怪</t>
  </si>
  <si>
    <t>辅助怪</t>
  </si>
  <si>
    <t>章节</t>
  </si>
  <si>
    <t>等级</t>
  </si>
  <si>
    <t>血</t>
  </si>
  <si>
    <t>统</t>
  </si>
  <si>
    <t>普通</t>
  </si>
  <si>
    <t>精英</t>
  </si>
  <si>
    <t>小boss</t>
  </si>
  <si>
    <t>第一章</t>
  </si>
  <si>
    <t>101,126|102,7|100,1145|132,100</t>
  </si>
  <si>
    <t>101,97|102,9|100,1260|132,100</t>
  </si>
  <si>
    <t>101,103|102,8|100,1202|132,100</t>
  </si>
  <si>
    <t>第二章</t>
  </si>
  <si>
    <t>101,426|102,18|100,4360|132,400</t>
  </si>
  <si>
    <t>101,328|102,23|100,4796|132,400</t>
  </si>
  <si>
    <t>101,349|102,21|100,4578|132,400</t>
  </si>
  <si>
    <t>第三章</t>
  </si>
  <si>
    <t>101,950|102,37|100,9970|132,800</t>
  </si>
  <si>
    <t>101,732|102,48|100,10967|132,800</t>
  </si>
  <si>
    <t>101,779|102,44|100,10469|132,800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</si>
</sst>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charset val="134"/>
      <color theme="1"/>
      <sz val="11"/>
      <name val="Microsoft YaHei Light"/>
    </font>
    <font>
      <b/>
      <charset val="134"/>
      <sz val="11"/>
      <name val="Microsoft YaHei Light"/>
    </font>
    <font>
      <b/>
      <charset val="134"/>
      <sz val="11"/>
      <name val="等线"/>
    </font>
    <font>
      <b/>
      <charset val="134"/>
      <sz val="9"/>
      <name val="等线"/>
    </font>
    <font>
      <charset val="134"/>
      <scheme val="minor"/>
      <sz val="10"/>
      <name val="等线"/>
    </font>
    <font>
      <charset val="134"/>
      <color theme="1"/>
      <scheme val="minor"/>
      <sz val="11"/>
      <name val="等线"/>
    </font>
    <font>
      <charset val="134"/>
      <color rgb="FFFF0000"/>
      <scheme val="minor"/>
      <sz val="10"/>
      <name val="等线"/>
    </font>
    <font>
      <charset val="134"/>
      <sz val="9"/>
      <name val="微软雅黑"/>
    </font>
    <font>
      <charset val="134"/>
      <color theme="1"/>
      <sz val="11"/>
      <name val="微软雅黑"/>
    </font>
    <font>
      <charset val="134"/>
      <color theme="1"/>
      <scheme val="minor"/>
      <sz val="10"/>
      <name val="等线"/>
    </font>
    <font>
      <charset val="134"/>
      <color theme="1"/>
      <sz val="9"/>
      <name val="等线"/>
    </font>
    <font>
      <charset val="134"/>
      <color theme="1"/>
      <sz val="9"/>
      <name val="微软雅黑"/>
    </font>
    <font>
      <charset val="134"/>
      <color theme="1"/>
      <sz val="10"/>
      <name val="等线"/>
    </font>
    <font>
      <charset val="134"/>
      <color rgb="FF000000"/>
      <sz val="10"/>
      <name val="等线"/>
    </font>
    <font>
      <charset val="134"/>
      <color rgb="FF000000"/>
      <sz val="11"/>
      <name val="等线"/>
    </font>
    <font>
      <charset val="134"/>
      <color rgb="FFFFFFFF"/>
      <scheme val="minor"/>
      <sz val="10"/>
      <name val="等线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E081E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33C9A"/>
        <bgColor indexed="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0" borderId="0" xfId="0" applyFont="1"/>
    <xf numFmtId="49" fontId="7" fillId="5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right" vertical="center"/>
    </xf>
    <xf numFmtId="0" fontId="7" fillId="5" borderId="1" xfId="0" applyFont="1" applyFill="1" applyBorder="1" applyAlignment="1">
      <alignment horizontal="right" vertical="center"/>
    </xf>
    <xf numFmtId="0" fontId="9" fillId="0" borderId="0" xfId="0" applyFont="1" applyAlignment="1">
      <alignment horizontal="center" vertical="top"/>
    </xf>
    <xf numFmtId="0" fontId="1" fillId="3" borderId="0" xfId="0" applyFont="1" applyFill="1"/>
    <xf numFmtId="0" fontId="1" fillId="6" borderId="0" xfId="0" applyFont="1" applyFill="1"/>
    <xf numFmtId="0" fontId="5" fillId="6" borderId="1" xfId="0" applyFont="1" applyFill="1" applyBorder="1" applyAlignment="1">
      <alignment horizontal="left" vertical="center"/>
    </xf>
    <xf numFmtId="49" fontId="5" fillId="6" borderId="1" xfId="0" applyNumberFormat="1" applyFont="1" applyFill="1" applyBorder="1" applyAlignment="1">
      <alignment horizontal="right" vertical="center"/>
    </xf>
    <xf numFmtId="0" fontId="5" fillId="6" borderId="0" xfId="0" applyFont="1" applyFill="1" applyAlignment="1">
      <alignment horizontal="left" vertical="center"/>
    </xf>
    <xf numFmtId="49" fontId="7" fillId="6" borderId="1" xfId="0" applyNumberFormat="1" applyFont="1" applyFill="1" applyBorder="1" applyAlignment="1">
      <alignment horizontal="right" vertical="center"/>
    </xf>
    <xf numFmtId="0" fontId="8" fillId="6" borderId="0" xfId="0" applyFont="1" applyFill="1" applyAlignment="1">
      <alignment horizontal="right" vertical="center"/>
    </xf>
    <xf numFmtId="0" fontId="7" fillId="6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5" fillId="2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horizontal="left"/>
    </xf>
    <xf numFmtId="0" fontId="5" fillId="8" borderId="1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top"/>
    </xf>
    <xf numFmtId="49" fontId="5" fillId="2" borderId="1" xfId="0" applyNumberFormat="1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/>
    </xf>
    <xf numFmtId="0" fontId="1" fillId="0" borderId="1" xfId="0" applyFont="1" applyBorder="1"/>
    <xf numFmtId="0" fontId="11" fillId="0" borderId="1" xfId="0" applyFont="1" applyBorder="1"/>
    <xf numFmtId="0" fontId="1" fillId="9" borderId="0" xfId="0" applyFont="1" applyFill="1"/>
    <xf numFmtId="0" fontId="5" fillId="9" borderId="1" xfId="0" applyFont="1" applyFill="1" applyBorder="1" applyAlignment="1">
      <alignment horizontal="left" vertical="center"/>
    </xf>
    <xf numFmtId="49" fontId="5" fillId="9" borderId="1" xfId="0" applyNumberFormat="1" applyFont="1" applyFill="1" applyBorder="1" applyAlignment="1">
      <alignment horizontal="left" vertical="center"/>
    </xf>
    <xf numFmtId="3" fontId="5" fillId="2" borderId="1" xfId="0" applyNumberFormat="1" applyFont="1" applyFill="1" applyBorder="1" applyAlignment="1">
      <alignment horizontal="left" vertical="center"/>
    </xf>
    <xf numFmtId="0" fontId="1" fillId="10" borderId="0" xfId="0" applyFont="1" applyFill="1"/>
    <xf numFmtId="0" fontId="10" fillId="10" borderId="1" xfId="0" applyFont="1" applyFill="1" applyBorder="1" applyAlignment="1">
      <alignment horizontal="left" vertical="center"/>
    </xf>
    <xf numFmtId="49" fontId="10" fillId="10" borderId="1" xfId="0" applyNumberFormat="1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left"/>
    </xf>
    <xf numFmtId="0" fontId="1" fillId="10" borderId="1" xfId="0" applyFont="1" applyFill="1" applyBorder="1"/>
    <xf numFmtId="0" fontId="11" fillId="10" borderId="1" xfId="0" applyFont="1" applyFill="1" applyBorder="1"/>
    <xf numFmtId="0" fontId="10" fillId="2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49" fontId="10" fillId="0" borderId="1" xfId="0" applyNumberFormat="1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0" fillId="11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6" fillId="6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6" fillId="3" borderId="0" xfId="0" applyFont="1" applyFill="1"/>
    <xf numFmtId="0" fontId="6" fillId="6" borderId="0" xfId="0" applyFont="1" applyFill="1"/>
    <xf numFmtId="0" fontId="6" fillId="12" borderId="0" xfId="0" applyFont="1" applyFill="1" applyAlignment="1">
      <alignment horizontal="left"/>
    </xf>
    <xf numFmtId="0" fontId="6" fillId="12" borderId="0" xfId="0" applyFont="1" applyFill="1"/>
    <xf numFmtId="0" fontId="6" fillId="13" borderId="0" xfId="0" applyFont="1" applyFill="1" applyAlignment="1">
      <alignment horizontal="left"/>
    </xf>
    <xf numFmtId="0" fontId="6" fillId="13" borderId="0" xfId="0" applyFont="1" applyFill="1"/>
    <xf numFmtId="0" fontId="6" fillId="14" borderId="0" xfId="0" applyFont="1" applyFill="1" applyAlignment="1">
      <alignment horizontal="left"/>
    </xf>
    <xf numFmtId="0" fontId="6" fillId="14" borderId="0" xfId="0" applyFont="1" applyFill="1"/>
    <xf numFmtId="0" fontId="6" fillId="3" borderId="0" xfId="0" applyFont="1" applyFill="1" applyAlignment="1">
      <alignment horizontal="left"/>
    </xf>
    <xf numFmtId="0" fontId="13" fillId="0" borderId="0" xfId="0" applyFont="1" applyAlignment="1">
      <alignment horizontal="left" vertical="center" wrapText="1"/>
    </xf>
    <xf numFmtId="0" fontId="13" fillId="15" borderId="2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10" borderId="0" xfId="0" applyFont="1" applyFill="1" applyAlignment="1">
      <alignment horizontal="left" vertical="center" wrapText="1"/>
    </xf>
    <xf numFmtId="0" fontId="14" fillId="16" borderId="0" xfId="0" applyFont="1" applyFill="1" applyAlignment="1">
      <alignment horizontal="left" vertical="center" wrapText="1"/>
    </xf>
    <xf numFmtId="0" fontId="12" fillId="0" borderId="0" xfId="0" applyFont="1"/>
    <xf numFmtId="0" fontId="6" fillId="0" borderId="0" xfId="0" applyFont="1" applyAlignment="1">
      <alignment wrapText="1"/>
    </xf>
    <xf numFmtId="0" fontId="15" fillId="0" borderId="0" xfId="0" applyFont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16" fillId="17" borderId="4" xfId="0" applyFont="1" applyFill="1" applyBorder="1" applyAlignment="1">
      <alignment vertical="center"/>
    </xf>
    <xf numFmtId="0" fontId="10" fillId="0" borderId="4" xfId="0" applyFont="1" applyBorder="1" applyAlignment="1">
      <alignment vertical="center"/>
    </xf>
  </cellXfs>
  <cellStyles count="1">
    <cellStyle name="Normal" xfId="0" builtinId="0"/>
  </cellStyles>
  <dxfs count="324"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8.xml"/><Relationship Id="rId6" Type="http://schemas.openxmlformats.org/officeDocument/2006/relationships/worksheet" Target="worksheets/sheet7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lingbaozong@001" TargetMode="External"/><Relationship Id="rId2" Type="http://schemas.openxmlformats.org/officeDocument/2006/relationships/hyperlink" Target="mailto:lingbaozong@002" TargetMode="External"/><Relationship Id="rId3" Type="http://schemas.openxmlformats.org/officeDocument/2006/relationships/hyperlink" Target="mailto:lingbaozong@003" TargetMode="External"/><Relationship Id="rId4" Type="http://schemas.openxmlformats.org/officeDocument/2006/relationships/hyperlink" Target="mailto:lingbaozong@004" TargetMode="External"/><Relationship Id="rId5" Type="http://schemas.openxmlformats.org/officeDocument/2006/relationships/hyperlink" Target="mailto:lingbaozong@00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07"/>
  <sheetViews>
    <sheetView workbookViewId="0" zoomScale="100" zoomScaleNormal="100">
      <pane xSplit="4" ySplit="3" topLeftCell="AH4" activePane="bottomRight" state="frozen"/>
      <selection pane="bottomRight" activeCell="A2" sqref="A2"/>
    </sheetView>
  </sheetViews>
  <sheetFormatPr defaultRowHeight="16.5" outlineLevelRow="0" outlineLevelCol="0" x14ac:dyDescent="0" defaultColWidth="8.75" customHeight="1"/>
  <cols>
    <col min="1" max="1" width="8.5" style="1" customWidth="1"/>
    <col min="2" max="2" width="23.0833333333333" style="1" customWidth="1"/>
    <col min="3" max="3" width="21.5" style="1" customWidth="1"/>
    <col min="4" max="4" width="17.75" style="2" customWidth="1"/>
    <col min="5" max="5" width="17.5" style="1" customWidth="1"/>
    <col min="6" max="10" width="15.0833333333333" style="2" customWidth="1"/>
    <col min="11" max="20" width="10.0833333333333" style="3" customWidth="1"/>
    <col min="21" max="35" width="28" style="3" customWidth="1"/>
    <col min="36" max="36" width="21.5" style="3" customWidth="1"/>
    <col min="37" max="37" width="52.25" style="4" customWidth="1"/>
    <col min="38" max="38" width="12" style="4" customWidth="1"/>
    <col min="39" max="39" width="23.0833333333333" style="4" customWidth="1"/>
    <col min="40" max="40" width="26.75" style="4" customWidth="1"/>
    <col min="41" max="16384" width="8.75" style="4" customWidth="1"/>
  </cols>
  <sheetData>
    <row r="1" ht="132" customHeight="1" spans="1:41" x14ac:dyDescent="0.25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8" t="s">
        <v>8</v>
      </c>
      <c r="J1" s="8" t="s">
        <v>9</v>
      </c>
      <c r="K1" s="5" t="s">
        <v>10</v>
      </c>
      <c r="L1" s="8" t="s">
        <v>11</v>
      </c>
      <c r="M1" s="8" t="s">
        <v>12</v>
      </c>
      <c r="N1" s="8" t="s">
        <v>13</v>
      </c>
      <c r="O1" s="9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5" t="s">
        <v>20</v>
      </c>
      <c r="V1" s="5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10" t="s">
        <v>32</v>
      </c>
      <c r="AH1" s="10" t="s">
        <v>33</v>
      </c>
      <c r="AI1" s="8" t="s">
        <v>34</v>
      </c>
      <c r="AJ1" s="5" t="s">
        <v>35</v>
      </c>
      <c r="AK1" s="5" t="s">
        <v>36</v>
      </c>
      <c r="AL1" s="5" t="s">
        <v>37</v>
      </c>
      <c r="AM1" s="5" t="s">
        <v>20</v>
      </c>
      <c r="AN1" s="5" t="s">
        <v>21</v>
      </c>
      <c r="AO1" s="4" t="s">
        <v>38</v>
      </c>
    </row>
    <row r="2" ht="33" customHeight="1" spans="1:41" x14ac:dyDescent="0.25">
      <c r="A2" s="11" t="s">
        <v>39</v>
      </c>
      <c r="B2" s="11" t="s">
        <v>40</v>
      </c>
      <c r="C2" s="11" t="s">
        <v>41</v>
      </c>
      <c r="D2" s="12" t="s">
        <v>41</v>
      </c>
      <c r="E2" s="11" t="s">
        <v>42</v>
      </c>
      <c r="F2" s="12" t="s">
        <v>42</v>
      </c>
      <c r="G2" s="13" t="s">
        <v>43</v>
      </c>
      <c r="H2" s="13" t="s">
        <v>44</v>
      </c>
      <c r="I2" s="13" t="s">
        <v>45</v>
      </c>
      <c r="J2" s="13" t="s">
        <v>46</v>
      </c>
      <c r="K2" s="13" t="s">
        <v>47</v>
      </c>
      <c r="L2" s="8" t="s">
        <v>48</v>
      </c>
      <c r="M2" s="8" t="s">
        <v>49</v>
      </c>
      <c r="N2" s="8" t="s">
        <v>50</v>
      </c>
      <c r="O2" s="9" t="s">
        <v>51</v>
      </c>
      <c r="P2" s="9" t="s">
        <v>52</v>
      </c>
      <c r="Q2" s="8" t="s">
        <v>53</v>
      </c>
      <c r="R2" s="8" t="s">
        <v>54</v>
      </c>
      <c r="S2" s="8" t="s">
        <v>55</v>
      </c>
      <c r="T2" s="8" t="s">
        <v>56</v>
      </c>
      <c r="U2" s="11" t="s">
        <v>57</v>
      </c>
      <c r="V2" s="11" t="s">
        <v>58</v>
      </c>
      <c r="W2" s="8" t="s">
        <v>59</v>
      </c>
      <c r="X2" s="8" t="s">
        <v>60</v>
      </c>
      <c r="Y2" s="8" t="s">
        <v>61</v>
      </c>
      <c r="Z2" s="8" t="s">
        <v>62</v>
      </c>
      <c r="AA2" s="8" t="s">
        <v>63</v>
      </c>
      <c r="AB2" s="8" t="s">
        <v>64</v>
      </c>
      <c r="AC2" s="8" t="s">
        <v>65</v>
      </c>
      <c r="AD2" s="8" t="s">
        <v>66</v>
      </c>
      <c r="AE2" s="8" t="s">
        <v>67</v>
      </c>
      <c r="AF2" s="8" t="s">
        <v>68</v>
      </c>
      <c r="AG2" s="10" t="s">
        <v>69</v>
      </c>
      <c r="AH2" s="10" t="s">
        <v>70</v>
      </c>
      <c r="AI2" s="8" t="s">
        <v>71</v>
      </c>
      <c r="AJ2" s="13" t="s">
        <v>72</v>
      </c>
      <c r="AK2" s="13" t="s">
        <v>73</v>
      </c>
      <c r="AL2" s="13" t="s">
        <v>74</v>
      </c>
      <c r="AM2" s="13" t="s">
        <v>75</v>
      </c>
      <c r="AN2" s="13" t="s">
        <v>76</v>
      </c>
      <c r="AO2" s="4" t="s">
        <v>77</v>
      </c>
    </row>
    <row r="3" spans="1:41" x14ac:dyDescent="0.25">
      <c r="A3" s="14" t="s">
        <v>78</v>
      </c>
      <c r="B3" s="14" t="s">
        <v>79</v>
      </c>
      <c r="C3" s="14" t="s">
        <v>79</v>
      </c>
      <c r="D3" s="15" t="s">
        <v>79</v>
      </c>
      <c r="E3" s="14" t="s">
        <v>79</v>
      </c>
      <c r="F3" s="15" t="s">
        <v>79</v>
      </c>
      <c r="G3" s="16" t="s">
        <v>78</v>
      </c>
      <c r="H3" s="16" t="s">
        <v>78</v>
      </c>
      <c r="I3" s="16" t="s">
        <v>78</v>
      </c>
      <c r="J3" s="16" t="s">
        <v>78</v>
      </c>
      <c r="K3" s="16" t="s">
        <v>78</v>
      </c>
      <c r="L3" s="17" t="s">
        <v>78</v>
      </c>
      <c r="M3" s="17" t="s">
        <v>78</v>
      </c>
      <c r="N3" s="17" t="s">
        <v>80</v>
      </c>
      <c r="O3" s="18" t="s">
        <v>80</v>
      </c>
      <c r="P3" s="18" t="s">
        <v>80</v>
      </c>
      <c r="Q3" s="17" t="s">
        <v>78</v>
      </c>
      <c r="R3" s="17" t="s">
        <v>78</v>
      </c>
      <c r="S3" s="18" t="s">
        <v>80</v>
      </c>
      <c r="T3" s="17" t="s">
        <v>78</v>
      </c>
      <c r="U3" s="14" t="s">
        <v>79</v>
      </c>
      <c r="V3" s="14" t="s">
        <v>79</v>
      </c>
      <c r="W3" s="17" t="s">
        <v>79</v>
      </c>
      <c r="X3" s="17" t="s">
        <v>78</v>
      </c>
      <c r="Y3" s="17" t="s">
        <v>81</v>
      </c>
      <c r="Z3" s="17" t="s">
        <v>81</v>
      </c>
      <c r="AA3" s="17" t="s">
        <v>81</v>
      </c>
      <c r="AB3" s="8" t="s">
        <v>78</v>
      </c>
      <c r="AC3" s="8" t="s">
        <v>82</v>
      </c>
      <c r="AD3" s="8" t="s">
        <v>82</v>
      </c>
      <c r="AE3" s="8" t="s">
        <v>78</v>
      </c>
      <c r="AF3" s="8" t="s">
        <v>78</v>
      </c>
      <c r="AG3" s="10" t="s">
        <v>80</v>
      </c>
      <c r="AH3" s="10" t="s">
        <v>80</v>
      </c>
      <c r="AI3" s="8" t="s">
        <v>78</v>
      </c>
      <c r="AJ3" s="16" t="s">
        <v>79</v>
      </c>
      <c r="AK3" s="16" t="s">
        <v>80</v>
      </c>
      <c r="AL3" s="16" t="s">
        <v>81</v>
      </c>
      <c r="AM3" s="16" t="s">
        <v>78</v>
      </c>
      <c r="AN3" s="16" t="s">
        <v>78</v>
      </c>
      <c r="AO3" s="4" t="s">
        <v>78</v>
      </c>
    </row>
    <row r="4" ht="15" customHeight="1" spans="1:41" x14ac:dyDescent="0.25">
      <c r="A4" s="19">
        <v>12001</v>
      </c>
      <c r="B4" s="20" t="s">
        <v>83</v>
      </c>
      <c r="C4" s="20" t="s">
        <v>84</v>
      </c>
      <c r="D4" s="20" t="s">
        <v>85</v>
      </c>
      <c r="E4" s="19" t="s">
        <v>86</v>
      </c>
      <c r="F4" s="21"/>
      <c r="G4" s="21"/>
      <c r="H4" s="21"/>
      <c r="I4" s="21"/>
      <c r="J4" s="21"/>
      <c r="K4" s="19">
        <v>1000</v>
      </c>
      <c r="L4" s="22"/>
      <c r="M4" s="22"/>
      <c r="N4" s="22"/>
      <c r="O4" s="22"/>
      <c r="P4" s="22"/>
      <c r="Q4" s="22"/>
      <c r="R4" s="22"/>
      <c r="S4" s="22"/>
      <c r="T4" s="22"/>
      <c r="U4" s="23" t="s">
        <v>87</v>
      </c>
      <c r="V4" s="23" t="s">
        <v>87</v>
      </c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4" t="s">
        <v>88</v>
      </c>
      <c r="AK4" s="25" t="s">
        <v>89</v>
      </c>
      <c r="AL4" s="26" t="s">
        <v>90</v>
      </c>
      <c r="AM4" s="27">
        <v>7001002</v>
      </c>
      <c r="AN4" s="27">
        <v>7001002</v>
      </c>
      <c r="AO4" s="28">
        <v>1</v>
      </c>
    </row>
    <row r="5" spans="1:41" x14ac:dyDescent="0.25">
      <c r="A5" s="19">
        <v>12002</v>
      </c>
      <c r="B5" s="20" t="s">
        <v>91</v>
      </c>
      <c r="C5" s="20" t="s">
        <v>92</v>
      </c>
      <c r="D5" s="20" t="s">
        <v>91</v>
      </c>
      <c r="E5" s="19" t="s">
        <v>86</v>
      </c>
      <c r="F5" s="19"/>
      <c r="G5" s="19"/>
      <c r="H5" s="19"/>
      <c r="I5" s="19"/>
      <c r="J5" s="19"/>
      <c r="K5" s="19">
        <v>1000</v>
      </c>
      <c r="L5" s="22"/>
      <c r="M5" s="22"/>
      <c r="N5" s="22"/>
      <c r="O5" s="22"/>
      <c r="P5" s="22"/>
      <c r="Q5" s="22"/>
      <c r="R5" s="22"/>
      <c r="S5" s="22"/>
      <c r="T5" s="22"/>
      <c r="U5" s="23" t="s">
        <v>87</v>
      </c>
      <c r="V5" s="23" t="s">
        <v>87</v>
      </c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4" t="s">
        <v>93</v>
      </c>
      <c r="AK5" s="25" t="s">
        <v>89</v>
      </c>
      <c r="AL5" s="26" t="s">
        <v>94</v>
      </c>
      <c r="AM5" s="27">
        <v>7001002</v>
      </c>
      <c r="AN5" s="27">
        <v>7001002</v>
      </c>
      <c r="AO5" s="28">
        <v>1</v>
      </c>
    </row>
    <row r="6" spans="1:41" x14ac:dyDescent="0.25">
      <c r="A6" s="19">
        <v>12003</v>
      </c>
      <c r="B6" s="20" t="s">
        <v>95</v>
      </c>
      <c r="C6" s="20" t="s">
        <v>96</v>
      </c>
      <c r="D6" s="20" t="s">
        <v>95</v>
      </c>
      <c r="E6" s="19" t="s">
        <v>86</v>
      </c>
      <c r="F6" s="19"/>
      <c r="G6" s="19"/>
      <c r="H6" s="19"/>
      <c r="I6" s="19"/>
      <c r="J6" s="19"/>
      <c r="K6" s="19">
        <v>1000</v>
      </c>
      <c r="L6" s="22"/>
      <c r="M6" s="22"/>
      <c r="N6" s="22"/>
      <c r="O6" s="22"/>
      <c r="P6" s="22"/>
      <c r="Q6" s="22"/>
      <c r="R6" s="22"/>
      <c r="S6" s="22"/>
      <c r="T6" s="22"/>
      <c r="U6" s="23" t="s">
        <v>87</v>
      </c>
      <c r="V6" s="23" t="s">
        <v>87</v>
      </c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4" t="s">
        <v>97</v>
      </c>
      <c r="AK6" s="25" t="s">
        <v>89</v>
      </c>
      <c r="AL6" s="26" t="s">
        <v>98</v>
      </c>
      <c r="AM6" s="27">
        <v>7001002</v>
      </c>
      <c r="AN6" s="27">
        <v>7001002</v>
      </c>
      <c r="AO6" s="28">
        <v>1</v>
      </c>
    </row>
    <row r="7" spans="1:41" x14ac:dyDescent="0.25">
      <c r="A7" s="19">
        <v>12004</v>
      </c>
      <c r="B7" s="20" t="s">
        <v>99</v>
      </c>
      <c r="C7" s="20" t="s">
        <v>100</v>
      </c>
      <c r="D7" s="20" t="s">
        <v>99</v>
      </c>
      <c r="E7" s="19" t="s">
        <v>86</v>
      </c>
      <c r="F7" s="19"/>
      <c r="G7" s="19"/>
      <c r="H7" s="19"/>
      <c r="I7" s="19"/>
      <c r="J7" s="19"/>
      <c r="K7" s="19">
        <v>1000</v>
      </c>
      <c r="L7" s="22"/>
      <c r="M7" s="22"/>
      <c r="N7" s="22"/>
      <c r="O7" s="22"/>
      <c r="P7" s="22"/>
      <c r="Q7" s="22"/>
      <c r="R7" s="22"/>
      <c r="S7" s="22"/>
      <c r="T7" s="22"/>
      <c r="U7" s="23" t="s">
        <v>87</v>
      </c>
      <c r="V7" s="23" t="s">
        <v>87</v>
      </c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4" t="s">
        <v>101</v>
      </c>
      <c r="AK7" s="25" t="s">
        <v>89</v>
      </c>
      <c r="AL7" s="26" t="s">
        <v>102</v>
      </c>
      <c r="AM7" s="27">
        <v>7001002</v>
      </c>
      <c r="AN7" s="27">
        <v>7001002</v>
      </c>
      <c r="AO7" s="28">
        <v>1</v>
      </c>
    </row>
    <row r="8" spans="1:41" x14ac:dyDescent="0.25">
      <c r="A8" s="19">
        <v>12005</v>
      </c>
      <c r="B8" s="20" t="s">
        <v>103</v>
      </c>
      <c r="C8" s="20" t="s">
        <v>104</v>
      </c>
      <c r="D8" s="20" t="s">
        <v>103</v>
      </c>
      <c r="E8" s="19" t="s">
        <v>86</v>
      </c>
      <c r="F8" s="19"/>
      <c r="G8" s="19"/>
      <c r="H8" s="19"/>
      <c r="I8" s="19"/>
      <c r="J8" s="19"/>
      <c r="K8" s="19">
        <v>1000</v>
      </c>
      <c r="L8" s="22"/>
      <c r="M8" s="22"/>
      <c r="N8" s="22"/>
      <c r="O8" s="22"/>
      <c r="P8" s="22"/>
      <c r="Q8" s="22"/>
      <c r="R8" s="22"/>
      <c r="S8" s="22"/>
      <c r="T8" s="22"/>
      <c r="U8" s="23" t="s">
        <v>87</v>
      </c>
      <c r="V8" s="23" t="s">
        <v>87</v>
      </c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4" t="s">
        <v>105</v>
      </c>
      <c r="AK8" s="25" t="s">
        <v>89</v>
      </c>
      <c r="AL8" s="26" t="s">
        <v>106</v>
      </c>
      <c r="AM8" s="27">
        <v>7001002</v>
      </c>
      <c r="AN8" s="27">
        <v>7001002</v>
      </c>
      <c r="AO8" s="28">
        <v>1</v>
      </c>
    </row>
    <row r="9" ht="15" customHeight="1" spans="1:41" s="29" customFormat="1" x14ac:dyDescent="0.25">
      <c r="A9" s="30">
        <v>11001</v>
      </c>
      <c r="B9" s="31" t="s">
        <v>107</v>
      </c>
      <c r="C9" s="31" t="s">
        <v>108</v>
      </c>
      <c r="D9" s="31" t="s">
        <v>107</v>
      </c>
      <c r="E9" s="30" t="s">
        <v>86</v>
      </c>
      <c r="F9" s="30"/>
      <c r="G9" s="30"/>
      <c r="H9" s="30"/>
      <c r="I9" s="30"/>
      <c r="J9" s="30"/>
      <c r="K9" s="30">
        <v>1000</v>
      </c>
      <c r="L9" s="32"/>
      <c r="M9" s="32"/>
      <c r="N9" s="32"/>
      <c r="O9" s="32"/>
      <c r="P9" s="32"/>
      <c r="Q9" s="32"/>
      <c r="R9" s="32"/>
      <c r="S9" s="32"/>
      <c r="T9" s="32"/>
      <c r="U9" s="23" t="s">
        <v>87</v>
      </c>
      <c r="V9" s="23" t="s">
        <v>87</v>
      </c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33" t="s">
        <v>109</v>
      </c>
      <c r="AK9" s="34" t="s">
        <v>110</v>
      </c>
      <c r="AL9" s="35" t="s">
        <v>111</v>
      </c>
      <c r="AM9" s="36">
        <v>1510007</v>
      </c>
      <c r="AN9" s="27">
        <v>7001002</v>
      </c>
      <c r="AO9" s="28">
        <v>1</v>
      </c>
    </row>
    <row r="10" spans="1:41" s="29" customFormat="1" x14ac:dyDescent="0.25">
      <c r="A10" s="30">
        <v>11002</v>
      </c>
      <c r="B10" s="31" t="s">
        <v>112</v>
      </c>
      <c r="C10" s="31" t="s">
        <v>113</v>
      </c>
      <c r="D10" s="31" t="s">
        <v>112</v>
      </c>
      <c r="E10" s="30" t="s">
        <v>86</v>
      </c>
      <c r="F10" s="30"/>
      <c r="G10" s="30"/>
      <c r="H10" s="30"/>
      <c r="I10" s="30"/>
      <c r="J10" s="30"/>
      <c r="K10" s="30">
        <v>1000</v>
      </c>
      <c r="L10" s="32"/>
      <c r="M10" s="32"/>
      <c r="N10" s="32"/>
      <c r="O10" s="32"/>
      <c r="P10" s="32"/>
      <c r="Q10" s="32"/>
      <c r="R10" s="32"/>
      <c r="S10" s="32"/>
      <c r="T10" s="32"/>
      <c r="U10" s="23" t="s">
        <v>87</v>
      </c>
      <c r="V10" s="23" t="s">
        <v>87</v>
      </c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33" t="s">
        <v>114</v>
      </c>
      <c r="AK10" s="34" t="s">
        <v>110</v>
      </c>
      <c r="AL10" s="35" t="s">
        <v>115</v>
      </c>
      <c r="AM10" s="36">
        <v>1510014</v>
      </c>
      <c r="AN10" s="27">
        <v>7001002</v>
      </c>
      <c r="AO10" s="28">
        <v>1</v>
      </c>
    </row>
    <row r="11" spans="1:41" s="29" customFormat="1" x14ac:dyDescent="0.25">
      <c r="A11" s="30">
        <v>11003</v>
      </c>
      <c r="B11" s="31" t="s">
        <v>116</v>
      </c>
      <c r="C11" s="31" t="s">
        <v>117</v>
      </c>
      <c r="D11" s="31" t="s">
        <v>116</v>
      </c>
      <c r="E11" s="30" t="s">
        <v>86</v>
      </c>
      <c r="F11" s="30"/>
      <c r="G11" s="30"/>
      <c r="H11" s="30"/>
      <c r="I11" s="30"/>
      <c r="J11" s="30"/>
      <c r="K11" s="30">
        <v>1000</v>
      </c>
      <c r="L11" s="32"/>
      <c r="M11" s="32"/>
      <c r="N11" s="32"/>
      <c r="O11" s="32"/>
      <c r="P11" s="32"/>
      <c r="Q11" s="32"/>
      <c r="R11" s="32"/>
      <c r="S11" s="32"/>
      <c r="T11" s="32"/>
      <c r="U11" s="23" t="s">
        <v>87</v>
      </c>
      <c r="V11" s="23" t="s">
        <v>87</v>
      </c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33" t="s">
        <v>118</v>
      </c>
      <c r="AK11" s="34" t="s">
        <v>110</v>
      </c>
      <c r="AL11" s="35" t="s">
        <v>119</v>
      </c>
      <c r="AM11" s="36">
        <v>1510004</v>
      </c>
      <c r="AN11" s="27">
        <v>7001002</v>
      </c>
      <c r="AO11" s="28">
        <v>1</v>
      </c>
    </row>
    <row r="12" spans="1:41" s="29" customFormat="1" x14ac:dyDescent="0.25">
      <c r="A12" s="30">
        <v>11004</v>
      </c>
      <c r="B12" s="31" t="s">
        <v>120</v>
      </c>
      <c r="C12" s="31" t="s">
        <v>121</v>
      </c>
      <c r="D12" s="31" t="s">
        <v>120</v>
      </c>
      <c r="E12" s="30" t="s">
        <v>86</v>
      </c>
      <c r="F12" s="30"/>
      <c r="G12" s="30"/>
      <c r="H12" s="30"/>
      <c r="I12" s="30"/>
      <c r="J12" s="30"/>
      <c r="K12" s="30">
        <v>1000</v>
      </c>
      <c r="L12" s="32"/>
      <c r="M12" s="32"/>
      <c r="N12" s="32"/>
      <c r="O12" s="32"/>
      <c r="P12" s="32"/>
      <c r="Q12" s="32"/>
      <c r="R12" s="32"/>
      <c r="S12" s="32"/>
      <c r="T12" s="32"/>
      <c r="U12" s="23" t="s">
        <v>87</v>
      </c>
      <c r="V12" s="23" t="s">
        <v>87</v>
      </c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33" t="s">
        <v>122</v>
      </c>
      <c r="AK12" s="34" t="s">
        <v>110</v>
      </c>
      <c r="AL12" s="35" t="s">
        <v>123</v>
      </c>
      <c r="AM12" s="36">
        <v>1510003</v>
      </c>
      <c r="AN12" s="27">
        <v>7001002</v>
      </c>
      <c r="AO12" s="28">
        <v>1</v>
      </c>
    </row>
    <row r="13" ht="15" customHeight="1" spans="1:41" s="29" customFormat="1" x14ac:dyDescent="0.25">
      <c r="A13" s="30">
        <v>11005</v>
      </c>
      <c r="B13" s="31" t="s">
        <v>124</v>
      </c>
      <c r="C13" s="31" t="s">
        <v>108</v>
      </c>
      <c r="D13" s="31" t="s">
        <v>107</v>
      </c>
      <c r="E13" s="30" t="s">
        <v>86</v>
      </c>
      <c r="F13" s="30"/>
      <c r="G13" s="30"/>
      <c r="H13" s="30"/>
      <c r="I13" s="30"/>
      <c r="J13" s="30"/>
      <c r="K13" s="30">
        <v>1000</v>
      </c>
      <c r="L13" s="32"/>
      <c r="M13" s="32"/>
      <c r="N13" s="32"/>
      <c r="O13" s="32"/>
      <c r="P13" s="32"/>
      <c r="Q13" s="32"/>
      <c r="R13" s="32"/>
      <c r="S13" s="32"/>
      <c r="T13" s="32"/>
      <c r="U13" s="23" t="s">
        <v>87</v>
      </c>
      <c r="V13" s="23" t="s">
        <v>87</v>
      </c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33" t="s">
        <v>109</v>
      </c>
      <c r="AK13" s="34" t="s">
        <v>125</v>
      </c>
      <c r="AL13" s="35" t="s">
        <v>111</v>
      </c>
      <c r="AM13" s="36">
        <v>1510011</v>
      </c>
      <c r="AN13" s="27">
        <v>7001002</v>
      </c>
      <c r="AO13" s="28">
        <v>1</v>
      </c>
    </row>
    <row r="14" ht="15" customHeight="1" spans="1:41" s="29" customFormat="1" x14ac:dyDescent="0.25">
      <c r="A14" s="30">
        <v>11011</v>
      </c>
      <c r="B14" s="31" t="s">
        <v>107</v>
      </c>
      <c r="C14" s="31" t="s">
        <v>108</v>
      </c>
      <c r="D14" s="31" t="s">
        <v>107</v>
      </c>
      <c r="E14" s="30" t="s">
        <v>86</v>
      </c>
      <c r="F14" s="30"/>
      <c r="G14" s="30"/>
      <c r="H14" s="30"/>
      <c r="I14" s="30"/>
      <c r="J14" s="30"/>
      <c r="K14" s="30">
        <v>1000</v>
      </c>
      <c r="L14" s="32"/>
      <c r="M14" s="32"/>
      <c r="N14" s="32"/>
      <c r="O14" s="32"/>
      <c r="P14" s="32"/>
      <c r="Q14" s="32"/>
      <c r="R14" s="32"/>
      <c r="S14" s="32"/>
      <c r="T14" s="32"/>
      <c r="U14" s="23" t="s">
        <v>87</v>
      </c>
      <c r="V14" s="23" t="s">
        <v>87</v>
      </c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33" t="s">
        <v>109</v>
      </c>
      <c r="AK14" s="34" t="s">
        <v>126</v>
      </c>
      <c r="AL14" s="35" t="s">
        <v>111</v>
      </c>
      <c r="AM14" s="36">
        <v>1510013</v>
      </c>
      <c r="AN14" s="27">
        <v>7001002</v>
      </c>
      <c r="AO14" s="28">
        <v>1</v>
      </c>
    </row>
    <row r="15" spans="1:41" s="29" customFormat="1" x14ac:dyDescent="0.25">
      <c r="A15" s="30">
        <v>11012</v>
      </c>
      <c r="B15" s="31" t="s">
        <v>112</v>
      </c>
      <c r="C15" s="31" t="s">
        <v>113</v>
      </c>
      <c r="D15" s="31" t="s">
        <v>112</v>
      </c>
      <c r="E15" s="30" t="s">
        <v>86</v>
      </c>
      <c r="F15" s="30"/>
      <c r="G15" s="30"/>
      <c r="H15" s="30"/>
      <c r="I15" s="30"/>
      <c r="J15" s="30"/>
      <c r="K15" s="30">
        <v>1000</v>
      </c>
      <c r="L15" s="32"/>
      <c r="M15" s="32"/>
      <c r="N15" s="32"/>
      <c r="O15" s="32"/>
      <c r="P15" s="32"/>
      <c r="Q15" s="32"/>
      <c r="R15" s="32"/>
      <c r="S15" s="32"/>
      <c r="T15" s="32"/>
      <c r="U15" s="23" t="s">
        <v>87</v>
      </c>
      <c r="V15" s="23" t="s">
        <v>87</v>
      </c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33" t="s">
        <v>114</v>
      </c>
      <c r="AK15" s="34" t="s">
        <v>126</v>
      </c>
      <c r="AL15" s="35" t="s">
        <v>115</v>
      </c>
      <c r="AM15" s="36">
        <v>1510008</v>
      </c>
      <c r="AN15" s="27">
        <v>7001002</v>
      </c>
      <c r="AO15" s="28">
        <v>1</v>
      </c>
    </row>
    <row r="16" spans="1:41" s="29" customFormat="1" x14ac:dyDescent="0.25">
      <c r="A16" s="30">
        <v>11013</v>
      </c>
      <c r="B16" s="31" t="s">
        <v>116</v>
      </c>
      <c r="C16" s="31" t="s">
        <v>117</v>
      </c>
      <c r="D16" s="31" t="s">
        <v>116</v>
      </c>
      <c r="E16" s="30" t="s">
        <v>86</v>
      </c>
      <c r="F16" s="30"/>
      <c r="G16" s="30"/>
      <c r="H16" s="30"/>
      <c r="I16" s="30"/>
      <c r="J16" s="30"/>
      <c r="K16" s="30">
        <v>1000</v>
      </c>
      <c r="L16" s="32"/>
      <c r="M16" s="32"/>
      <c r="N16" s="32"/>
      <c r="O16" s="32"/>
      <c r="P16" s="32"/>
      <c r="Q16" s="32"/>
      <c r="R16" s="32"/>
      <c r="S16" s="32"/>
      <c r="T16" s="32"/>
      <c r="U16" s="23" t="s">
        <v>87</v>
      </c>
      <c r="V16" s="23" t="s">
        <v>87</v>
      </c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33" t="s">
        <v>118</v>
      </c>
      <c r="AK16" s="34" t="s">
        <v>126</v>
      </c>
      <c r="AL16" s="35" t="s">
        <v>119</v>
      </c>
      <c r="AM16" s="36">
        <v>1510010</v>
      </c>
      <c r="AN16" s="27">
        <v>7001002</v>
      </c>
      <c r="AO16" s="28">
        <v>1</v>
      </c>
    </row>
    <row r="17" spans="1:41" s="29" customFormat="1" x14ac:dyDescent="0.25">
      <c r="A17" s="30">
        <v>11014</v>
      </c>
      <c r="B17" s="31" t="s">
        <v>120</v>
      </c>
      <c r="C17" s="31" t="s">
        <v>121</v>
      </c>
      <c r="D17" s="31" t="s">
        <v>120</v>
      </c>
      <c r="E17" s="30" t="s">
        <v>86</v>
      </c>
      <c r="F17" s="30"/>
      <c r="G17" s="30"/>
      <c r="H17" s="30"/>
      <c r="I17" s="30"/>
      <c r="J17" s="30"/>
      <c r="K17" s="30">
        <v>1000</v>
      </c>
      <c r="L17" s="32"/>
      <c r="M17" s="32"/>
      <c r="N17" s="32"/>
      <c r="O17" s="32"/>
      <c r="P17" s="32"/>
      <c r="Q17" s="32"/>
      <c r="R17" s="32"/>
      <c r="S17" s="32"/>
      <c r="T17" s="32"/>
      <c r="U17" s="23" t="s">
        <v>87</v>
      </c>
      <c r="V17" s="23" t="s">
        <v>87</v>
      </c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33" t="s">
        <v>122</v>
      </c>
      <c r="AK17" s="34" t="s">
        <v>126</v>
      </c>
      <c r="AL17" s="35" t="s">
        <v>123</v>
      </c>
      <c r="AM17" s="36">
        <v>1510005</v>
      </c>
      <c r="AN17" s="27">
        <v>7001002</v>
      </c>
      <c r="AO17" s="28">
        <v>1</v>
      </c>
    </row>
    <row r="18" ht="15" customHeight="1" spans="1:41" s="29" customFormat="1" x14ac:dyDescent="0.25">
      <c r="A18" s="30">
        <v>11021</v>
      </c>
      <c r="B18" s="31" t="s">
        <v>107</v>
      </c>
      <c r="C18" s="31" t="s">
        <v>108</v>
      </c>
      <c r="D18" s="31" t="s">
        <v>107</v>
      </c>
      <c r="E18" s="30" t="s">
        <v>86</v>
      </c>
      <c r="F18" s="30"/>
      <c r="G18" s="30"/>
      <c r="H18" s="30"/>
      <c r="I18" s="30"/>
      <c r="J18" s="30"/>
      <c r="K18" s="30">
        <v>1000</v>
      </c>
      <c r="L18" s="32"/>
      <c r="M18" s="32"/>
      <c r="N18" s="32"/>
      <c r="O18" s="32"/>
      <c r="P18" s="32"/>
      <c r="Q18" s="32"/>
      <c r="R18" s="32"/>
      <c r="S18" s="32"/>
      <c r="T18" s="32"/>
      <c r="U18" s="23" t="s">
        <v>87</v>
      </c>
      <c r="V18" s="23" t="s">
        <v>87</v>
      </c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33" t="s">
        <v>109</v>
      </c>
      <c r="AK18" s="34" t="s">
        <v>127</v>
      </c>
      <c r="AL18" s="35" t="s">
        <v>111</v>
      </c>
      <c r="AM18" s="36">
        <v>1510002</v>
      </c>
      <c r="AN18" s="27">
        <v>7001002</v>
      </c>
      <c r="AO18" s="28">
        <v>1</v>
      </c>
    </row>
    <row r="19" spans="1:41" s="29" customFormat="1" x14ac:dyDescent="0.25">
      <c r="A19" s="30">
        <v>11022</v>
      </c>
      <c r="B19" s="31" t="s">
        <v>112</v>
      </c>
      <c r="C19" s="31" t="s">
        <v>113</v>
      </c>
      <c r="D19" s="31" t="s">
        <v>112</v>
      </c>
      <c r="E19" s="30" t="s">
        <v>86</v>
      </c>
      <c r="F19" s="30"/>
      <c r="G19" s="30"/>
      <c r="H19" s="30"/>
      <c r="I19" s="30"/>
      <c r="J19" s="30"/>
      <c r="K19" s="30">
        <v>1000</v>
      </c>
      <c r="L19" s="32"/>
      <c r="M19" s="32"/>
      <c r="N19" s="32"/>
      <c r="O19" s="32"/>
      <c r="P19" s="32"/>
      <c r="Q19" s="32"/>
      <c r="R19" s="32"/>
      <c r="S19" s="32"/>
      <c r="T19" s="32"/>
      <c r="U19" s="23" t="s">
        <v>87</v>
      </c>
      <c r="V19" s="23" t="s">
        <v>87</v>
      </c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33" t="s">
        <v>114</v>
      </c>
      <c r="AK19" s="34" t="s">
        <v>127</v>
      </c>
      <c r="AL19" s="35" t="s">
        <v>115</v>
      </c>
      <c r="AM19" s="36">
        <v>1510001</v>
      </c>
      <c r="AN19" s="27">
        <v>7001002</v>
      </c>
      <c r="AO19" s="28">
        <v>1</v>
      </c>
    </row>
    <row r="20" spans="1:41" s="29" customFormat="1" x14ac:dyDescent="0.25">
      <c r="A20" s="30">
        <v>11023</v>
      </c>
      <c r="B20" s="31" t="s">
        <v>116</v>
      </c>
      <c r="C20" s="31" t="s">
        <v>117</v>
      </c>
      <c r="D20" s="31" t="s">
        <v>116</v>
      </c>
      <c r="E20" s="30" t="s">
        <v>86</v>
      </c>
      <c r="F20" s="30"/>
      <c r="G20" s="30"/>
      <c r="H20" s="30"/>
      <c r="I20" s="30"/>
      <c r="J20" s="30"/>
      <c r="K20" s="30">
        <v>1000</v>
      </c>
      <c r="L20" s="32"/>
      <c r="M20" s="32"/>
      <c r="N20" s="32"/>
      <c r="O20" s="32"/>
      <c r="P20" s="32"/>
      <c r="Q20" s="32"/>
      <c r="R20" s="32"/>
      <c r="S20" s="32"/>
      <c r="T20" s="32"/>
      <c r="U20" s="23" t="s">
        <v>87</v>
      </c>
      <c r="V20" s="23" t="s">
        <v>87</v>
      </c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33" t="s">
        <v>118</v>
      </c>
      <c r="AK20" s="34" t="s">
        <v>127</v>
      </c>
      <c r="AL20" s="35" t="s">
        <v>119</v>
      </c>
      <c r="AM20" s="36">
        <v>1510009</v>
      </c>
      <c r="AN20" s="27">
        <v>7001002</v>
      </c>
      <c r="AO20" s="28">
        <v>1</v>
      </c>
    </row>
    <row r="21" spans="1:41" s="29" customFormat="1" x14ac:dyDescent="0.25">
      <c r="A21" s="30">
        <v>11024</v>
      </c>
      <c r="B21" s="31" t="s">
        <v>120</v>
      </c>
      <c r="C21" s="31" t="s">
        <v>121</v>
      </c>
      <c r="D21" s="31" t="s">
        <v>120</v>
      </c>
      <c r="E21" s="30" t="s">
        <v>86</v>
      </c>
      <c r="F21" s="30"/>
      <c r="G21" s="30"/>
      <c r="H21" s="30"/>
      <c r="I21" s="30"/>
      <c r="J21" s="30"/>
      <c r="K21" s="30">
        <v>1000</v>
      </c>
      <c r="L21" s="32"/>
      <c r="M21" s="32"/>
      <c r="N21" s="32"/>
      <c r="O21" s="32"/>
      <c r="P21" s="32"/>
      <c r="Q21" s="32"/>
      <c r="R21" s="32"/>
      <c r="S21" s="32"/>
      <c r="T21" s="32"/>
      <c r="U21" s="23" t="s">
        <v>87</v>
      </c>
      <c r="V21" s="23" t="s">
        <v>87</v>
      </c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33" t="s">
        <v>122</v>
      </c>
      <c r="AK21" s="34" t="s">
        <v>127</v>
      </c>
      <c r="AL21" s="35" t="s">
        <v>123</v>
      </c>
      <c r="AM21" s="36">
        <v>1510012</v>
      </c>
      <c r="AN21" s="27">
        <v>7001002</v>
      </c>
      <c r="AO21" s="28">
        <v>1</v>
      </c>
    </row>
    <row r="22" ht="15" customHeight="1" spans="1:41" s="29" customFormat="1" x14ac:dyDescent="0.25">
      <c r="A22" s="30">
        <v>11031</v>
      </c>
      <c r="B22" s="31" t="s">
        <v>107</v>
      </c>
      <c r="C22" s="31" t="s">
        <v>108</v>
      </c>
      <c r="D22" s="31" t="s">
        <v>107</v>
      </c>
      <c r="E22" s="30" t="s">
        <v>86</v>
      </c>
      <c r="F22" s="30"/>
      <c r="G22" s="30"/>
      <c r="H22" s="30"/>
      <c r="I22" s="30"/>
      <c r="J22" s="30"/>
      <c r="K22" s="30">
        <v>1000</v>
      </c>
      <c r="L22" s="32"/>
      <c r="M22" s="32"/>
      <c r="N22" s="32"/>
      <c r="O22" s="32"/>
      <c r="P22" s="32"/>
      <c r="Q22" s="32"/>
      <c r="R22" s="32"/>
      <c r="S22" s="32"/>
      <c r="T22" s="32"/>
      <c r="U22" s="23" t="s">
        <v>87</v>
      </c>
      <c r="V22" s="23" t="s">
        <v>87</v>
      </c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33" t="s">
        <v>109</v>
      </c>
      <c r="AK22" s="34" t="s">
        <v>128</v>
      </c>
      <c r="AL22" s="35" t="s">
        <v>111</v>
      </c>
      <c r="AM22" s="36">
        <v>1510015</v>
      </c>
      <c r="AN22" s="27">
        <v>7001002</v>
      </c>
      <c r="AO22" s="28">
        <v>1</v>
      </c>
    </row>
    <row r="23" spans="1:41" s="29" customFormat="1" x14ac:dyDescent="0.25">
      <c r="A23" s="30">
        <v>11032</v>
      </c>
      <c r="B23" s="31" t="s">
        <v>112</v>
      </c>
      <c r="C23" s="31" t="s">
        <v>113</v>
      </c>
      <c r="D23" s="31" t="s">
        <v>112</v>
      </c>
      <c r="E23" s="30" t="s">
        <v>86</v>
      </c>
      <c r="F23" s="30"/>
      <c r="G23" s="30"/>
      <c r="H23" s="30"/>
      <c r="I23" s="30"/>
      <c r="J23" s="30"/>
      <c r="K23" s="30">
        <v>1000</v>
      </c>
      <c r="L23" s="32"/>
      <c r="M23" s="32"/>
      <c r="N23" s="32"/>
      <c r="O23" s="32"/>
      <c r="P23" s="32"/>
      <c r="Q23" s="32"/>
      <c r="R23" s="32"/>
      <c r="S23" s="32"/>
      <c r="T23" s="32"/>
      <c r="U23" s="23" t="s">
        <v>87</v>
      </c>
      <c r="V23" s="23" t="s">
        <v>87</v>
      </c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33" t="s">
        <v>114</v>
      </c>
      <c r="AK23" s="34" t="s">
        <v>128</v>
      </c>
      <c r="AL23" s="35" t="s">
        <v>115</v>
      </c>
      <c r="AM23" s="36">
        <v>1510001</v>
      </c>
      <c r="AN23" s="27">
        <v>7001002</v>
      </c>
      <c r="AO23" s="28">
        <v>1</v>
      </c>
    </row>
    <row r="24" spans="1:41" s="29" customFormat="1" x14ac:dyDescent="0.25">
      <c r="A24" s="30">
        <v>11033</v>
      </c>
      <c r="B24" s="31" t="s">
        <v>116</v>
      </c>
      <c r="C24" s="31" t="s">
        <v>117</v>
      </c>
      <c r="D24" s="31" t="s">
        <v>116</v>
      </c>
      <c r="E24" s="30" t="s">
        <v>86</v>
      </c>
      <c r="F24" s="30"/>
      <c r="G24" s="30"/>
      <c r="H24" s="30"/>
      <c r="I24" s="30"/>
      <c r="J24" s="30"/>
      <c r="K24" s="30">
        <v>1000</v>
      </c>
      <c r="L24" s="32"/>
      <c r="M24" s="32"/>
      <c r="N24" s="32"/>
      <c r="O24" s="32"/>
      <c r="P24" s="32"/>
      <c r="Q24" s="32"/>
      <c r="R24" s="32"/>
      <c r="S24" s="32"/>
      <c r="T24" s="32"/>
      <c r="U24" s="23" t="s">
        <v>87</v>
      </c>
      <c r="V24" s="23" t="s">
        <v>87</v>
      </c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33" t="s">
        <v>118</v>
      </c>
      <c r="AK24" s="34" t="s">
        <v>128</v>
      </c>
      <c r="AL24" s="35" t="s">
        <v>119</v>
      </c>
      <c r="AM24" s="36">
        <v>1510007</v>
      </c>
      <c r="AN24" s="27">
        <v>7001002</v>
      </c>
      <c r="AO24" s="28">
        <v>1</v>
      </c>
    </row>
    <row r="25" spans="1:41" s="29" customFormat="1" x14ac:dyDescent="0.25">
      <c r="A25" s="30">
        <v>11034</v>
      </c>
      <c r="B25" s="31" t="s">
        <v>120</v>
      </c>
      <c r="C25" s="31" t="s">
        <v>121</v>
      </c>
      <c r="D25" s="31" t="s">
        <v>120</v>
      </c>
      <c r="E25" s="30" t="s">
        <v>86</v>
      </c>
      <c r="F25" s="30"/>
      <c r="G25" s="30"/>
      <c r="H25" s="30"/>
      <c r="I25" s="30"/>
      <c r="J25" s="30"/>
      <c r="K25" s="30">
        <v>1000</v>
      </c>
      <c r="L25" s="32"/>
      <c r="M25" s="32"/>
      <c r="N25" s="32"/>
      <c r="O25" s="32"/>
      <c r="P25" s="32"/>
      <c r="Q25" s="32"/>
      <c r="R25" s="32"/>
      <c r="S25" s="32"/>
      <c r="T25" s="32"/>
      <c r="U25" s="23" t="s">
        <v>87</v>
      </c>
      <c r="V25" s="23" t="s">
        <v>87</v>
      </c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33" t="s">
        <v>122</v>
      </c>
      <c r="AK25" s="34" t="s">
        <v>128</v>
      </c>
      <c r="AL25" s="35" t="s">
        <v>123</v>
      </c>
      <c r="AM25" s="36">
        <v>1510014</v>
      </c>
      <c r="AN25" s="27">
        <v>7001002</v>
      </c>
      <c r="AO25" s="28">
        <v>1</v>
      </c>
    </row>
    <row r="26" ht="15" customHeight="1" spans="1:41" s="29" customFormat="1" x14ac:dyDescent="0.25">
      <c r="A26" s="30">
        <v>11035</v>
      </c>
      <c r="B26" s="31" t="s">
        <v>129</v>
      </c>
      <c r="C26" s="31" t="s">
        <v>108</v>
      </c>
      <c r="D26" s="31" t="s">
        <v>129</v>
      </c>
      <c r="E26" s="30" t="s">
        <v>86</v>
      </c>
      <c r="F26" s="30"/>
      <c r="G26" s="30"/>
      <c r="H26" s="30"/>
      <c r="I26" s="30"/>
      <c r="J26" s="30"/>
      <c r="K26" s="30">
        <v>1000</v>
      </c>
      <c r="L26" s="32"/>
      <c r="M26" s="32"/>
      <c r="N26" s="32"/>
      <c r="O26" s="32"/>
      <c r="P26" s="32"/>
      <c r="Q26" s="32"/>
      <c r="R26" s="32"/>
      <c r="S26" s="32"/>
      <c r="T26" s="32"/>
      <c r="U26" s="23" t="s">
        <v>87</v>
      </c>
      <c r="V26" s="23" t="s">
        <v>87</v>
      </c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33" t="s">
        <v>130</v>
      </c>
      <c r="AK26" s="34" t="s">
        <v>131</v>
      </c>
      <c r="AL26" s="35" t="s">
        <v>132</v>
      </c>
      <c r="AM26" s="36">
        <v>1510004</v>
      </c>
      <c r="AN26" s="27">
        <v>7001002</v>
      </c>
      <c r="AO26" s="28">
        <v>1</v>
      </c>
    </row>
    <row r="27" ht="15" customHeight="1" spans="1:41" s="29" customFormat="1" x14ac:dyDescent="0.25">
      <c r="A27" s="30">
        <f>A22+10</f>
        <v>11041</v>
      </c>
      <c r="B27" s="31" t="s">
        <v>107</v>
      </c>
      <c r="C27" s="31" t="s">
        <v>108</v>
      </c>
      <c r="D27" s="31" t="s">
        <v>107</v>
      </c>
      <c r="E27" s="30" t="s">
        <v>86</v>
      </c>
      <c r="F27" s="30"/>
      <c r="G27" s="30"/>
      <c r="H27" s="30"/>
      <c r="I27" s="30"/>
      <c r="J27" s="30"/>
      <c r="K27" s="30">
        <v>1000</v>
      </c>
      <c r="L27" s="32"/>
      <c r="M27" s="32"/>
      <c r="N27" s="32"/>
      <c r="O27" s="32"/>
      <c r="P27" s="32"/>
      <c r="Q27" s="32"/>
      <c r="R27" s="32"/>
      <c r="S27" s="32"/>
      <c r="T27" s="32"/>
      <c r="U27" s="23" t="s">
        <v>87</v>
      </c>
      <c r="V27" s="23" t="s">
        <v>87</v>
      </c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33" t="s">
        <v>109</v>
      </c>
      <c r="AK27" s="34" t="s">
        <v>133</v>
      </c>
      <c r="AL27" s="35" t="s">
        <v>111</v>
      </c>
      <c r="AM27" s="36">
        <v>1510003</v>
      </c>
      <c r="AN27" s="27">
        <v>7001002</v>
      </c>
      <c r="AO27" s="28">
        <v>1</v>
      </c>
    </row>
    <row r="28" spans="1:41" s="29" customFormat="1" x14ac:dyDescent="0.25">
      <c r="A28" s="30">
        <f t="shared" ref="A28:A41" si="0">A23+10</f>
        <v>11042</v>
      </c>
      <c r="B28" s="31" t="s">
        <v>112</v>
      </c>
      <c r="C28" s="31" t="s">
        <v>113</v>
      </c>
      <c r="D28" s="31" t="s">
        <v>112</v>
      </c>
      <c r="E28" s="30" t="s">
        <v>86</v>
      </c>
      <c r="F28" s="30"/>
      <c r="G28" s="30"/>
      <c r="H28" s="30"/>
      <c r="I28" s="30"/>
      <c r="J28" s="30"/>
      <c r="K28" s="30">
        <v>1000</v>
      </c>
      <c r="L28" s="32"/>
      <c r="M28" s="32"/>
      <c r="N28" s="32"/>
      <c r="O28" s="32"/>
      <c r="P28" s="32"/>
      <c r="Q28" s="32"/>
      <c r="R28" s="32"/>
      <c r="S28" s="32"/>
      <c r="T28" s="32"/>
      <c r="U28" s="23" t="s">
        <v>87</v>
      </c>
      <c r="V28" s="23" t="s">
        <v>87</v>
      </c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33" t="s">
        <v>114</v>
      </c>
      <c r="AK28" s="34" t="s">
        <v>133</v>
      </c>
      <c r="AL28" s="35" t="s">
        <v>115</v>
      </c>
      <c r="AM28" s="36">
        <v>1510011</v>
      </c>
      <c r="AN28" s="27">
        <v>7001002</v>
      </c>
      <c r="AO28" s="28">
        <v>1</v>
      </c>
    </row>
    <row r="29" spans="1:41" s="29" customFormat="1" x14ac:dyDescent="0.25">
      <c r="A29" s="30">
        <f t="shared" si="0"/>
        <v>11043</v>
      </c>
      <c r="B29" s="31" t="s">
        <v>116</v>
      </c>
      <c r="C29" s="31" t="s">
        <v>117</v>
      </c>
      <c r="D29" s="31" t="s">
        <v>116</v>
      </c>
      <c r="E29" s="30" t="s">
        <v>86</v>
      </c>
      <c r="F29" s="30"/>
      <c r="G29" s="30"/>
      <c r="H29" s="30"/>
      <c r="I29" s="30"/>
      <c r="J29" s="30"/>
      <c r="K29" s="30">
        <v>1000</v>
      </c>
      <c r="L29" s="32"/>
      <c r="M29" s="32"/>
      <c r="N29" s="32"/>
      <c r="O29" s="32"/>
      <c r="P29" s="32"/>
      <c r="Q29" s="32"/>
      <c r="R29" s="32"/>
      <c r="S29" s="32"/>
      <c r="T29" s="32"/>
      <c r="U29" s="23" t="s">
        <v>87</v>
      </c>
      <c r="V29" s="23" t="s">
        <v>87</v>
      </c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33" t="s">
        <v>118</v>
      </c>
      <c r="AK29" s="34" t="s">
        <v>133</v>
      </c>
      <c r="AL29" s="35" t="s">
        <v>119</v>
      </c>
      <c r="AM29" s="36">
        <v>1510013</v>
      </c>
      <c r="AN29" s="27">
        <v>7001002</v>
      </c>
      <c r="AO29" s="28">
        <v>1</v>
      </c>
    </row>
    <row r="30" spans="1:41" s="29" customFormat="1" x14ac:dyDescent="0.25">
      <c r="A30" s="30">
        <f t="shared" si="0"/>
        <v>11044</v>
      </c>
      <c r="B30" s="31" t="s">
        <v>120</v>
      </c>
      <c r="C30" s="31" t="s">
        <v>121</v>
      </c>
      <c r="D30" s="31" t="s">
        <v>120</v>
      </c>
      <c r="E30" s="30" t="s">
        <v>86</v>
      </c>
      <c r="F30" s="30"/>
      <c r="G30" s="30"/>
      <c r="H30" s="30"/>
      <c r="I30" s="30"/>
      <c r="J30" s="30"/>
      <c r="K30" s="30">
        <v>1000</v>
      </c>
      <c r="L30" s="32"/>
      <c r="M30" s="32"/>
      <c r="N30" s="32"/>
      <c r="O30" s="32"/>
      <c r="P30" s="32"/>
      <c r="Q30" s="32"/>
      <c r="R30" s="32"/>
      <c r="S30" s="32"/>
      <c r="T30" s="32"/>
      <c r="U30" s="23" t="s">
        <v>87</v>
      </c>
      <c r="V30" s="23" t="s">
        <v>87</v>
      </c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33" t="s">
        <v>122</v>
      </c>
      <c r="AK30" s="34" t="s">
        <v>133</v>
      </c>
      <c r="AL30" s="35" t="s">
        <v>123</v>
      </c>
      <c r="AM30" s="36">
        <v>1510008</v>
      </c>
      <c r="AN30" s="27">
        <v>7001002</v>
      </c>
      <c r="AO30" s="28">
        <v>1</v>
      </c>
    </row>
    <row r="31" ht="15" customHeight="1" spans="1:41" s="29" customFormat="1" x14ac:dyDescent="0.25">
      <c r="A31" s="30">
        <f t="shared" si="0"/>
        <v>11045</v>
      </c>
      <c r="B31" s="31" t="s">
        <v>129</v>
      </c>
      <c r="C31" s="31" t="s">
        <v>108</v>
      </c>
      <c r="D31" s="31" t="s">
        <v>129</v>
      </c>
      <c r="E31" s="30" t="s">
        <v>86</v>
      </c>
      <c r="F31" s="30"/>
      <c r="G31" s="30"/>
      <c r="H31" s="30"/>
      <c r="I31" s="30"/>
      <c r="J31" s="30"/>
      <c r="K31" s="30">
        <v>1000</v>
      </c>
      <c r="L31" s="32"/>
      <c r="M31" s="32"/>
      <c r="N31" s="32"/>
      <c r="O31" s="32"/>
      <c r="P31" s="32"/>
      <c r="Q31" s="32"/>
      <c r="R31" s="32"/>
      <c r="S31" s="32"/>
      <c r="T31" s="32"/>
      <c r="U31" s="23" t="s">
        <v>87</v>
      </c>
      <c r="V31" s="23" t="s">
        <v>87</v>
      </c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33" t="s">
        <v>130</v>
      </c>
      <c r="AK31" s="34" t="s">
        <v>133</v>
      </c>
      <c r="AL31" s="35" t="s">
        <v>132</v>
      </c>
      <c r="AM31" s="36">
        <v>1510010</v>
      </c>
      <c r="AN31" s="27">
        <v>7001002</v>
      </c>
      <c r="AO31" s="28">
        <v>1</v>
      </c>
    </row>
    <row r="32" ht="15" customHeight="1" spans="1:41" s="29" customFormat="1" x14ac:dyDescent="0.25">
      <c r="A32" s="30">
        <f t="shared" si="0"/>
        <v>11051</v>
      </c>
      <c r="B32" s="31" t="s">
        <v>107</v>
      </c>
      <c r="C32" s="31" t="s">
        <v>108</v>
      </c>
      <c r="D32" s="31" t="s">
        <v>107</v>
      </c>
      <c r="E32" s="30" t="s">
        <v>86</v>
      </c>
      <c r="F32" s="30"/>
      <c r="G32" s="30"/>
      <c r="H32" s="30"/>
      <c r="I32" s="30"/>
      <c r="J32" s="30"/>
      <c r="K32" s="30">
        <v>1000</v>
      </c>
      <c r="L32" s="32"/>
      <c r="M32" s="32"/>
      <c r="N32" s="32"/>
      <c r="O32" s="32"/>
      <c r="P32" s="32"/>
      <c r="Q32" s="32"/>
      <c r="R32" s="32"/>
      <c r="S32" s="32"/>
      <c r="T32" s="32"/>
      <c r="U32" s="23" t="s">
        <v>87</v>
      </c>
      <c r="V32" s="23" t="s">
        <v>87</v>
      </c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33" t="s">
        <v>109</v>
      </c>
      <c r="AK32" s="34" t="s">
        <v>134</v>
      </c>
      <c r="AL32" s="35" t="s">
        <v>111</v>
      </c>
      <c r="AM32" s="36">
        <v>1510005</v>
      </c>
      <c r="AN32" s="27">
        <v>7001002</v>
      </c>
      <c r="AO32" s="28">
        <v>1</v>
      </c>
    </row>
    <row r="33" spans="1:41" s="29" customFormat="1" x14ac:dyDescent="0.25">
      <c r="A33" s="30">
        <f t="shared" si="0"/>
        <v>11052</v>
      </c>
      <c r="B33" s="31" t="s">
        <v>112</v>
      </c>
      <c r="C33" s="31" t="s">
        <v>113</v>
      </c>
      <c r="D33" s="31" t="s">
        <v>112</v>
      </c>
      <c r="E33" s="30" t="s">
        <v>86</v>
      </c>
      <c r="F33" s="30"/>
      <c r="G33" s="30"/>
      <c r="H33" s="30"/>
      <c r="I33" s="30"/>
      <c r="J33" s="30"/>
      <c r="K33" s="30">
        <v>1000</v>
      </c>
      <c r="L33" s="32"/>
      <c r="M33" s="32"/>
      <c r="N33" s="32"/>
      <c r="O33" s="32"/>
      <c r="P33" s="32"/>
      <c r="Q33" s="32"/>
      <c r="R33" s="32"/>
      <c r="S33" s="32"/>
      <c r="T33" s="32"/>
      <c r="U33" s="23" t="s">
        <v>87</v>
      </c>
      <c r="V33" s="23" t="s">
        <v>87</v>
      </c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33" t="s">
        <v>114</v>
      </c>
      <c r="AK33" s="34" t="s">
        <v>134</v>
      </c>
      <c r="AL33" s="35" t="s">
        <v>115</v>
      </c>
      <c r="AM33" s="36">
        <v>1510002</v>
      </c>
      <c r="AN33" s="27">
        <v>7001002</v>
      </c>
      <c r="AO33" s="28">
        <v>1</v>
      </c>
    </row>
    <row r="34" spans="1:41" s="29" customFormat="1" x14ac:dyDescent="0.25">
      <c r="A34" s="30">
        <f t="shared" si="0"/>
        <v>11053</v>
      </c>
      <c r="B34" s="31" t="s">
        <v>116</v>
      </c>
      <c r="C34" s="31" t="s">
        <v>117</v>
      </c>
      <c r="D34" s="31" t="s">
        <v>116</v>
      </c>
      <c r="E34" s="30" t="s">
        <v>86</v>
      </c>
      <c r="F34" s="30"/>
      <c r="G34" s="30"/>
      <c r="H34" s="30"/>
      <c r="I34" s="30"/>
      <c r="J34" s="30"/>
      <c r="K34" s="30">
        <v>1000</v>
      </c>
      <c r="L34" s="32"/>
      <c r="M34" s="32"/>
      <c r="N34" s="32"/>
      <c r="O34" s="32"/>
      <c r="P34" s="32"/>
      <c r="Q34" s="32"/>
      <c r="R34" s="32"/>
      <c r="S34" s="32"/>
      <c r="T34" s="32"/>
      <c r="U34" s="23" t="s">
        <v>87</v>
      </c>
      <c r="V34" s="23" t="s">
        <v>87</v>
      </c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33" t="s">
        <v>118</v>
      </c>
      <c r="AK34" s="34" t="s">
        <v>134</v>
      </c>
      <c r="AL34" s="35" t="s">
        <v>119</v>
      </c>
      <c r="AM34" s="36">
        <v>1510001</v>
      </c>
      <c r="AN34" s="27">
        <v>7001002</v>
      </c>
      <c r="AO34" s="28">
        <v>1</v>
      </c>
    </row>
    <row r="35" spans="1:41" s="29" customFormat="1" x14ac:dyDescent="0.25">
      <c r="A35" s="30">
        <f t="shared" si="0"/>
        <v>11054</v>
      </c>
      <c r="B35" s="31" t="s">
        <v>120</v>
      </c>
      <c r="C35" s="31" t="s">
        <v>121</v>
      </c>
      <c r="D35" s="31" t="s">
        <v>120</v>
      </c>
      <c r="E35" s="30" t="s">
        <v>86</v>
      </c>
      <c r="F35" s="30"/>
      <c r="G35" s="30"/>
      <c r="H35" s="30"/>
      <c r="I35" s="30"/>
      <c r="J35" s="30"/>
      <c r="K35" s="30">
        <v>1000</v>
      </c>
      <c r="L35" s="32"/>
      <c r="M35" s="32"/>
      <c r="N35" s="32"/>
      <c r="O35" s="32"/>
      <c r="P35" s="32"/>
      <c r="Q35" s="32"/>
      <c r="R35" s="32"/>
      <c r="S35" s="32"/>
      <c r="T35" s="32"/>
      <c r="U35" s="23" t="s">
        <v>87</v>
      </c>
      <c r="V35" s="23" t="s">
        <v>87</v>
      </c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33" t="s">
        <v>122</v>
      </c>
      <c r="AK35" s="34" t="s">
        <v>134</v>
      </c>
      <c r="AL35" s="35" t="s">
        <v>123</v>
      </c>
      <c r="AM35" s="36">
        <v>1510009</v>
      </c>
      <c r="AN35" s="27">
        <v>7001002</v>
      </c>
      <c r="AO35" s="28">
        <v>1</v>
      </c>
    </row>
    <row r="36" ht="15" customHeight="1" spans="1:41" s="29" customFormat="1" x14ac:dyDescent="0.25">
      <c r="A36" s="30">
        <f t="shared" si="0"/>
        <v>11055</v>
      </c>
      <c r="B36" s="31" t="s">
        <v>129</v>
      </c>
      <c r="C36" s="31" t="s">
        <v>108</v>
      </c>
      <c r="D36" s="31" t="s">
        <v>129</v>
      </c>
      <c r="E36" s="30" t="s">
        <v>86</v>
      </c>
      <c r="F36" s="30"/>
      <c r="G36" s="30"/>
      <c r="H36" s="30"/>
      <c r="I36" s="30"/>
      <c r="J36" s="30"/>
      <c r="K36" s="30">
        <v>1000</v>
      </c>
      <c r="L36" s="32"/>
      <c r="M36" s="32"/>
      <c r="N36" s="32"/>
      <c r="O36" s="32"/>
      <c r="P36" s="32"/>
      <c r="Q36" s="32"/>
      <c r="R36" s="32"/>
      <c r="S36" s="32"/>
      <c r="T36" s="32"/>
      <c r="U36" s="23" t="s">
        <v>87</v>
      </c>
      <c r="V36" s="23" t="s">
        <v>87</v>
      </c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33" t="s">
        <v>130</v>
      </c>
      <c r="AK36" s="34" t="s">
        <v>134</v>
      </c>
      <c r="AL36" s="35" t="s">
        <v>132</v>
      </c>
      <c r="AM36" s="36">
        <v>1510012</v>
      </c>
      <c r="AN36" s="27">
        <v>7001002</v>
      </c>
      <c r="AO36" s="28">
        <v>1</v>
      </c>
    </row>
    <row r="37" ht="15" customHeight="1" spans="1:41" s="29" customFormat="1" x14ac:dyDescent="0.25">
      <c r="A37" s="30">
        <f t="shared" si="0"/>
        <v>11061</v>
      </c>
      <c r="B37" s="31" t="s">
        <v>107</v>
      </c>
      <c r="C37" s="31" t="s">
        <v>108</v>
      </c>
      <c r="D37" s="31" t="s">
        <v>107</v>
      </c>
      <c r="E37" s="30" t="s">
        <v>86</v>
      </c>
      <c r="F37" s="30"/>
      <c r="G37" s="30"/>
      <c r="H37" s="30"/>
      <c r="I37" s="30"/>
      <c r="J37" s="30"/>
      <c r="K37" s="30">
        <v>1000</v>
      </c>
      <c r="L37" s="32"/>
      <c r="M37" s="32"/>
      <c r="N37" s="32"/>
      <c r="O37" s="32"/>
      <c r="P37" s="32"/>
      <c r="Q37" s="32"/>
      <c r="R37" s="32"/>
      <c r="S37" s="32"/>
      <c r="T37" s="32"/>
      <c r="U37" s="23" t="s">
        <v>87</v>
      </c>
      <c r="V37" s="23" t="s">
        <v>87</v>
      </c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33" t="s">
        <v>109</v>
      </c>
      <c r="AK37" s="34" t="s">
        <v>135</v>
      </c>
      <c r="AL37" s="35" t="s">
        <v>111</v>
      </c>
      <c r="AM37" s="36">
        <v>1510015</v>
      </c>
      <c r="AN37" s="27">
        <v>7001002</v>
      </c>
      <c r="AO37" s="28">
        <v>1</v>
      </c>
    </row>
    <row r="38" spans="1:41" s="29" customFormat="1" x14ac:dyDescent="0.25">
      <c r="A38" s="30">
        <f t="shared" si="0"/>
        <v>11062</v>
      </c>
      <c r="B38" s="31" t="s">
        <v>112</v>
      </c>
      <c r="C38" s="31" t="s">
        <v>113</v>
      </c>
      <c r="D38" s="31" t="s">
        <v>112</v>
      </c>
      <c r="E38" s="30" t="s">
        <v>86</v>
      </c>
      <c r="F38" s="30"/>
      <c r="G38" s="30"/>
      <c r="H38" s="30"/>
      <c r="I38" s="30"/>
      <c r="J38" s="30"/>
      <c r="K38" s="30">
        <v>1000</v>
      </c>
      <c r="L38" s="32"/>
      <c r="M38" s="32"/>
      <c r="N38" s="32"/>
      <c r="O38" s="32"/>
      <c r="P38" s="32"/>
      <c r="Q38" s="32"/>
      <c r="R38" s="32"/>
      <c r="S38" s="32"/>
      <c r="T38" s="32"/>
      <c r="U38" s="23" t="s">
        <v>87</v>
      </c>
      <c r="V38" s="23" t="s">
        <v>87</v>
      </c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33" t="s">
        <v>114</v>
      </c>
      <c r="AK38" s="34" t="s">
        <v>135</v>
      </c>
      <c r="AL38" s="35" t="s">
        <v>115</v>
      </c>
      <c r="AM38" s="36">
        <v>1510001</v>
      </c>
      <c r="AN38" s="27">
        <v>7001002</v>
      </c>
      <c r="AO38" s="28">
        <v>1</v>
      </c>
    </row>
    <row r="39" spans="1:41" s="29" customFormat="1" x14ac:dyDescent="0.25">
      <c r="A39" s="30">
        <f t="shared" si="0"/>
        <v>11063</v>
      </c>
      <c r="B39" s="31" t="s">
        <v>116</v>
      </c>
      <c r="C39" s="31" t="s">
        <v>117</v>
      </c>
      <c r="D39" s="31" t="s">
        <v>116</v>
      </c>
      <c r="E39" s="30" t="s">
        <v>86</v>
      </c>
      <c r="F39" s="30"/>
      <c r="G39" s="30"/>
      <c r="H39" s="30"/>
      <c r="I39" s="30"/>
      <c r="J39" s="30"/>
      <c r="K39" s="30">
        <v>1000</v>
      </c>
      <c r="L39" s="32"/>
      <c r="M39" s="32"/>
      <c r="N39" s="32"/>
      <c r="O39" s="32"/>
      <c r="P39" s="32"/>
      <c r="Q39" s="32"/>
      <c r="R39" s="32"/>
      <c r="S39" s="32"/>
      <c r="T39" s="32"/>
      <c r="U39" s="23" t="s">
        <v>87</v>
      </c>
      <c r="V39" s="23" t="s">
        <v>87</v>
      </c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33" t="s">
        <v>118</v>
      </c>
      <c r="AK39" s="34" t="s">
        <v>135</v>
      </c>
      <c r="AL39" s="35" t="s">
        <v>119</v>
      </c>
      <c r="AM39" s="36">
        <v>1510004</v>
      </c>
      <c r="AN39" s="27">
        <v>7001002</v>
      </c>
      <c r="AO39" s="28">
        <v>1</v>
      </c>
    </row>
    <row r="40" spans="1:41" s="29" customFormat="1" x14ac:dyDescent="0.25">
      <c r="A40" s="30">
        <f t="shared" si="0"/>
        <v>11064</v>
      </c>
      <c r="B40" s="31" t="s">
        <v>120</v>
      </c>
      <c r="C40" s="31" t="s">
        <v>121</v>
      </c>
      <c r="D40" s="31" t="s">
        <v>120</v>
      </c>
      <c r="E40" s="30" t="s">
        <v>86</v>
      </c>
      <c r="F40" s="30"/>
      <c r="G40" s="30"/>
      <c r="H40" s="30"/>
      <c r="I40" s="30"/>
      <c r="J40" s="30"/>
      <c r="K40" s="30">
        <v>1000</v>
      </c>
      <c r="L40" s="32"/>
      <c r="M40" s="32"/>
      <c r="N40" s="32"/>
      <c r="O40" s="32"/>
      <c r="P40" s="32"/>
      <c r="Q40" s="32"/>
      <c r="R40" s="32"/>
      <c r="S40" s="32"/>
      <c r="T40" s="32"/>
      <c r="U40" s="23" t="s">
        <v>87</v>
      </c>
      <c r="V40" s="23" t="s">
        <v>87</v>
      </c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33" t="s">
        <v>122</v>
      </c>
      <c r="AK40" s="34" t="s">
        <v>135</v>
      </c>
      <c r="AL40" s="35" t="s">
        <v>123</v>
      </c>
      <c r="AM40" s="36">
        <v>1510003</v>
      </c>
      <c r="AN40" s="27">
        <v>7001002</v>
      </c>
      <c r="AO40" s="28">
        <v>1</v>
      </c>
    </row>
    <row r="41" ht="15" customHeight="1" spans="1:41" s="29" customFormat="1" x14ac:dyDescent="0.25">
      <c r="A41" s="30">
        <f t="shared" si="0"/>
        <v>11065</v>
      </c>
      <c r="B41" s="31" t="s">
        <v>129</v>
      </c>
      <c r="C41" s="31" t="s">
        <v>108</v>
      </c>
      <c r="D41" s="31" t="s">
        <v>129</v>
      </c>
      <c r="E41" s="30" t="s">
        <v>86</v>
      </c>
      <c r="F41" s="30"/>
      <c r="G41" s="30"/>
      <c r="H41" s="30"/>
      <c r="I41" s="30"/>
      <c r="J41" s="30"/>
      <c r="K41" s="30">
        <v>1000</v>
      </c>
      <c r="L41" s="32"/>
      <c r="M41" s="32"/>
      <c r="N41" s="32"/>
      <c r="O41" s="32"/>
      <c r="P41" s="32"/>
      <c r="Q41" s="32"/>
      <c r="R41" s="32"/>
      <c r="S41" s="32"/>
      <c r="T41" s="32"/>
      <c r="U41" s="23" t="s">
        <v>87</v>
      </c>
      <c r="V41" s="23" t="s">
        <v>87</v>
      </c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33" t="s">
        <v>130</v>
      </c>
      <c r="AK41" s="34" t="s">
        <v>135</v>
      </c>
      <c r="AL41" s="35" t="s">
        <v>132</v>
      </c>
      <c r="AM41" s="36">
        <v>1510011</v>
      </c>
      <c r="AN41" s="27">
        <v>7001002</v>
      </c>
      <c r="AO41" s="28">
        <v>1</v>
      </c>
    </row>
    <row r="42" ht="15" customHeight="1" spans="1:41" s="29" customFormat="1" x14ac:dyDescent="0.25">
      <c r="A42" s="30">
        <v>11066</v>
      </c>
      <c r="B42" s="31" t="s">
        <v>136</v>
      </c>
      <c r="C42" s="31" t="s">
        <v>108</v>
      </c>
      <c r="D42" s="31" t="s">
        <v>129</v>
      </c>
      <c r="E42" s="30" t="s">
        <v>86</v>
      </c>
      <c r="F42" s="30"/>
      <c r="G42" s="30"/>
      <c r="H42" s="30"/>
      <c r="I42" s="30"/>
      <c r="J42" s="30"/>
      <c r="K42" s="30">
        <v>1000</v>
      </c>
      <c r="L42" s="32"/>
      <c r="M42" s="32"/>
      <c r="N42" s="32"/>
      <c r="O42" s="32"/>
      <c r="P42" s="32"/>
      <c r="Q42" s="32"/>
      <c r="R42" s="32"/>
      <c r="S42" s="32"/>
      <c r="T42" s="32"/>
      <c r="U42" s="23" t="s">
        <v>87</v>
      </c>
      <c r="V42" s="23" t="s">
        <v>87</v>
      </c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33" t="s">
        <v>130</v>
      </c>
      <c r="AK42" s="34" t="s">
        <v>137</v>
      </c>
      <c r="AL42" s="35" t="s">
        <v>132</v>
      </c>
      <c r="AM42" s="36">
        <v>1510013</v>
      </c>
      <c r="AN42" s="27">
        <v>7001002</v>
      </c>
      <c r="AO42" s="28">
        <v>1</v>
      </c>
    </row>
    <row r="43" spans="1:41" s="37" customFormat="1" x14ac:dyDescent="0.25">
      <c r="A43" s="19">
        <v>20001</v>
      </c>
      <c r="B43" s="38" t="s">
        <v>138</v>
      </c>
      <c r="C43" s="38" t="str">
        <f>"monster_"&amp;A43</f>
        <v>monster_20001</v>
      </c>
      <c r="D43" s="38" t="s">
        <v>139</v>
      </c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 t="s">
        <v>140</v>
      </c>
      <c r="AK43" s="34" t="s">
        <v>141</v>
      </c>
      <c r="AL43" s="39" t="s">
        <v>142</v>
      </c>
      <c r="AM43" s="40">
        <v>1510006</v>
      </c>
      <c r="AN43" s="41">
        <v>7001002</v>
      </c>
      <c r="AO43" s="28">
        <v>3</v>
      </c>
    </row>
    <row r="44" spans="1:41" s="37" customFormat="1" x14ac:dyDescent="0.25">
      <c r="A44" s="19">
        <v>20002</v>
      </c>
      <c r="B44" s="38" t="s">
        <v>138</v>
      </c>
      <c r="C44" s="38" t="str">
        <f t="shared" ref="C44:C107" si="1">"monster_"&amp;A44</f>
        <v>monster_20002</v>
      </c>
      <c r="D44" s="38" t="s">
        <v>143</v>
      </c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 t="s">
        <v>144</v>
      </c>
      <c r="AK44" s="34" t="s">
        <v>141</v>
      </c>
      <c r="AL44" s="39" t="s">
        <v>145</v>
      </c>
      <c r="AM44" s="37">
        <v>1510010</v>
      </c>
      <c r="AN44" s="41">
        <v>7001002</v>
      </c>
      <c r="AO44" s="28">
        <v>3</v>
      </c>
    </row>
    <row r="45" spans="1:41" s="37" customFormat="1" x14ac:dyDescent="0.25">
      <c r="A45" s="19">
        <v>20003</v>
      </c>
      <c r="B45" s="38" t="s">
        <v>146</v>
      </c>
      <c r="C45" s="38" t="str">
        <f t="shared" si="1"/>
        <v>monster_20003</v>
      </c>
      <c r="D45" s="38" t="s">
        <v>147</v>
      </c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 t="s">
        <v>148</v>
      </c>
      <c r="AK45" s="34" t="s">
        <v>149</v>
      </c>
      <c r="AL45" s="39" t="s">
        <v>150</v>
      </c>
      <c r="AM45" s="37">
        <v>1510009</v>
      </c>
      <c r="AN45" s="41">
        <v>7001002</v>
      </c>
      <c r="AO45" s="28">
        <v>3</v>
      </c>
    </row>
    <row r="46" spans="1:41" s="37" customFormat="1" x14ac:dyDescent="0.25">
      <c r="A46" s="19">
        <v>20004</v>
      </c>
      <c r="B46" s="38" t="s">
        <v>151</v>
      </c>
      <c r="C46" s="38" t="str">
        <f t="shared" si="1"/>
        <v>monster_20004</v>
      </c>
      <c r="D46" s="38" t="s">
        <v>152</v>
      </c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 t="s">
        <v>153</v>
      </c>
      <c r="AK46" s="34" t="s">
        <v>154</v>
      </c>
      <c r="AL46" s="39" t="s">
        <v>155</v>
      </c>
      <c r="AM46" s="37">
        <v>1510004</v>
      </c>
      <c r="AN46" s="41">
        <v>7001002</v>
      </c>
      <c r="AO46" s="28">
        <v>4</v>
      </c>
    </row>
    <row r="47" spans="1:41" s="37" customFormat="1" x14ac:dyDescent="0.25">
      <c r="A47" s="19">
        <v>20005</v>
      </c>
      <c r="B47" s="38" t="s">
        <v>151</v>
      </c>
      <c r="C47" s="38" t="str">
        <f t="shared" si="1"/>
        <v>monster_20005</v>
      </c>
      <c r="D47" s="38" t="s">
        <v>156</v>
      </c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 t="s">
        <v>157</v>
      </c>
      <c r="AK47" s="34" t="s">
        <v>154</v>
      </c>
      <c r="AL47" s="39" t="s">
        <v>158</v>
      </c>
      <c r="AM47" s="37">
        <v>1510001</v>
      </c>
      <c r="AN47" s="41">
        <v>7001002</v>
      </c>
      <c r="AO47" s="28">
        <v>4</v>
      </c>
    </row>
    <row r="48" spans="1:41" s="37" customFormat="1" x14ac:dyDescent="0.25">
      <c r="A48" s="19">
        <v>20006</v>
      </c>
      <c r="B48" s="38" t="s">
        <v>146</v>
      </c>
      <c r="C48" s="38" t="str">
        <f t="shared" si="1"/>
        <v>monster_20006</v>
      </c>
      <c r="D48" s="38" t="s">
        <v>159</v>
      </c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 t="s">
        <v>160</v>
      </c>
      <c r="AK48" s="34" t="s">
        <v>149</v>
      </c>
      <c r="AL48" s="39" t="s">
        <v>161</v>
      </c>
      <c r="AM48" s="37">
        <v>1510008</v>
      </c>
      <c r="AN48" s="41">
        <v>7001002</v>
      </c>
      <c r="AO48" s="28">
        <v>4</v>
      </c>
    </row>
    <row r="49" spans="1:41" s="37" customFormat="1" x14ac:dyDescent="0.25">
      <c r="A49" s="19">
        <v>20007</v>
      </c>
      <c r="B49" s="38" t="s">
        <v>151</v>
      </c>
      <c r="C49" s="38" t="str">
        <f t="shared" si="1"/>
        <v>monster_20007</v>
      </c>
      <c r="D49" s="38" t="s">
        <v>162</v>
      </c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 t="s">
        <v>163</v>
      </c>
      <c r="AK49" s="34" t="s">
        <v>154</v>
      </c>
      <c r="AL49" s="39" t="s">
        <v>164</v>
      </c>
      <c r="AM49" s="37">
        <v>1510003</v>
      </c>
      <c r="AN49" s="41">
        <v>7001002</v>
      </c>
      <c r="AO49" s="28">
        <v>5</v>
      </c>
    </row>
    <row r="50" spans="1:41" s="37" customFormat="1" x14ac:dyDescent="0.25">
      <c r="A50" s="19">
        <v>20008</v>
      </c>
      <c r="B50" s="38" t="s">
        <v>151</v>
      </c>
      <c r="C50" s="38" t="str">
        <f t="shared" si="1"/>
        <v>monster_20008</v>
      </c>
      <c r="D50" s="38" t="s">
        <v>165</v>
      </c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 t="s">
        <v>166</v>
      </c>
      <c r="AK50" s="34" t="s">
        <v>154</v>
      </c>
      <c r="AL50" s="39" t="s">
        <v>167</v>
      </c>
      <c r="AM50" s="37">
        <v>1510005</v>
      </c>
      <c r="AN50" s="41">
        <v>7001002</v>
      </c>
      <c r="AO50" s="28">
        <v>5</v>
      </c>
    </row>
    <row r="51" spans="1:41" s="37" customFormat="1" x14ac:dyDescent="0.25">
      <c r="A51" s="19">
        <v>20009</v>
      </c>
      <c r="B51" s="38" t="s">
        <v>138</v>
      </c>
      <c r="C51" s="38" t="str">
        <f t="shared" si="1"/>
        <v>monster_20009</v>
      </c>
      <c r="D51" s="38" t="s">
        <v>168</v>
      </c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 t="s">
        <v>169</v>
      </c>
      <c r="AK51" s="34" t="s">
        <v>141</v>
      </c>
      <c r="AL51" s="39" t="s">
        <v>170</v>
      </c>
      <c r="AM51" s="37">
        <v>1510002</v>
      </c>
      <c r="AN51" s="41">
        <v>7001002</v>
      </c>
      <c r="AO51" s="28">
        <v>5</v>
      </c>
    </row>
    <row r="52" spans="1:41" s="37" customFormat="1" x14ac:dyDescent="0.25">
      <c r="A52" s="19">
        <v>20010</v>
      </c>
      <c r="B52" s="38" t="s">
        <v>151</v>
      </c>
      <c r="C52" s="38" t="str">
        <f t="shared" si="1"/>
        <v>monster_20010</v>
      </c>
      <c r="D52" s="38" t="s">
        <v>171</v>
      </c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 t="s">
        <v>172</v>
      </c>
      <c r="AK52" s="34" t="s">
        <v>154</v>
      </c>
      <c r="AL52" s="39" t="s">
        <v>173</v>
      </c>
      <c r="AM52" s="37">
        <v>1510014</v>
      </c>
      <c r="AN52" s="41">
        <v>7001002</v>
      </c>
      <c r="AO52" s="28">
        <v>5</v>
      </c>
    </row>
    <row r="53" spans="1:41" s="37" customFormat="1" x14ac:dyDescent="0.25">
      <c r="A53" s="19">
        <v>20011</v>
      </c>
      <c r="B53" s="38" t="s">
        <v>151</v>
      </c>
      <c r="C53" s="38" t="str">
        <f t="shared" si="1"/>
        <v>monster_20011</v>
      </c>
      <c r="D53" s="38" t="s">
        <v>174</v>
      </c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 t="s">
        <v>175</v>
      </c>
      <c r="AK53" s="34" t="s">
        <v>154</v>
      </c>
      <c r="AL53" s="39" t="s">
        <v>176</v>
      </c>
      <c r="AM53" s="37">
        <v>1510013</v>
      </c>
      <c r="AN53" s="41">
        <v>7001002</v>
      </c>
      <c r="AO53" s="28">
        <v>5</v>
      </c>
    </row>
    <row r="54" spans="1:41" s="37" customFormat="1" x14ac:dyDescent="0.25">
      <c r="A54" s="19">
        <v>30001</v>
      </c>
      <c r="B54" s="38" t="s">
        <v>177</v>
      </c>
      <c r="C54" s="38" t="str">
        <f t="shared" si="1"/>
        <v>monster_30001</v>
      </c>
      <c r="D54" s="38" t="s">
        <v>139</v>
      </c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 t="s">
        <v>140</v>
      </c>
      <c r="AK54" t="s">
        <v>178</v>
      </c>
      <c r="AL54" s="39" t="s">
        <v>142</v>
      </c>
      <c r="AM54" s="40">
        <v>1510006</v>
      </c>
      <c r="AN54" s="41">
        <v>7001002</v>
      </c>
      <c r="AO54" s="28">
        <v>3</v>
      </c>
    </row>
    <row r="55" spans="1:41" s="37" customFormat="1" x14ac:dyDescent="0.25">
      <c r="A55" s="19">
        <v>30002</v>
      </c>
      <c r="B55" s="38" t="s">
        <v>177</v>
      </c>
      <c r="C55" s="38" t="str">
        <f t="shared" si="1"/>
        <v>monster_30002</v>
      </c>
      <c r="D55" s="38" t="s">
        <v>143</v>
      </c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 t="s">
        <v>144</v>
      </c>
      <c r="AK55" t="s">
        <v>178</v>
      </c>
      <c r="AL55" s="39" t="s">
        <v>145</v>
      </c>
      <c r="AM55" s="37">
        <v>1510010</v>
      </c>
      <c r="AN55" s="41">
        <v>7001002</v>
      </c>
      <c r="AO55" s="28">
        <v>3</v>
      </c>
    </row>
    <row r="56" spans="1:41" s="37" customFormat="1" x14ac:dyDescent="0.25">
      <c r="A56" s="19">
        <v>30003</v>
      </c>
      <c r="B56" s="38" t="s">
        <v>177</v>
      </c>
      <c r="C56" s="38" t="str">
        <f t="shared" si="1"/>
        <v>monster_30003</v>
      </c>
      <c r="D56" s="38" t="s">
        <v>147</v>
      </c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 t="s">
        <v>148</v>
      </c>
      <c r="AK56" t="s">
        <v>178</v>
      </c>
      <c r="AL56" s="39" t="s">
        <v>150</v>
      </c>
      <c r="AM56" s="37">
        <v>1510009</v>
      </c>
      <c r="AN56" s="41">
        <v>7001002</v>
      </c>
      <c r="AO56" s="28">
        <v>3</v>
      </c>
    </row>
    <row r="57" spans="1:41" s="37" customFormat="1" x14ac:dyDescent="0.25">
      <c r="A57" s="19">
        <v>30004</v>
      </c>
      <c r="B57" s="38" t="s">
        <v>177</v>
      </c>
      <c r="C57" s="38" t="str">
        <f t="shared" si="1"/>
        <v>monster_30004</v>
      </c>
      <c r="D57" s="38" t="s">
        <v>152</v>
      </c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 t="s">
        <v>153</v>
      </c>
      <c r="AK57" t="s">
        <v>178</v>
      </c>
      <c r="AL57" s="39" t="s">
        <v>155</v>
      </c>
      <c r="AM57" s="37">
        <v>1510004</v>
      </c>
      <c r="AN57" s="41">
        <v>7001002</v>
      </c>
      <c r="AO57" s="28">
        <v>4</v>
      </c>
    </row>
    <row r="58" spans="1:41" s="37" customFormat="1" x14ac:dyDescent="0.25">
      <c r="A58" s="19">
        <v>30005</v>
      </c>
      <c r="B58" s="38" t="s">
        <v>177</v>
      </c>
      <c r="C58" s="38" t="str">
        <f t="shared" si="1"/>
        <v>monster_30005</v>
      </c>
      <c r="D58" s="38" t="s">
        <v>156</v>
      </c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 t="s">
        <v>157</v>
      </c>
      <c r="AK58" t="s">
        <v>178</v>
      </c>
      <c r="AL58" s="39" t="s">
        <v>158</v>
      </c>
      <c r="AM58" s="37">
        <v>1510001</v>
      </c>
      <c r="AN58" s="41">
        <v>7001002</v>
      </c>
      <c r="AO58" s="28">
        <v>4</v>
      </c>
    </row>
    <row r="59" spans="1:41" s="37" customFormat="1" x14ac:dyDescent="0.25">
      <c r="A59" s="19">
        <v>30006</v>
      </c>
      <c r="B59" s="38" t="s">
        <v>177</v>
      </c>
      <c r="C59" s="38" t="str">
        <f t="shared" si="1"/>
        <v>monster_30006</v>
      </c>
      <c r="D59" s="38" t="s">
        <v>159</v>
      </c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 t="s">
        <v>160</v>
      </c>
      <c r="AK59" t="s">
        <v>178</v>
      </c>
      <c r="AL59" s="39" t="s">
        <v>161</v>
      </c>
      <c r="AM59" s="37">
        <v>1510008</v>
      </c>
      <c r="AN59" s="41">
        <v>7001002</v>
      </c>
      <c r="AO59" s="28">
        <v>4</v>
      </c>
    </row>
    <row r="60" spans="1:41" s="37" customFormat="1" x14ac:dyDescent="0.25">
      <c r="A60" s="19">
        <v>30007</v>
      </c>
      <c r="B60" s="38" t="s">
        <v>177</v>
      </c>
      <c r="C60" s="38" t="str">
        <f t="shared" si="1"/>
        <v>monster_30007</v>
      </c>
      <c r="D60" s="38" t="s">
        <v>162</v>
      </c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 t="s">
        <v>163</v>
      </c>
      <c r="AK60" t="s">
        <v>178</v>
      </c>
      <c r="AL60" s="39" t="s">
        <v>164</v>
      </c>
      <c r="AM60" s="37">
        <v>1510003</v>
      </c>
      <c r="AN60" s="41">
        <v>7001002</v>
      </c>
      <c r="AO60" s="28">
        <v>5</v>
      </c>
    </row>
    <row r="61" spans="1:41" s="37" customFormat="1" x14ac:dyDescent="0.25">
      <c r="A61" s="19">
        <v>30008</v>
      </c>
      <c r="B61" s="38" t="s">
        <v>177</v>
      </c>
      <c r="C61" s="38" t="str">
        <f t="shared" si="1"/>
        <v>monster_30008</v>
      </c>
      <c r="D61" s="38" t="s">
        <v>165</v>
      </c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 t="s">
        <v>166</v>
      </c>
      <c r="AK61" t="s">
        <v>178</v>
      </c>
      <c r="AL61" s="39" t="s">
        <v>167</v>
      </c>
      <c r="AM61" s="37">
        <v>1510005</v>
      </c>
      <c r="AN61" s="41">
        <v>7001002</v>
      </c>
      <c r="AO61" s="28">
        <v>5</v>
      </c>
    </row>
    <row r="62" spans="1:41" s="37" customFormat="1" x14ac:dyDescent="0.25">
      <c r="A62" s="19">
        <v>30009</v>
      </c>
      <c r="B62" s="38" t="s">
        <v>177</v>
      </c>
      <c r="C62" s="38" t="str">
        <f t="shared" si="1"/>
        <v>monster_30009</v>
      </c>
      <c r="D62" s="38" t="s">
        <v>168</v>
      </c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 t="s">
        <v>169</v>
      </c>
      <c r="AK62" t="s">
        <v>178</v>
      </c>
      <c r="AL62" s="39" t="s">
        <v>170</v>
      </c>
      <c r="AM62" s="37">
        <v>1510002</v>
      </c>
      <c r="AN62" s="41">
        <v>7001002</v>
      </c>
      <c r="AO62" s="28">
        <v>5</v>
      </c>
    </row>
    <row r="63" spans="1:41" s="37" customFormat="1" x14ac:dyDescent="0.25">
      <c r="A63" s="19">
        <v>30010</v>
      </c>
      <c r="B63" s="38" t="s">
        <v>177</v>
      </c>
      <c r="C63" s="38" t="str">
        <f t="shared" si="1"/>
        <v>monster_30010</v>
      </c>
      <c r="D63" s="38" t="s">
        <v>171</v>
      </c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 t="s">
        <v>172</v>
      </c>
      <c r="AK63" t="s">
        <v>178</v>
      </c>
      <c r="AL63" s="39" t="s">
        <v>173</v>
      </c>
      <c r="AM63" s="37">
        <v>1510014</v>
      </c>
      <c r="AN63" s="41">
        <v>7001002</v>
      </c>
      <c r="AO63" s="28">
        <v>5</v>
      </c>
    </row>
    <row r="64" spans="1:41" s="37" customFormat="1" x14ac:dyDescent="0.25">
      <c r="A64" s="19">
        <v>30011</v>
      </c>
      <c r="B64" s="38" t="s">
        <v>177</v>
      </c>
      <c r="C64" s="38" t="str">
        <f t="shared" si="1"/>
        <v>monster_30011</v>
      </c>
      <c r="D64" s="38" t="s">
        <v>174</v>
      </c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 t="s">
        <v>175</v>
      </c>
      <c r="AK64" t="s">
        <v>178</v>
      </c>
      <c r="AL64" s="39" t="s">
        <v>176</v>
      </c>
      <c r="AM64" s="37">
        <v>1510013</v>
      </c>
      <c r="AN64" s="41">
        <v>7001002</v>
      </c>
      <c r="AO64" s="28">
        <v>5</v>
      </c>
    </row>
    <row r="65" spans="1:41" s="37" customFormat="1" x14ac:dyDescent="0.25">
      <c r="A65" s="19">
        <v>31001</v>
      </c>
      <c r="B65" s="38" t="s">
        <v>179</v>
      </c>
      <c r="C65" s="38" t="str">
        <f t="shared" si="1"/>
        <v>monster_31001</v>
      </c>
      <c r="D65" s="38" t="s">
        <v>139</v>
      </c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 t="s">
        <v>140</v>
      </c>
      <c r="AK65" t="s">
        <v>180</v>
      </c>
      <c r="AL65" s="39" t="s">
        <v>142</v>
      </c>
      <c r="AM65" s="40">
        <v>1510006</v>
      </c>
      <c r="AN65" s="41">
        <v>7001002</v>
      </c>
      <c r="AO65" s="28">
        <v>3</v>
      </c>
    </row>
    <row r="66" spans="1:41" s="37" customFormat="1" x14ac:dyDescent="0.25">
      <c r="A66" s="19">
        <v>31002</v>
      </c>
      <c r="B66" s="38" t="s">
        <v>179</v>
      </c>
      <c r="C66" s="38" t="str">
        <f t="shared" si="1"/>
        <v>monster_31002</v>
      </c>
      <c r="D66" s="38" t="s">
        <v>143</v>
      </c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 t="s">
        <v>144</v>
      </c>
      <c r="AK66" t="s">
        <v>180</v>
      </c>
      <c r="AL66" s="39" t="s">
        <v>145</v>
      </c>
      <c r="AM66" s="37">
        <v>1510010</v>
      </c>
      <c r="AN66" s="41">
        <v>7001002</v>
      </c>
      <c r="AO66" s="28">
        <v>3</v>
      </c>
    </row>
    <row r="67" spans="1:41" s="37" customFormat="1" x14ac:dyDescent="0.25">
      <c r="A67" s="19">
        <v>31003</v>
      </c>
      <c r="B67" s="38" t="s">
        <v>179</v>
      </c>
      <c r="C67" s="38" t="str">
        <f t="shared" si="1"/>
        <v>monster_31003</v>
      </c>
      <c r="D67" s="38" t="s">
        <v>147</v>
      </c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 t="s">
        <v>148</v>
      </c>
      <c r="AK67" t="s">
        <v>181</v>
      </c>
      <c r="AL67" s="39" t="s">
        <v>150</v>
      </c>
      <c r="AM67" s="37">
        <v>1510009</v>
      </c>
      <c r="AN67" s="41">
        <v>7001002</v>
      </c>
      <c r="AO67" s="28">
        <v>3</v>
      </c>
    </row>
    <row r="68" spans="1:41" s="37" customFormat="1" x14ac:dyDescent="0.25">
      <c r="A68" s="19">
        <v>31004</v>
      </c>
      <c r="B68" s="38" t="s">
        <v>179</v>
      </c>
      <c r="C68" s="38" t="str">
        <f t="shared" si="1"/>
        <v>monster_31004</v>
      </c>
      <c r="D68" s="38" t="s">
        <v>152</v>
      </c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 t="s">
        <v>153</v>
      </c>
      <c r="AK68" t="s">
        <v>182</v>
      </c>
      <c r="AL68" s="39" t="s">
        <v>155</v>
      </c>
      <c r="AM68" s="37">
        <v>1510004</v>
      </c>
      <c r="AN68" s="41">
        <v>7001002</v>
      </c>
      <c r="AO68" s="28">
        <v>4</v>
      </c>
    </row>
    <row r="69" spans="1:41" s="37" customFormat="1" x14ac:dyDescent="0.25">
      <c r="A69" s="19">
        <v>31005</v>
      </c>
      <c r="B69" s="38" t="s">
        <v>179</v>
      </c>
      <c r="C69" s="38" t="str">
        <f t="shared" si="1"/>
        <v>monster_31005</v>
      </c>
      <c r="D69" s="38" t="s">
        <v>156</v>
      </c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 t="s">
        <v>157</v>
      </c>
      <c r="AK69" t="s">
        <v>182</v>
      </c>
      <c r="AL69" s="39" t="s">
        <v>158</v>
      </c>
      <c r="AM69" s="37">
        <v>1510001</v>
      </c>
      <c r="AN69" s="41">
        <v>7001002</v>
      </c>
      <c r="AO69" s="28">
        <v>4</v>
      </c>
    </row>
    <row r="70" spans="1:41" s="37" customFormat="1" x14ac:dyDescent="0.25">
      <c r="A70" s="19">
        <v>31006</v>
      </c>
      <c r="B70" s="38" t="s">
        <v>179</v>
      </c>
      <c r="C70" s="38" t="str">
        <f t="shared" si="1"/>
        <v>monster_31006</v>
      </c>
      <c r="D70" s="38" t="s">
        <v>159</v>
      </c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 t="s">
        <v>160</v>
      </c>
      <c r="AK70" t="s">
        <v>181</v>
      </c>
      <c r="AL70" s="39" t="s">
        <v>161</v>
      </c>
      <c r="AM70" s="37">
        <v>1510008</v>
      </c>
      <c r="AN70" s="41">
        <v>7001002</v>
      </c>
      <c r="AO70" s="28">
        <v>4</v>
      </c>
    </row>
    <row r="71" spans="1:41" s="37" customFormat="1" x14ac:dyDescent="0.25">
      <c r="A71" s="19">
        <v>31007</v>
      </c>
      <c r="B71" s="38" t="s">
        <v>179</v>
      </c>
      <c r="C71" s="38" t="str">
        <f t="shared" si="1"/>
        <v>monster_31007</v>
      </c>
      <c r="D71" s="38" t="s">
        <v>162</v>
      </c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 t="s">
        <v>163</v>
      </c>
      <c r="AK71" t="s">
        <v>182</v>
      </c>
      <c r="AL71" s="39" t="s">
        <v>164</v>
      </c>
      <c r="AM71" s="37">
        <v>1510003</v>
      </c>
      <c r="AN71" s="41">
        <v>7001002</v>
      </c>
      <c r="AO71" s="28">
        <v>5</v>
      </c>
    </row>
    <row r="72" spans="1:41" s="37" customFormat="1" x14ac:dyDescent="0.25">
      <c r="A72" s="19">
        <v>31008</v>
      </c>
      <c r="B72" s="38" t="s">
        <v>179</v>
      </c>
      <c r="C72" s="38" t="str">
        <f t="shared" si="1"/>
        <v>monster_31008</v>
      </c>
      <c r="D72" s="38" t="s">
        <v>165</v>
      </c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 t="s">
        <v>166</v>
      </c>
      <c r="AK72" t="s">
        <v>182</v>
      </c>
      <c r="AL72" s="39" t="s">
        <v>167</v>
      </c>
      <c r="AM72" s="37">
        <v>1510005</v>
      </c>
      <c r="AN72" s="41">
        <v>7001002</v>
      </c>
      <c r="AO72" s="28">
        <v>5</v>
      </c>
    </row>
    <row r="73" spans="1:41" s="37" customFormat="1" x14ac:dyDescent="0.25">
      <c r="A73" s="19">
        <v>31009</v>
      </c>
      <c r="B73" s="38" t="s">
        <v>179</v>
      </c>
      <c r="C73" s="38" t="str">
        <f t="shared" si="1"/>
        <v>monster_31009</v>
      </c>
      <c r="D73" s="38" t="s">
        <v>168</v>
      </c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 t="s">
        <v>169</v>
      </c>
      <c r="AK73" t="s">
        <v>180</v>
      </c>
      <c r="AL73" s="39" t="s">
        <v>170</v>
      </c>
      <c r="AM73" s="37">
        <v>1510002</v>
      </c>
      <c r="AN73" s="41">
        <v>7001002</v>
      </c>
      <c r="AO73" s="28">
        <v>5</v>
      </c>
    </row>
    <row r="74" spans="1:41" s="37" customFormat="1" x14ac:dyDescent="0.25">
      <c r="A74" s="19">
        <v>31010</v>
      </c>
      <c r="B74" s="38" t="s">
        <v>179</v>
      </c>
      <c r="C74" s="38" t="str">
        <f t="shared" si="1"/>
        <v>monster_31010</v>
      </c>
      <c r="D74" s="38" t="s">
        <v>171</v>
      </c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 t="s">
        <v>172</v>
      </c>
      <c r="AK74" t="s">
        <v>182</v>
      </c>
      <c r="AL74" s="39" t="s">
        <v>173</v>
      </c>
      <c r="AM74" s="37">
        <v>1510014</v>
      </c>
      <c r="AN74" s="41">
        <v>7001002</v>
      </c>
      <c r="AO74" s="28">
        <v>5</v>
      </c>
    </row>
    <row r="75" spans="1:41" s="37" customFormat="1" x14ac:dyDescent="0.25">
      <c r="A75" s="19">
        <v>31011</v>
      </c>
      <c r="B75" s="38" t="s">
        <v>179</v>
      </c>
      <c r="C75" s="38" t="str">
        <f t="shared" si="1"/>
        <v>monster_31011</v>
      </c>
      <c r="D75" s="38" t="s">
        <v>174</v>
      </c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 t="s">
        <v>175</v>
      </c>
      <c r="AK75" t="s">
        <v>182</v>
      </c>
      <c r="AL75" s="39" t="s">
        <v>176</v>
      </c>
      <c r="AM75" s="37">
        <v>1510013</v>
      </c>
      <c r="AN75" s="41">
        <v>7001002</v>
      </c>
      <c r="AO75" s="28">
        <v>5</v>
      </c>
    </row>
    <row r="76" spans="1:41" s="37" customFormat="1" x14ac:dyDescent="0.25">
      <c r="A76" s="19">
        <v>32001</v>
      </c>
      <c r="B76" s="38" t="s">
        <v>183</v>
      </c>
      <c r="C76" s="38" t="str">
        <f t="shared" si="1"/>
        <v>monster_32001</v>
      </c>
      <c r="D76" s="38" t="s">
        <v>139</v>
      </c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 t="s">
        <v>140</v>
      </c>
      <c r="AK76" t="s">
        <v>184</v>
      </c>
      <c r="AL76" s="39" t="s">
        <v>142</v>
      </c>
      <c r="AM76" s="40">
        <v>1510006</v>
      </c>
      <c r="AN76" s="41">
        <v>7001002</v>
      </c>
      <c r="AO76" s="28">
        <v>3</v>
      </c>
    </row>
    <row r="77" spans="1:41" s="37" customFormat="1" x14ac:dyDescent="0.25">
      <c r="A77" s="19">
        <v>32002</v>
      </c>
      <c r="B77" s="38" t="s">
        <v>183</v>
      </c>
      <c r="C77" s="38" t="str">
        <f t="shared" si="1"/>
        <v>monster_32002</v>
      </c>
      <c r="D77" s="38" t="s">
        <v>143</v>
      </c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 t="s">
        <v>144</v>
      </c>
      <c r="AK77" t="s">
        <v>184</v>
      </c>
      <c r="AL77" s="39" t="s">
        <v>145</v>
      </c>
      <c r="AM77" s="37">
        <v>1510010</v>
      </c>
      <c r="AN77" s="41">
        <v>7001002</v>
      </c>
      <c r="AO77" s="28">
        <v>3</v>
      </c>
    </row>
    <row r="78" spans="1:41" s="37" customFormat="1" x14ac:dyDescent="0.25">
      <c r="A78" s="19">
        <v>32003</v>
      </c>
      <c r="B78" s="38" t="s">
        <v>183</v>
      </c>
      <c r="C78" s="38" t="str">
        <f t="shared" si="1"/>
        <v>monster_32003</v>
      </c>
      <c r="D78" s="38" t="s">
        <v>147</v>
      </c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 t="s">
        <v>148</v>
      </c>
      <c r="AK78" t="s">
        <v>185</v>
      </c>
      <c r="AL78" s="39" t="s">
        <v>150</v>
      </c>
      <c r="AM78" s="37">
        <v>1510009</v>
      </c>
      <c r="AN78" s="41">
        <v>7001002</v>
      </c>
      <c r="AO78" s="28">
        <v>3</v>
      </c>
    </row>
    <row r="79" spans="1:41" s="37" customFormat="1" x14ac:dyDescent="0.25">
      <c r="A79" s="19">
        <v>32004</v>
      </c>
      <c r="B79" s="38" t="s">
        <v>183</v>
      </c>
      <c r="C79" s="38" t="str">
        <f t="shared" si="1"/>
        <v>monster_32004</v>
      </c>
      <c r="D79" s="38" t="s">
        <v>152</v>
      </c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 t="s">
        <v>153</v>
      </c>
      <c r="AK79" t="s">
        <v>186</v>
      </c>
      <c r="AL79" s="39" t="s">
        <v>155</v>
      </c>
      <c r="AM79" s="37">
        <v>1510004</v>
      </c>
      <c r="AN79" s="41">
        <v>7001002</v>
      </c>
      <c r="AO79" s="28">
        <v>4</v>
      </c>
    </row>
    <row r="80" spans="1:41" s="37" customFormat="1" x14ac:dyDescent="0.25">
      <c r="A80" s="19">
        <v>32005</v>
      </c>
      <c r="B80" s="38" t="s">
        <v>183</v>
      </c>
      <c r="C80" s="38" t="str">
        <f t="shared" si="1"/>
        <v>monster_32005</v>
      </c>
      <c r="D80" s="38" t="s">
        <v>156</v>
      </c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 t="s">
        <v>157</v>
      </c>
      <c r="AK80" t="s">
        <v>186</v>
      </c>
      <c r="AL80" s="39" t="s">
        <v>158</v>
      </c>
      <c r="AM80" s="37">
        <v>1510001</v>
      </c>
      <c r="AN80" s="41">
        <v>7001002</v>
      </c>
      <c r="AO80" s="28">
        <v>4</v>
      </c>
    </row>
    <row r="81" spans="1:41" s="37" customFormat="1" x14ac:dyDescent="0.25">
      <c r="A81" s="19">
        <v>32006</v>
      </c>
      <c r="B81" s="38" t="s">
        <v>183</v>
      </c>
      <c r="C81" s="38" t="str">
        <f t="shared" si="1"/>
        <v>monster_32006</v>
      </c>
      <c r="D81" s="38" t="s">
        <v>159</v>
      </c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 t="s">
        <v>160</v>
      </c>
      <c r="AK81" t="s">
        <v>185</v>
      </c>
      <c r="AL81" s="39" t="s">
        <v>161</v>
      </c>
      <c r="AM81" s="37">
        <v>1510008</v>
      </c>
      <c r="AN81" s="41">
        <v>7001002</v>
      </c>
      <c r="AO81" s="28">
        <v>4</v>
      </c>
    </row>
    <row r="82" spans="1:41" s="37" customFormat="1" x14ac:dyDescent="0.25">
      <c r="A82" s="19">
        <v>32007</v>
      </c>
      <c r="B82" s="38" t="s">
        <v>183</v>
      </c>
      <c r="C82" s="38" t="str">
        <f t="shared" si="1"/>
        <v>monster_32007</v>
      </c>
      <c r="D82" s="38" t="s">
        <v>162</v>
      </c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 t="s">
        <v>163</v>
      </c>
      <c r="AK82" t="s">
        <v>186</v>
      </c>
      <c r="AL82" s="39" t="s">
        <v>164</v>
      </c>
      <c r="AM82" s="37">
        <v>1510003</v>
      </c>
      <c r="AN82" s="41">
        <v>7001002</v>
      </c>
      <c r="AO82" s="28">
        <v>5</v>
      </c>
    </row>
    <row r="83" spans="1:41" s="37" customFormat="1" x14ac:dyDescent="0.25">
      <c r="A83" s="19">
        <v>32008</v>
      </c>
      <c r="B83" s="38" t="s">
        <v>183</v>
      </c>
      <c r="C83" s="38" t="str">
        <f t="shared" si="1"/>
        <v>monster_32008</v>
      </c>
      <c r="D83" s="38" t="s">
        <v>165</v>
      </c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 t="s">
        <v>166</v>
      </c>
      <c r="AK83" t="s">
        <v>186</v>
      </c>
      <c r="AL83" s="39" t="s">
        <v>167</v>
      </c>
      <c r="AM83" s="37">
        <v>1510005</v>
      </c>
      <c r="AN83" s="41">
        <v>7001002</v>
      </c>
      <c r="AO83" s="28">
        <v>5</v>
      </c>
    </row>
    <row r="84" spans="1:41" s="37" customFormat="1" x14ac:dyDescent="0.25">
      <c r="A84" s="19">
        <v>32009</v>
      </c>
      <c r="B84" s="38" t="s">
        <v>183</v>
      </c>
      <c r="C84" s="38" t="str">
        <f t="shared" si="1"/>
        <v>monster_32009</v>
      </c>
      <c r="D84" s="38" t="s">
        <v>168</v>
      </c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 t="s">
        <v>169</v>
      </c>
      <c r="AK84" t="s">
        <v>184</v>
      </c>
      <c r="AL84" s="39" t="s">
        <v>170</v>
      </c>
      <c r="AM84" s="37">
        <v>1510002</v>
      </c>
      <c r="AN84" s="41">
        <v>7001002</v>
      </c>
      <c r="AO84" s="28">
        <v>5</v>
      </c>
    </row>
    <row r="85" spans="1:41" s="37" customFormat="1" x14ac:dyDescent="0.25">
      <c r="A85" s="19">
        <v>32010</v>
      </c>
      <c r="B85" s="38" t="s">
        <v>183</v>
      </c>
      <c r="C85" s="38" t="str">
        <f t="shared" si="1"/>
        <v>monster_32010</v>
      </c>
      <c r="D85" s="38" t="s">
        <v>171</v>
      </c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 t="s">
        <v>172</v>
      </c>
      <c r="AK85" t="s">
        <v>186</v>
      </c>
      <c r="AL85" s="39" t="s">
        <v>173</v>
      </c>
      <c r="AM85" s="37">
        <v>1510014</v>
      </c>
      <c r="AN85" s="41">
        <v>7001002</v>
      </c>
      <c r="AO85" s="28">
        <v>5</v>
      </c>
    </row>
    <row r="86" spans="1:41" s="37" customFormat="1" x14ac:dyDescent="0.25">
      <c r="A86" s="19">
        <v>32011</v>
      </c>
      <c r="B86" s="38" t="s">
        <v>183</v>
      </c>
      <c r="C86" s="38" t="str">
        <f t="shared" si="1"/>
        <v>monster_32011</v>
      </c>
      <c r="D86" s="38" t="s">
        <v>174</v>
      </c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 t="s">
        <v>175</v>
      </c>
      <c r="AK86" t="s">
        <v>186</v>
      </c>
      <c r="AL86" s="39" t="s">
        <v>176</v>
      </c>
      <c r="AM86" s="37">
        <v>1510013</v>
      </c>
      <c r="AN86" s="41">
        <v>7001002</v>
      </c>
      <c r="AO86" s="28">
        <v>5</v>
      </c>
    </row>
    <row r="87" spans="1:41" s="37" customFormat="1" x14ac:dyDescent="0.25">
      <c r="A87" s="19">
        <v>33001</v>
      </c>
      <c r="B87" s="38" t="s">
        <v>187</v>
      </c>
      <c r="C87" s="38" t="str">
        <f t="shared" si="1"/>
        <v>monster_33001</v>
      </c>
      <c r="D87" s="38" t="s">
        <v>139</v>
      </c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 t="s">
        <v>140</v>
      </c>
      <c r="AK87" t="s">
        <v>188</v>
      </c>
      <c r="AL87" s="39" t="s">
        <v>142</v>
      </c>
      <c r="AM87" s="40">
        <v>1510006</v>
      </c>
      <c r="AN87" s="41">
        <v>7001002</v>
      </c>
      <c r="AO87" s="28">
        <v>3</v>
      </c>
    </row>
    <row r="88" spans="1:41" s="37" customFormat="1" x14ac:dyDescent="0.25">
      <c r="A88" s="19">
        <v>33002</v>
      </c>
      <c r="B88" s="38" t="s">
        <v>187</v>
      </c>
      <c r="C88" s="38" t="str">
        <f t="shared" si="1"/>
        <v>monster_33002</v>
      </c>
      <c r="D88" s="38" t="s">
        <v>143</v>
      </c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 t="s">
        <v>144</v>
      </c>
      <c r="AK88" t="s">
        <v>188</v>
      </c>
      <c r="AL88" s="39" t="s">
        <v>145</v>
      </c>
      <c r="AM88" s="37">
        <v>1510010</v>
      </c>
      <c r="AN88" s="41">
        <v>7001002</v>
      </c>
      <c r="AO88" s="28">
        <v>3</v>
      </c>
    </row>
    <row r="89" spans="1:41" s="37" customFormat="1" x14ac:dyDescent="0.25">
      <c r="A89" s="19">
        <v>33003</v>
      </c>
      <c r="B89" s="38" t="s">
        <v>187</v>
      </c>
      <c r="C89" s="38" t="str">
        <f t="shared" si="1"/>
        <v>monster_33003</v>
      </c>
      <c r="D89" s="38" t="s">
        <v>147</v>
      </c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 t="s">
        <v>148</v>
      </c>
      <c r="AK89" t="s">
        <v>189</v>
      </c>
      <c r="AL89" s="39" t="s">
        <v>150</v>
      </c>
      <c r="AM89" s="37">
        <v>1510009</v>
      </c>
      <c r="AN89" s="41">
        <v>7001002</v>
      </c>
      <c r="AO89" s="28">
        <v>3</v>
      </c>
    </row>
    <row r="90" spans="1:41" s="37" customFormat="1" x14ac:dyDescent="0.25">
      <c r="A90" s="19">
        <v>33004</v>
      </c>
      <c r="B90" s="38" t="s">
        <v>187</v>
      </c>
      <c r="C90" s="38" t="str">
        <f t="shared" si="1"/>
        <v>monster_33004</v>
      </c>
      <c r="D90" s="38" t="s">
        <v>152</v>
      </c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 t="s">
        <v>153</v>
      </c>
      <c r="AK90" t="s">
        <v>190</v>
      </c>
      <c r="AL90" s="39" t="s">
        <v>155</v>
      </c>
      <c r="AM90" s="37">
        <v>1510004</v>
      </c>
      <c r="AN90" s="41">
        <v>7001002</v>
      </c>
      <c r="AO90" s="28">
        <v>4</v>
      </c>
    </row>
    <row r="91" spans="1:41" s="37" customFormat="1" x14ac:dyDescent="0.25">
      <c r="A91" s="19">
        <v>33005</v>
      </c>
      <c r="B91" s="38" t="s">
        <v>187</v>
      </c>
      <c r="C91" s="38" t="str">
        <f t="shared" si="1"/>
        <v>monster_33005</v>
      </c>
      <c r="D91" s="38" t="s">
        <v>156</v>
      </c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 t="s">
        <v>157</v>
      </c>
      <c r="AK91" t="s">
        <v>190</v>
      </c>
      <c r="AL91" s="39" t="s">
        <v>158</v>
      </c>
      <c r="AM91" s="37">
        <v>1510001</v>
      </c>
      <c r="AN91" s="41">
        <v>7001002</v>
      </c>
      <c r="AO91" s="28">
        <v>4</v>
      </c>
    </row>
    <row r="92" spans="1:41" s="37" customFormat="1" x14ac:dyDescent="0.25">
      <c r="A92" s="19">
        <v>33006</v>
      </c>
      <c r="B92" s="38" t="s">
        <v>187</v>
      </c>
      <c r="C92" s="38" t="str">
        <f t="shared" si="1"/>
        <v>monster_33006</v>
      </c>
      <c r="D92" s="38" t="s">
        <v>159</v>
      </c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 t="s">
        <v>160</v>
      </c>
      <c r="AK92" t="s">
        <v>189</v>
      </c>
      <c r="AL92" s="39" t="s">
        <v>161</v>
      </c>
      <c r="AM92" s="37">
        <v>1510008</v>
      </c>
      <c r="AN92" s="41">
        <v>7001002</v>
      </c>
      <c r="AO92" s="28">
        <v>4</v>
      </c>
    </row>
    <row r="93" spans="1:41" s="37" customFormat="1" x14ac:dyDescent="0.25">
      <c r="A93" s="19">
        <v>33007</v>
      </c>
      <c r="B93" s="38" t="s">
        <v>187</v>
      </c>
      <c r="C93" s="38" t="str">
        <f t="shared" si="1"/>
        <v>monster_33007</v>
      </c>
      <c r="D93" s="38" t="s">
        <v>162</v>
      </c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 t="s">
        <v>163</v>
      </c>
      <c r="AK93" t="s">
        <v>190</v>
      </c>
      <c r="AL93" s="39" t="s">
        <v>164</v>
      </c>
      <c r="AM93" s="37">
        <v>1510003</v>
      </c>
      <c r="AN93" s="41">
        <v>7001002</v>
      </c>
      <c r="AO93" s="28">
        <v>5</v>
      </c>
    </row>
    <row r="94" spans="1:41" s="37" customFormat="1" x14ac:dyDescent="0.25">
      <c r="A94" s="19">
        <v>33008</v>
      </c>
      <c r="B94" s="38" t="s">
        <v>187</v>
      </c>
      <c r="C94" s="38" t="str">
        <f t="shared" si="1"/>
        <v>monster_33008</v>
      </c>
      <c r="D94" s="38" t="s">
        <v>165</v>
      </c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 t="s">
        <v>166</v>
      </c>
      <c r="AK94" t="s">
        <v>190</v>
      </c>
      <c r="AL94" s="39" t="s">
        <v>167</v>
      </c>
      <c r="AM94" s="37">
        <v>1510005</v>
      </c>
      <c r="AN94" s="41">
        <v>7001002</v>
      </c>
      <c r="AO94" s="28">
        <v>5</v>
      </c>
    </row>
    <row r="95" spans="1:41" s="37" customFormat="1" x14ac:dyDescent="0.25">
      <c r="A95" s="19">
        <v>33009</v>
      </c>
      <c r="B95" s="38" t="s">
        <v>187</v>
      </c>
      <c r="C95" s="38" t="str">
        <f t="shared" si="1"/>
        <v>monster_33009</v>
      </c>
      <c r="D95" s="38" t="s">
        <v>168</v>
      </c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 t="s">
        <v>169</v>
      </c>
      <c r="AK95" t="s">
        <v>188</v>
      </c>
      <c r="AL95" s="39" t="s">
        <v>170</v>
      </c>
      <c r="AM95" s="37">
        <v>1510002</v>
      </c>
      <c r="AN95" s="41">
        <v>7001002</v>
      </c>
      <c r="AO95" s="28">
        <v>5</v>
      </c>
    </row>
    <row r="96" spans="1:41" s="37" customFormat="1" x14ac:dyDescent="0.25">
      <c r="A96" s="19">
        <v>33010</v>
      </c>
      <c r="B96" s="38" t="s">
        <v>187</v>
      </c>
      <c r="C96" s="38" t="str">
        <f t="shared" si="1"/>
        <v>monster_33010</v>
      </c>
      <c r="D96" s="38" t="s">
        <v>171</v>
      </c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 t="s">
        <v>172</v>
      </c>
      <c r="AK96" t="s">
        <v>190</v>
      </c>
      <c r="AL96" s="39" t="s">
        <v>173</v>
      </c>
      <c r="AM96" s="37">
        <v>1510014</v>
      </c>
      <c r="AN96" s="41">
        <v>7001002</v>
      </c>
      <c r="AO96" s="28">
        <v>5</v>
      </c>
    </row>
    <row r="97" spans="1:41" s="37" customFormat="1" x14ac:dyDescent="0.25">
      <c r="A97" s="19">
        <v>33011</v>
      </c>
      <c r="B97" s="38" t="s">
        <v>187</v>
      </c>
      <c r="C97" s="38" t="str">
        <f t="shared" si="1"/>
        <v>monster_33011</v>
      </c>
      <c r="D97" s="38" t="s">
        <v>174</v>
      </c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 t="s">
        <v>175</v>
      </c>
      <c r="AK97" t="s">
        <v>190</v>
      </c>
      <c r="AL97" s="39" t="s">
        <v>176</v>
      </c>
      <c r="AM97" s="37">
        <v>1510013</v>
      </c>
      <c r="AN97" s="41">
        <v>7001002</v>
      </c>
      <c r="AO97" s="28">
        <v>5</v>
      </c>
    </row>
    <row r="98" spans="1:41" s="37" customFormat="1" x14ac:dyDescent="0.25">
      <c r="A98" s="19">
        <v>34001</v>
      </c>
      <c r="B98" s="38" t="s">
        <v>191</v>
      </c>
      <c r="C98" s="38" t="str">
        <f t="shared" si="1"/>
        <v>monster_34001</v>
      </c>
      <c r="D98" s="38" t="s">
        <v>139</v>
      </c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 t="s">
        <v>140</v>
      </c>
      <c r="AK98" t="s">
        <v>192</v>
      </c>
      <c r="AL98" s="39" t="s">
        <v>142</v>
      </c>
      <c r="AM98" s="40">
        <v>1510006</v>
      </c>
      <c r="AN98" s="41">
        <v>7001002</v>
      </c>
      <c r="AO98" s="28">
        <v>3</v>
      </c>
    </row>
    <row r="99" spans="1:41" s="37" customFormat="1" x14ac:dyDescent="0.25">
      <c r="A99" s="19">
        <v>34002</v>
      </c>
      <c r="B99" s="38" t="s">
        <v>191</v>
      </c>
      <c r="C99" s="38" t="str">
        <f t="shared" si="1"/>
        <v>monster_34002</v>
      </c>
      <c r="D99" s="38" t="s">
        <v>143</v>
      </c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 t="s">
        <v>144</v>
      </c>
      <c r="AK99" t="s">
        <v>192</v>
      </c>
      <c r="AL99" s="39" t="s">
        <v>145</v>
      </c>
      <c r="AM99" s="37">
        <v>1510010</v>
      </c>
      <c r="AN99" s="41">
        <v>7001002</v>
      </c>
      <c r="AO99" s="28">
        <v>3</v>
      </c>
    </row>
    <row r="100" spans="1:41" s="37" customFormat="1" x14ac:dyDescent="0.25">
      <c r="A100" s="19">
        <v>34003</v>
      </c>
      <c r="B100" s="38" t="s">
        <v>191</v>
      </c>
      <c r="C100" s="38" t="str">
        <f t="shared" si="1"/>
        <v>monster_34003</v>
      </c>
      <c r="D100" s="38" t="s">
        <v>147</v>
      </c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 t="s">
        <v>148</v>
      </c>
      <c r="AK100" t="s">
        <v>193</v>
      </c>
      <c r="AL100" s="39" t="s">
        <v>150</v>
      </c>
      <c r="AM100" s="37">
        <v>1510009</v>
      </c>
      <c r="AN100" s="41">
        <v>7001002</v>
      </c>
      <c r="AO100" s="28">
        <v>3</v>
      </c>
    </row>
    <row r="101" spans="1:41" s="37" customFormat="1" x14ac:dyDescent="0.25">
      <c r="A101" s="19">
        <v>34004</v>
      </c>
      <c r="B101" s="38" t="s">
        <v>191</v>
      </c>
      <c r="C101" s="38" t="str">
        <f t="shared" si="1"/>
        <v>monster_34004</v>
      </c>
      <c r="D101" s="38" t="s">
        <v>152</v>
      </c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 t="s">
        <v>153</v>
      </c>
      <c r="AK101" t="s">
        <v>194</v>
      </c>
      <c r="AL101" s="39" t="s">
        <v>155</v>
      </c>
      <c r="AM101" s="37">
        <v>1510004</v>
      </c>
      <c r="AN101" s="41">
        <v>7001002</v>
      </c>
      <c r="AO101" s="28">
        <v>4</v>
      </c>
    </row>
    <row r="102" spans="1:41" s="37" customFormat="1" x14ac:dyDescent="0.25">
      <c r="A102" s="19">
        <v>34005</v>
      </c>
      <c r="B102" s="38" t="s">
        <v>191</v>
      </c>
      <c r="C102" s="38" t="str">
        <f t="shared" si="1"/>
        <v>monster_34005</v>
      </c>
      <c r="D102" s="38" t="s">
        <v>156</v>
      </c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 t="s">
        <v>157</v>
      </c>
      <c r="AK102" t="s">
        <v>194</v>
      </c>
      <c r="AL102" s="39" t="s">
        <v>158</v>
      </c>
      <c r="AM102" s="37">
        <v>1510001</v>
      </c>
      <c r="AN102" s="41">
        <v>7001002</v>
      </c>
      <c r="AO102" s="28">
        <v>4</v>
      </c>
    </row>
    <row r="103" spans="1:41" s="37" customFormat="1" x14ac:dyDescent="0.25">
      <c r="A103" s="19">
        <v>34006</v>
      </c>
      <c r="B103" s="38" t="s">
        <v>191</v>
      </c>
      <c r="C103" s="38" t="str">
        <f t="shared" si="1"/>
        <v>monster_34006</v>
      </c>
      <c r="D103" s="38" t="s">
        <v>159</v>
      </c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 t="s">
        <v>160</v>
      </c>
      <c r="AK103" t="s">
        <v>193</v>
      </c>
      <c r="AL103" s="39" t="s">
        <v>161</v>
      </c>
      <c r="AM103" s="37">
        <v>1510008</v>
      </c>
      <c r="AN103" s="41">
        <v>7001002</v>
      </c>
      <c r="AO103" s="28">
        <v>4</v>
      </c>
    </row>
    <row r="104" spans="1:41" s="37" customFormat="1" x14ac:dyDescent="0.25">
      <c r="A104" s="19">
        <v>34007</v>
      </c>
      <c r="B104" s="38" t="s">
        <v>191</v>
      </c>
      <c r="C104" s="38" t="str">
        <f t="shared" si="1"/>
        <v>monster_34007</v>
      </c>
      <c r="D104" s="38" t="s">
        <v>162</v>
      </c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 t="s">
        <v>163</v>
      </c>
      <c r="AK104" t="s">
        <v>194</v>
      </c>
      <c r="AL104" s="39" t="s">
        <v>164</v>
      </c>
      <c r="AM104" s="37">
        <v>1510003</v>
      </c>
      <c r="AN104" s="41">
        <v>7001002</v>
      </c>
      <c r="AO104" s="28">
        <v>5</v>
      </c>
    </row>
    <row r="105" spans="1:41" s="37" customFormat="1" x14ac:dyDescent="0.25">
      <c r="A105" s="19">
        <v>34008</v>
      </c>
      <c r="B105" s="38" t="s">
        <v>191</v>
      </c>
      <c r="C105" s="38" t="str">
        <f t="shared" si="1"/>
        <v>monster_34008</v>
      </c>
      <c r="D105" s="38" t="s">
        <v>165</v>
      </c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 t="s">
        <v>166</v>
      </c>
      <c r="AK105" t="s">
        <v>194</v>
      </c>
      <c r="AL105" s="39" t="s">
        <v>167</v>
      </c>
      <c r="AM105" s="37">
        <v>1510005</v>
      </c>
      <c r="AN105" s="41">
        <v>7001002</v>
      </c>
      <c r="AO105" s="28">
        <v>5</v>
      </c>
    </row>
    <row r="106" spans="1:41" s="37" customFormat="1" x14ac:dyDescent="0.25">
      <c r="A106" s="19">
        <v>34009</v>
      </c>
      <c r="B106" s="38" t="s">
        <v>191</v>
      </c>
      <c r="C106" s="38" t="str">
        <f t="shared" si="1"/>
        <v>monster_34009</v>
      </c>
      <c r="D106" s="38" t="s">
        <v>168</v>
      </c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 t="s">
        <v>169</v>
      </c>
      <c r="AK106" t="s">
        <v>192</v>
      </c>
      <c r="AL106" s="39" t="s">
        <v>170</v>
      </c>
      <c r="AM106" s="37">
        <v>1510002</v>
      </c>
      <c r="AN106" s="41">
        <v>7001002</v>
      </c>
      <c r="AO106" s="28">
        <v>5</v>
      </c>
    </row>
    <row r="107" spans="1:41" s="37" customFormat="1" x14ac:dyDescent="0.25">
      <c r="A107" s="19">
        <v>34010</v>
      </c>
      <c r="B107" s="38" t="s">
        <v>191</v>
      </c>
      <c r="C107" s="38" t="str">
        <f t="shared" si="1"/>
        <v>monster_34010</v>
      </c>
      <c r="D107" s="38" t="s">
        <v>171</v>
      </c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 t="s">
        <v>172</v>
      </c>
      <c r="AK107" t="s">
        <v>194</v>
      </c>
      <c r="AL107" s="39" t="s">
        <v>173</v>
      </c>
      <c r="AM107" s="37">
        <v>1510014</v>
      </c>
      <c r="AN107" s="41">
        <v>7001002</v>
      </c>
      <c r="AO107" s="28">
        <v>5</v>
      </c>
    </row>
    <row r="108" spans="1:41" s="37" customFormat="1" x14ac:dyDescent="0.25">
      <c r="A108" s="19">
        <v>34011</v>
      </c>
      <c r="B108" s="38" t="s">
        <v>191</v>
      </c>
      <c r="C108" s="38" t="str">
        <f t="shared" ref="C108:C119" si="2">"monster_"&amp;A108</f>
        <v>monster_34011</v>
      </c>
      <c r="D108" s="38" t="s">
        <v>174</v>
      </c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 t="s">
        <v>175</v>
      </c>
      <c r="AK108" t="s">
        <v>194</v>
      </c>
      <c r="AL108" s="39" t="s">
        <v>176</v>
      </c>
      <c r="AM108" s="37">
        <v>1510013</v>
      </c>
      <c r="AN108" s="41">
        <v>7001002</v>
      </c>
      <c r="AO108" s="28">
        <v>5</v>
      </c>
    </row>
    <row r="109" spans="1:41" s="37" customFormat="1" x14ac:dyDescent="0.25">
      <c r="A109" s="19">
        <v>35001</v>
      </c>
      <c r="B109" s="38" t="s">
        <v>195</v>
      </c>
      <c r="C109" s="38" t="str">
        <f t="shared" si="2"/>
        <v>monster_35001</v>
      </c>
      <c r="D109" s="38" t="s">
        <v>139</v>
      </c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 t="s">
        <v>140</v>
      </c>
      <c r="AK109" t="s">
        <v>196</v>
      </c>
      <c r="AL109" s="39" t="s">
        <v>142</v>
      </c>
      <c r="AM109" s="40">
        <v>1510006</v>
      </c>
      <c r="AN109" s="41">
        <v>7001002</v>
      </c>
      <c r="AO109" s="28">
        <v>3</v>
      </c>
    </row>
    <row r="110" spans="1:41" s="37" customFormat="1" x14ac:dyDescent="0.25">
      <c r="A110" s="19">
        <v>35002</v>
      </c>
      <c r="B110" s="38" t="s">
        <v>195</v>
      </c>
      <c r="C110" s="38" t="str">
        <f t="shared" si="2"/>
        <v>monster_35002</v>
      </c>
      <c r="D110" s="38" t="s">
        <v>143</v>
      </c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 t="s">
        <v>144</v>
      </c>
      <c r="AK110" t="s">
        <v>196</v>
      </c>
      <c r="AL110" s="39" t="s">
        <v>145</v>
      </c>
      <c r="AM110" s="37">
        <v>1510010</v>
      </c>
      <c r="AN110" s="41">
        <v>7001002</v>
      </c>
      <c r="AO110" s="28">
        <v>3</v>
      </c>
    </row>
    <row r="111" spans="1:41" s="37" customFormat="1" x14ac:dyDescent="0.25">
      <c r="A111" s="19">
        <v>35003</v>
      </c>
      <c r="B111" s="38" t="s">
        <v>195</v>
      </c>
      <c r="C111" s="38" t="str">
        <f t="shared" si="2"/>
        <v>monster_35003</v>
      </c>
      <c r="D111" s="38" t="s">
        <v>147</v>
      </c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 t="s">
        <v>148</v>
      </c>
      <c r="AK111" t="s">
        <v>197</v>
      </c>
      <c r="AL111" s="39" t="s">
        <v>150</v>
      </c>
      <c r="AM111" s="37">
        <v>1510009</v>
      </c>
      <c r="AN111" s="41">
        <v>7001002</v>
      </c>
      <c r="AO111" s="28">
        <v>3</v>
      </c>
    </row>
    <row r="112" spans="1:41" s="37" customFormat="1" x14ac:dyDescent="0.25">
      <c r="A112" s="19">
        <v>35004</v>
      </c>
      <c r="B112" s="38" t="s">
        <v>195</v>
      </c>
      <c r="C112" s="38" t="str">
        <f t="shared" si="2"/>
        <v>monster_35004</v>
      </c>
      <c r="D112" s="38" t="s">
        <v>152</v>
      </c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 t="s">
        <v>153</v>
      </c>
      <c r="AK112" t="s">
        <v>198</v>
      </c>
      <c r="AL112" s="39" t="s">
        <v>155</v>
      </c>
      <c r="AM112" s="37">
        <v>1510004</v>
      </c>
      <c r="AN112" s="41">
        <v>7001002</v>
      </c>
      <c r="AO112" s="28">
        <v>4</v>
      </c>
    </row>
    <row r="113" spans="1:41" s="37" customFormat="1" x14ac:dyDescent="0.25">
      <c r="A113" s="19">
        <v>35005</v>
      </c>
      <c r="B113" s="38" t="s">
        <v>195</v>
      </c>
      <c r="C113" s="38" t="str">
        <f t="shared" si="2"/>
        <v>monster_35005</v>
      </c>
      <c r="D113" s="38" t="s">
        <v>156</v>
      </c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 t="s">
        <v>157</v>
      </c>
      <c r="AK113" t="s">
        <v>198</v>
      </c>
      <c r="AL113" s="39" t="s">
        <v>158</v>
      </c>
      <c r="AM113" s="37">
        <v>1510001</v>
      </c>
      <c r="AN113" s="41">
        <v>7001002</v>
      </c>
      <c r="AO113" s="28">
        <v>4</v>
      </c>
    </row>
    <row r="114" spans="1:41" s="37" customFormat="1" x14ac:dyDescent="0.25">
      <c r="A114" s="19">
        <v>35006</v>
      </c>
      <c r="B114" s="38" t="s">
        <v>195</v>
      </c>
      <c r="C114" s="38" t="str">
        <f t="shared" si="2"/>
        <v>monster_35006</v>
      </c>
      <c r="D114" s="38" t="s">
        <v>159</v>
      </c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 t="s">
        <v>160</v>
      </c>
      <c r="AK114" t="s">
        <v>197</v>
      </c>
      <c r="AL114" s="39" t="s">
        <v>161</v>
      </c>
      <c r="AM114" s="37">
        <v>1510008</v>
      </c>
      <c r="AN114" s="41">
        <v>7001002</v>
      </c>
      <c r="AO114" s="28">
        <v>4</v>
      </c>
    </row>
    <row r="115" spans="1:41" s="37" customFormat="1" x14ac:dyDescent="0.25">
      <c r="A115" s="19">
        <v>35007</v>
      </c>
      <c r="B115" s="38" t="s">
        <v>195</v>
      </c>
      <c r="C115" s="38" t="str">
        <f t="shared" si="2"/>
        <v>monster_35007</v>
      </c>
      <c r="D115" s="38" t="s">
        <v>162</v>
      </c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 t="s">
        <v>163</v>
      </c>
      <c r="AK115" t="s">
        <v>198</v>
      </c>
      <c r="AL115" s="39" t="s">
        <v>164</v>
      </c>
      <c r="AM115" s="37">
        <v>1510003</v>
      </c>
      <c r="AN115" s="41">
        <v>7001002</v>
      </c>
      <c r="AO115" s="28">
        <v>5</v>
      </c>
    </row>
    <row r="116" spans="1:41" s="37" customFormat="1" x14ac:dyDescent="0.25">
      <c r="A116" s="19">
        <v>35008</v>
      </c>
      <c r="B116" s="38" t="s">
        <v>195</v>
      </c>
      <c r="C116" s="38" t="str">
        <f t="shared" si="2"/>
        <v>monster_35008</v>
      </c>
      <c r="D116" s="38" t="s">
        <v>165</v>
      </c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 t="s">
        <v>166</v>
      </c>
      <c r="AK116" t="s">
        <v>198</v>
      </c>
      <c r="AL116" s="39" t="s">
        <v>167</v>
      </c>
      <c r="AM116" s="37">
        <v>1510005</v>
      </c>
      <c r="AN116" s="41">
        <v>7001002</v>
      </c>
      <c r="AO116" s="28">
        <v>5</v>
      </c>
    </row>
    <row r="117" spans="1:41" s="37" customFormat="1" x14ac:dyDescent="0.25">
      <c r="A117" s="19">
        <v>35009</v>
      </c>
      <c r="B117" s="38" t="s">
        <v>195</v>
      </c>
      <c r="C117" s="38" t="str">
        <f t="shared" si="2"/>
        <v>monster_35009</v>
      </c>
      <c r="D117" s="38" t="s">
        <v>168</v>
      </c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 t="s">
        <v>169</v>
      </c>
      <c r="AK117" t="s">
        <v>196</v>
      </c>
      <c r="AL117" s="39" t="s">
        <v>170</v>
      </c>
      <c r="AM117" s="37">
        <v>1510002</v>
      </c>
      <c r="AN117" s="41">
        <v>7001002</v>
      </c>
      <c r="AO117" s="28">
        <v>5</v>
      </c>
    </row>
    <row r="118" spans="1:41" s="37" customFormat="1" x14ac:dyDescent="0.25">
      <c r="A118" s="19">
        <v>35010</v>
      </c>
      <c r="B118" s="38" t="s">
        <v>195</v>
      </c>
      <c r="C118" s="38" t="str">
        <f t="shared" si="2"/>
        <v>monster_35010</v>
      </c>
      <c r="D118" s="38" t="s">
        <v>171</v>
      </c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 t="s">
        <v>172</v>
      </c>
      <c r="AK118" t="s">
        <v>198</v>
      </c>
      <c r="AL118" s="39" t="s">
        <v>173</v>
      </c>
      <c r="AM118" s="37">
        <v>1510014</v>
      </c>
      <c r="AN118" s="41">
        <v>7001002</v>
      </c>
      <c r="AO118" s="28">
        <v>5</v>
      </c>
    </row>
    <row r="119" spans="1:41" s="37" customFormat="1" x14ac:dyDescent="0.25">
      <c r="A119" s="19">
        <v>35011</v>
      </c>
      <c r="B119" s="38" t="s">
        <v>195</v>
      </c>
      <c r="C119" s="38" t="str">
        <f t="shared" si="2"/>
        <v>monster_35011</v>
      </c>
      <c r="D119" s="38" t="s">
        <v>174</v>
      </c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 t="s">
        <v>175</v>
      </c>
      <c r="AK119" t="s">
        <v>198</v>
      </c>
      <c r="AL119" s="39" t="s">
        <v>176</v>
      </c>
      <c r="AM119" s="37">
        <v>1510013</v>
      </c>
      <c r="AN119" s="41">
        <v>7001002</v>
      </c>
      <c r="AO119" s="28">
        <v>5</v>
      </c>
    </row>
    <row r="120" spans="1:34" s="4" customFormat="1" x14ac:dyDescent="0.25">
      <c r="A120" s="19">
        <v>11101</v>
      </c>
      <c r="B120" s="19" t="s">
        <v>199</v>
      </c>
      <c r="C120" s="19" t="s">
        <v>200</v>
      </c>
      <c r="D120" s="19" t="s">
        <v>201</v>
      </c>
      <c r="E120" s="19" t="s">
        <v>86</v>
      </c>
      <c r="F120" s="19" t="s">
        <v>202</v>
      </c>
      <c r="G120" s="19">
        <v>1</v>
      </c>
      <c r="H120" s="19">
        <v>1</v>
      </c>
      <c r="I120" s="19">
        <v>1</v>
      </c>
      <c r="J120" s="19">
        <v>1</v>
      </c>
      <c r="K120" s="19">
        <v>34067</v>
      </c>
      <c r="L120" s="19">
        <v>21600</v>
      </c>
      <c r="M120" s="19">
        <v>1001</v>
      </c>
      <c r="N120" s="19" t="s">
        <v>203</v>
      </c>
      <c r="O120" s="42" t="s">
        <v>204</v>
      </c>
      <c r="P120" s="42" t="s">
        <v>205</v>
      </c>
      <c r="Q120" s="19">
        <v>1000001</v>
      </c>
      <c r="R120" s="19">
        <v>1000076</v>
      </c>
      <c r="S120" s="19" t="s">
        <v>206</v>
      </c>
      <c r="T120" s="19">
        <v>1</v>
      </c>
      <c r="U120" s="19" t="s">
        <v>207</v>
      </c>
      <c r="V120" s="19" t="s">
        <v>208</v>
      </c>
      <c r="W120" s="19" t="s">
        <v>209</v>
      </c>
      <c r="X120" s="19">
        <v>5</v>
      </c>
      <c r="Y120" s="19" t="s">
        <v>210</v>
      </c>
      <c r="Z120" s="19" t="s">
        <v>211</v>
      </c>
      <c r="AA120" s="19" t="s">
        <v>212</v>
      </c>
      <c r="AB120" s="19">
        <v>1</v>
      </c>
      <c r="AC120" s="43" t="b">
        <v>0</v>
      </c>
      <c r="AD120" s="4" t="b">
        <v>0</v>
      </c>
      <c r="AF120" s="44">
        <v>3</v>
      </c>
      <c r="AG120" s="45"/>
      <c r="AH120" s="45"/>
    </row>
    <row r="121" spans="1:34" s="4" customFormat="1" x14ac:dyDescent="0.25">
      <c r="A121" s="19">
        <v>11102</v>
      </c>
      <c r="B121" s="19" t="s">
        <v>213</v>
      </c>
      <c r="C121" s="19" t="s">
        <v>200</v>
      </c>
      <c r="D121" s="19" t="s">
        <v>201</v>
      </c>
      <c r="E121" s="19" t="s">
        <v>86</v>
      </c>
      <c r="F121" s="19" t="s">
        <v>202</v>
      </c>
      <c r="G121" s="19">
        <v>1</v>
      </c>
      <c r="H121" s="19">
        <v>1</v>
      </c>
      <c r="I121" s="19">
        <v>1</v>
      </c>
      <c r="J121" s="19">
        <v>2</v>
      </c>
      <c r="K121" s="19">
        <v>63098</v>
      </c>
      <c r="L121" s="19">
        <v>21600</v>
      </c>
      <c r="M121" s="19">
        <v>1002</v>
      </c>
      <c r="N121" s="19" t="s">
        <v>203</v>
      </c>
      <c r="O121" s="42" t="s">
        <v>204</v>
      </c>
      <c r="P121" s="42" t="s">
        <v>214</v>
      </c>
      <c r="Q121" s="19">
        <v>1000002</v>
      </c>
      <c r="R121" s="19">
        <v>1000077</v>
      </c>
      <c r="S121" s="19" t="s">
        <v>206</v>
      </c>
      <c r="T121" s="19">
        <v>1</v>
      </c>
      <c r="U121" s="19" t="s">
        <v>207</v>
      </c>
      <c r="V121" s="19" t="s">
        <v>208</v>
      </c>
      <c r="W121" s="19" t="s">
        <v>209</v>
      </c>
      <c r="X121" s="19">
        <v>5</v>
      </c>
      <c r="Y121" s="19" t="s">
        <v>215</v>
      </c>
      <c r="Z121" s="19" t="s">
        <v>216</v>
      </c>
      <c r="AA121" s="19" t="s">
        <v>217</v>
      </c>
      <c r="AB121" s="19">
        <v>1</v>
      </c>
      <c r="AC121" s="43" t="b">
        <v>0</v>
      </c>
      <c r="AD121" s="4" t="b">
        <v>0</v>
      </c>
      <c r="AF121" s="44">
        <v>3</v>
      </c>
      <c r="AG121" s="45"/>
      <c r="AH121" s="45"/>
    </row>
    <row r="122" spans="1:34" s="4" customFormat="1" x14ac:dyDescent="0.25">
      <c r="A122" s="19">
        <v>11103</v>
      </c>
      <c r="B122" s="19" t="s">
        <v>218</v>
      </c>
      <c r="C122" s="19" t="s">
        <v>200</v>
      </c>
      <c r="D122" s="19" t="s">
        <v>201</v>
      </c>
      <c r="E122" s="19" t="s">
        <v>86</v>
      </c>
      <c r="F122" s="19" t="s">
        <v>202</v>
      </c>
      <c r="G122" s="19">
        <v>1</v>
      </c>
      <c r="H122" s="19">
        <v>1</v>
      </c>
      <c r="I122" s="19">
        <v>1</v>
      </c>
      <c r="J122" s="19">
        <v>3</v>
      </c>
      <c r="K122" s="19">
        <v>106108</v>
      </c>
      <c r="L122" s="19">
        <v>21600</v>
      </c>
      <c r="M122" s="19">
        <v>1003</v>
      </c>
      <c r="N122" s="19" t="s">
        <v>203</v>
      </c>
      <c r="O122" s="42" t="s">
        <v>204</v>
      </c>
      <c r="P122" s="42" t="s">
        <v>219</v>
      </c>
      <c r="Q122" s="19">
        <v>1000003</v>
      </c>
      <c r="R122" s="19">
        <v>1000078</v>
      </c>
      <c r="S122" s="19" t="s">
        <v>206</v>
      </c>
      <c r="T122" s="19">
        <v>1</v>
      </c>
      <c r="U122" s="19" t="s">
        <v>207</v>
      </c>
      <c r="V122" s="19" t="s">
        <v>208</v>
      </c>
      <c r="W122" s="19" t="s">
        <v>209</v>
      </c>
      <c r="X122" s="19">
        <v>5</v>
      </c>
      <c r="Y122" s="19" t="s">
        <v>220</v>
      </c>
      <c r="Z122" s="19" t="s">
        <v>221</v>
      </c>
      <c r="AA122" s="19" t="s">
        <v>222</v>
      </c>
      <c r="AB122" s="19">
        <v>1</v>
      </c>
      <c r="AC122" s="43" t="b">
        <v>0</v>
      </c>
      <c r="AD122" s="4" t="b">
        <v>0</v>
      </c>
      <c r="AF122" s="44">
        <v>3</v>
      </c>
      <c r="AG122" s="45"/>
      <c r="AH122" s="45"/>
    </row>
    <row r="123" spans="1:34" s="4" customFormat="1" x14ac:dyDescent="0.25">
      <c r="A123" s="19">
        <v>11104</v>
      </c>
      <c r="B123" s="19" t="s">
        <v>223</v>
      </c>
      <c r="C123" s="19" t="s">
        <v>200</v>
      </c>
      <c r="D123" s="19" t="s">
        <v>201</v>
      </c>
      <c r="E123" s="19" t="s">
        <v>86</v>
      </c>
      <c r="F123" s="19" t="s">
        <v>202</v>
      </c>
      <c r="G123" s="19">
        <v>1</v>
      </c>
      <c r="H123" s="19">
        <v>1</v>
      </c>
      <c r="I123" s="19">
        <v>1</v>
      </c>
      <c r="J123" s="19">
        <v>4</v>
      </c>
      <c r="K123" s="19">
        <v>159342</v>
      </c>
      <c r="L123" s="19">
        <v>21600</v>
      </c>
      <c r="M123" s="19">
        <v>1004</v>
      </c>
      <c r="N123" s="19" t="s">
        <v>203</v>
      </c>
      <c r="O123" s="42" t="s">
        <v>204</v>
      </c>
      <c r="P123" s="42" t="s">
        <v>224</v>
      </c>
      <c r="Q123" s="19">
        <v>1000004</v>
      </c>
      <c r="R123" s="19">
        <v>1000079</v>
      </c>
      <c r="S123" s="19" t="s">
        <v>206</v>
      </c>
      <c r="T123" s="19">
        <v>1</v>
      </c>
      <c r="U123" s="19" t="s">
        <v>207</v>
      </c>
      <c r="V123" s="19" t="s">
        <v>208</v>
      </c>
      <c r="W123" s="19" t="s">
        <v>209</v>
      </c>
      <c r="X123" s="19">
        <v>5</v>
      </c>
      <c r="Y123" s="19" t="s">
        <v>225</v>
      </c>
      <c r="Z123" s="19" t="s">
        <v>226</v>
      </c>
      <c r="AA123" s="19" t="s">
        <v>227</v>
      </c>
      <c r="AB123" s="19">
        <v>1</v>
      </c>
      <c r="AC123" s="43" t="b">
        <v>0</v>
      </c>
      <c r="AD123" s="4" t="b">
        <v>0</v>
      </c>
      <c r="AF123" s="44">
        <v>3</v>
      </c>
      <c r="AG123" s="45"/>
      <c r="AH123" s="45"/>
    </row>
    <row r="124" spans="1:34" s="4" customFormat="1" x14ac:dyDescent="0.25">
      <c r="A124" s="19">
        <v>11105</v>
      </c>
      <c r="B124" s="19" t="s">
        <v>228</v>
      </c>
      <c r="C124" s="19" t="s">
        <v>200</v>
      </c>
      <c r="D124" s="19" t="s">
        <v>201</v>
      </c>
      <c r="E124" s="19" t="s">
        <v>86</v>
      </c>
      <c r="F124" s="19" t="s">
        <v>202</v>
      </c>
      <c r="G124" s="19">
        <v>1</v>
      </c>
      <c r="H124" s="19">
        <v>1</v>
      </c>
      <c r="I124" s="19">
        <v>1</v>
      </c>
      <c r="J124" s="19">
        <v>5</v>
      </c>
      <c r="K124" s="19">
        <v>230407</v>
      </c>
      <c r="L124" s="19">
        <v>21600</v>
      </c>
      <c r="M124" s="19">
        <v>1005</v>
      </c>
      <c r="N124" s="19" t="s">
        <v>203</v>
      </c>
      <c r="O124" s="42" t="s">
        <v>204</v>
      </c>
      <c r="P124" s="42" t="s">
        <v>229</v>
      </c>
      <c r="Q124" s="19">
        <v>1000005</v>
      </c>
      <c r="R124" s="19">
        <v>1000080</v>
      </c>
      <c r="S124" s="19" t="s">
        <v>206</v>
      </c>
      <c r="T124" s="19">
        <v>1</v>
      </c>
      <c r="U124" s="19" t="s">
        <v>207</v>
      </c>
      <c r="V124" s="19" t="s">
        <v>208</v>
      </c>
      <c r="W124" s="19" t="s">
        <v>209</v>
      </c>
      <c r="X124" s="19">
        <v>5</v>
      </c>
      <c r="Y124" s="19" t="s">
        <v>230</v>
      </c>
      <c r="Z124" s="19" t="s">
        <v>231</v>
      </c>
      <c r="AA124" s="19" t="s">
        <v>232</v>
      </c>
      <c r="AB124" s="19">
        <v>1</v>
      </c>
      <c r="AC124" s="43" t="b">
        <v>0</v>
      </c>
      <c r="AD124" s="4" t="b">
        <v>0</v>
      </c>
      <c r="AF124" s="44">
        <v>3</v>
      </c>
      <c r="AG124" s="45"/>
      <c r="AH124" s="45"/>
    </row>
    <row r="125" spans="1:34" s="4" customFormat="1" x14ac:dyDescent="0.25">
      <c r="A125" s="19">
        <v>11106</v>
      </c>
      <c r="B125" s="19" t="s">
        <v>233</v>
      </c>
      <c r="C125" s="19" t="s">
        <v>200</v>
      </c>
      <c r="D125" s="19" t="s">
        <v>201</v>
      </c>
      <c r="E125" s="19" t="s">
        <v>86</v>
      </c>
      <c r="F125" s="19" t="s">
        <v>202</v>
      </c>
      <c r="G125" s="19">
        <v>1</v>
      </c>
      <c r="H125" s="19">
        <v>1</v>
      </c>
      <c r="I125" s="19">
        <v>1</v>
      </c>
      <c r="J125" s="19">
        <v>6</v>
      </c>
      <c r="K125" s="19">
        <v>313424</v>
      </c>
      <c r="L125" s="19">
        <v>21600</v>
      </c>
      <c r="M125" s="19">
        <v>1006</v>
      </c>
      <c r="N125" s="19" t="s">
        <v>203</v>
      </c>
      <c r="O125" s="42" t="s">
        <v>204</v>
      </c>
      <c r="P125" s="42" t="s">
        <v>234</v>
      </c>
      <c r="Q125" s="19">
        <v>1000006</v>
      </c>
      <c r="R125" s="19">
        <v>1000081</v>
      </c>
      <c r="S125" s="19" t="s">
        <v>206</v>
      </c>
      <c r="T125" s="19">
        <v>1</v>
      </c>
      <c r="U125" s="19" t="s">
        <v>207</v>
      </c>
      <c r="V125" s="19" t="s">
        <v>208</v>
      </c>
      <c r="W125" s="19" t="s">
        <v>235</v>
      </c>
      <c r="X125" s="19">
        <v>10</v>
      </c>
      <c r="Y125" s="19" t="s">
        <v>236</v>
      </c>
      <c r="Z125" s="19" t="s">
        <v>237</v>
      </c>
      <c r="AA125" s="19" t="s">
        <v>238</v>
      </c>
      <c r="AB125" s="19">
        <v>1</v>
      </c>
      <c r="AC125" s="43" t="b">
        <v>0</v>
      </c>
      <c r="AD125" s="4" t="b">
        <v>0</v>
      </c>
      <c r="AF125" s="44">
        <v>3</v>
      </c>
      <c r="AG125" s="45"/>
      <c r="AH125" s="45"/>
    </row>
    <row r="126" spans="1:34" s="4" customFormat="1" x14ac:dyDescent="0.25">
      <c r="A126" s="19">
        <v>11107</v>
      </c>
      <c r="B126" s="19" t="s">
        <v>239</v>
      </c>
      <c r="C126" s="19" t="s">
        <v>200</v>
      </c>
      <c r="D126" s="19" t="s">
        <v>201</v>
      </c>
      <c r="E126" s="19" t="s">
        <v>86</v>
      </c>
      <c r="F126" s="19" t="s">
        <v>202</v>
      </c>
      <c r="G126" s="19">
        <v>1</v>
      </c>
      <c r="H126" s="19">
        <v>1</v>
      </c>
      <c r="I126" s="19">
        <v>1</v>
      </c>
      <c r="J126" s="19">
        <v>7</v>
      </c>
      <c r="K126" s="19">
        <v>417993</v>
      </c>
      <c r="L126" s="19">
        <v>21600</v>
      </c>
      <c r="M126" s="19">
        <v>1007</v>
      </c>
      <c r="N126" s="19" t="s">
        <v>203</v>
      </c>
      <c r="O126" s="42" t="s">
        <v>204</v>
      </c>
      <c r="P126" s="42" t="s">
        <v>240</v>
      </c>
      <c r="Q126" s="19">
        <v>1000007</v>
      </c>
      <c r="R126" s="19">
        <v>1000082</v>
      </c>
      <c r="S126" s="19" t="s">
        <v>206</v>
      </c>
      <c r="T126" s="19">
        <v>1</v>
      </c>
      <c r="U126" s="19" t="s">
        <v>207</v>
      </c>
      <c r="V126" s="19" t="s">
        <v>208</v>
      </c>
      <c r="W126" s="19" t="s">
        <v>235</v>
      </c>
      <c r="X126" s="19">
        <v>10</v>
      </c>
      <c r="Y126" s="19" t="s">
        <v>241</v>
      </c>
      <c r="Z126" s="19" t="s">
        <v>242</v>
      </c>
      <c r="AA126" s="19" t="s">
        <v>243</v>
      </c>
      <c r="AB126" s="19">
        <v>1</v>
      </c>
      <c r="AC126" s="43" t="b">
        <v>0</v>
      </c>
      <c r="AD126" s="4" t="b">
        <v>0</v>
      </c>
      <c r="AF126" s="44">
        <v>3</v>
      </c>
      <c r="AG126" s="45"/>
      <c r="AH126" s="45"/>
    </row>
    <row r="127" spans="1:34" s="4" customFormat="1" x14ac:dyDescent="0.25">
      <c r="A127" s="19">
        <v>11108</v>
      </c>
      <c r="B127" s="19" t="s">
        <v>244</v>
      </c>
      <c r="C127" s="19" t="s">
        <v>200</v>
      </c>
      <c r="D127" s="19" t="s">
        <v>201</v>
      </c>
      <c r="E127" s="19" t="s">
        <v>86</v>
      </c>
      <c r="F127" s="19" t="s">
        <v>202</v>
      </c>
      <c r="G127" s="19">
        <v>1</v>
      </c>
      <c r="H127" s="19">
        <v>1</v>
      </c>
      <c r="I127" s="19">
        <v>1</v>
      </c>
      <c r="J127" s="19">
        <v>8</v>
      </c>
      <c r="K127" s="19">
        <v>585512</v>
      </c>
      <c r="L127" s="19">
        <v>21600</v>
      </c>
      <c r="M127" s="19">
        <v>1008</v>
      </c>
      <c r="N127" s="19" t="s">
        <v>203</v>
      </c>
      <c r="O127" s="42" t="s">
        <v>204</v>
      </c>
      <c r="P127" s="42" t="s">
        <v>245</v>
      </c>
      <c r="Q127" s="19">
        <v>1000008</v>
      </c>
      <c r="R127" s="19">
        <v>1000083</v>
      </c>
      <c r="S127" s="19" t="s">
        <v>206</v>
      </c>
      <c r="T127" s="19">
        <v>1</v>
      </c>
      <c r="U127" s="19" t="s">
        <v>207</v>
      </c>
      <c r="V127" s="19" t="s">
        <v>208</v>
      </c>
      <c r="W127" s="19" t="s">
        <v>235</v>
      </c>
      <c r="X127" s="19">
        <v>10</v>
      </c>
      <c r="Y127" s="19" t="s">
        <v>246</v>
      </c>
      <c r="Z127" s="19" t="s">
        <v>247</v>
      </c>
      <c r="AA127" s="19" t="s">
        <v>248</v>
      </c>
      <c r="AB127" s="19">
        <v>1</v>
      </c>
      <c r="AC127" s="43" t="b">
        <v>0</v>
      </c>
      <c r="AD127" s="4" t="b">
        <v>0</v>
      </c>
      <c r="AF127" s="44">
        <v>3</v>
      </c>
      <c r="AG127" s="45"/>
      <c r="AH127" s="45"/>
    </row>
    <row r="128" spans="1:34" s="4" customFormat="1" x14ac:dyDescent="0.25">
      <c r="A128" s="19">
        <v>11109</v>
      </c>
      <c r="B128" s="19" t="s">
        <v>249</v>
      </c>
      <c r="C128" s="19" t="s">
        <v>200</v>
      </c>
      <c r="D128" s="19" t="s">
        <v>201</v>
      </c>
      <c r="E128" s="19" t="s">
        <v>86</v>
      </c>
      <c r="F128" s="19" t="s">
        <v>202</v>
      </c>
      <c r="G128" s="19">
        <v>1</v>
      </c>
      <c r="H128" s="19">
        <v>1</v>
      </c>
      <c r="I128" s="19">
        <v>1</v>
      </c>
      <c r="J128" s="19">
        <v>9</v>
      </c>
      <c r="K128" s="19">
        <v>673582</v>
      </c>
      <c r="L128" s="19">
        <v>21600</v>
      </c>
      <c r="M128" s="19">
        <v>1009</v>
      </c>
      <c r="N128" s="19" t="s">
        <v>203</v>
      </c>
      <c r="O128" s="42" t="s">
        <v>204</v>
      </c>
      <c r="P128" s="42" t="s">
        <v>250</v>
      </c>
      <c r="Q128" s="19">
        <v>1000009</v>
      </c>
      <c r="R128" s="19">
        <v>1000084</v>
      </c>
      <c r="S128" s="19" t="s">
        <v>206</v>
      </c>
      <c r="T128" s="19">
        <v>1</v>
      </c>
      <c r="U128" s="19" t="s">
        <v>207</v>
      </c>
      <c r="V128" s="19" t="s">
        <v>208</v>
      </c>
      <c r="W128" s="19" t="s">
        <v>235</v>
      </c>
      <c r="X128" s="19">
        <v>10</v>
      </c>
      <c r="Y128" s="19" t="s">
        <v>251</v>
      </c>
      <c r="Z128" s="19" t="s">
        <v>252</v>
      </c>
      <c r="AA128" s="19" t="s">
        <v>253</v>
      </c>
      <c r="AB128" s="19">
        <v>1</v>
      </c>
      <c r="AC128" s="43" t="b">
        <v>0</v>
      </c>
      <c r="AD128" s="4" t="b">
        <v>0</v>
      </c>
      <c r="AF128" s="44">
        <v>3</v>
      </c>
      <c r="AG128" s="45"/>
      <c r="AH128" s="45"/>
    </row>
    <row r="129" spans="1:34" s="4" customFormat="1" x14ac:dyDescent="0.25">
      <c r="A129" s="19">
        <v>11110</v>
      </c>
      <c r="B129" s="19" t="s">
        <v>254</v>
      </c>
      <c r="C129" s="19" t="s">
        <v>200</v>
      </c>
      <c r="D129" s="19" t="s">
        <v>201</v>
      </c>
      <c r="E129" s="19" t="s">
        <v>86</v>
      </c>
      <c r="F129" s="19" t="s">
        <v>202</v>
      </c>
      <c r="G129" s="19">
        <v>1</v>
      </c>
      <c r="H129" s="19">
        <v>1</v>
      </c>
      <c r="I129" s="19">
        <v>1</v>
      </c>
      <c r="J129" s="19">
        <v>10</v>
      </c>
      <c r="K129" s="19">
        <v>760707</v>
      </c>
      <c r="L129" s="19">
        <v>21600</v>
      </c>
      <c r="M129" s="19">
        <v>1010</v>
      </c>
      <c r="N129" s="19" t="s">
        <v>203</v>
      </c>
      <c r="O129" s="42" t="s">
        <v>204</v>
      </c>
      <c r="P129" s="42" t="s">
        <v>255</v>
      </c>
      <c r="Q129" s="19">
        <v>1000010</v>
      </c>
      <c r="R129" s="19">
        <v>1000085</v>
      </c>
      <c r="S129" s="19" t="s">
        <v>206</v>
      </c>
      <c r="T129" s="19">
        <v>1</v>
      </c>
      <c r="U129" s="19" t="s">
        <v>207</v>
      </c>
      <c r="V129" s="19" t="s">
        <v>208</v>
      </c>
      <c r="W129" s="19" t="s">
        <v>235</v>
      </c>
      <c r="X129" s="19">
        <v>10</v>
      </c>
      <c r="Y129" s="19" t="s">
        <v>256</v>
      </c>
      <c r="Z129" s="19" t="s">
        <v>257</v>
      </c>
      <c r="AA129" s="19" t="s">
        <v>258</v>
      </c>
      <c r="AB129" s="19">
        <v>1</v>
      </c>
      <c r="AC129" s="43" t="b">
        <v>0</v>
      </c>
      <c r="AD129" s="4" t="b">
        <v>0</v>
      </c>
      <c r="AF129" s="44">
        <v>3</v>
      </c>
      <c r="AG129" s="45"/>
      <c r="AH129" s="45"/>
    </row>
    <row r="130" spans="1:34" s="4" customFormat="1" x14ac:dyDescent="0.25">
      <c r="A130" s="19">
        <v>11111</v>
      </c>
      <c r="B130" s="19" t="s">
        <v>259</v>
      </c>
      <c r="C130" s="19" t="s">
        <v>200</v>
      </c>
      <c r="D130" s="19" t="s">
        <v>201</v>
      </c>
      <c r="E130" s="19" t="s">
        <v>86</v>
      </c>
      <c r="F130" s="19" t="s">
        <v>202</v>
      </c>
      <c r="G130" s="19">
        <v>1</v>
      </c>
      <c r="H130" s="19">
        <v>1</v>
      </c>
      <c r="I130" s="19">
        <v>1</v>
      </c>
      <c r="J130" s="19">
        <v>11</v>
      </c>
      <c r="K130" s="19">
        <v>875115</v>
      </c>
      <c r="L130" s="19">
        <v>21600</v>
      </c>
      <c r="M130" s="19">
        <v>1011</v>
      </c>
      <c r="N130" s="19" t="s">
        <v>203</v>
      </c>
      <c r="O130" s="42" t="s">
        <v>204</v>
      </c>
      <c r="P130" s="42" t="s">
        <v>260</v>
      </c>
      <c r="Q130" s="19">
        <v>1000011</v>
      </c>
      <c r="R130" s="19">
        <v>1000086</v>
      </c>
      <c r="S130" s="19" t="s">
        <v>206</v>
      </c>
      <c r="T130" s="19">
        <v>1</v>
      </c>
      <c r="U130" s="19" t="s">
        <v>207</v>
      </c>
      <c r="V130" s="19" t="s">
        <v>208</v>
      </c>
      <c r="W130" s="19" t="s">
        <v>235</v>
      </c>
      <c r="X130" s="19">
        <v>15</v>
      </c>
      <c r="Y130" s="19" t="s">
        <v>261</v>
      </c>
      <c r="Z130" s="19" t="s">
        <v>262</v>
      </c>
      <c r="AA130" s="19" t="s">
        <v>263</v>
      </c>
      <c r="AB130" s="19">
        <v>1</v>
      </c>
      <c r="AC130" s="43" t="b">
        <v>0</v>
      </c>
      <c r="AD130" s="4" t="b">
        <v>0</v>
      </c>
      <c r="AF130" s="44">
        <v>3</v>
      </c>
      <c r="AG130" s="45"/>
      <c r="AH130" s="45"/>
    </row>
    <row r="131" spans="1:34" s="4" customFormat="1" x14ac:dyDescent="0.25">
      <c r="A131" s="19">
        <v>11112</v>
      </c>
      <c r="B131" s="19" t="s">
        <v>264</v>
      </c>
      <c r="C131" s="19" t="s">
        <v>200</v>
      </c>
      <c r="D131" s="19" t="s">
        <v>201</v>
      </c>
      <c r="E131" s="19" t="s">
        <v>86</v>
      </c>
      <c r="F131" s="19" t="s">
        <v>202</v>
      </c>
      <c r="G131" s="19">
        <v>1</v>
      </c>
      <c r="H131" s="19">
        <v>1</v>
      </c>
      <c r="I131" s="19">
        <v>1</v>
      </c>
      <c r="J131" s="19">
        <v>12</v>
      </c>
      <c r="K131" s="19">
        <v>1052219</v>
      </c>
      <c r="L131" s="19">
        <v>21600</v>
      </c>
      <c r="M131" s="19">
        <v>1012</v>
      </c>
      <c r="N131" s="19" t="s">
        <v>203</v>
      </c>
      <c r="O131" s="42" t="s">
        <v>204</v>
      </c>
      <c r="P131" s="42" t="s">
        <v>265</v>
      </c>
      <c r="Q131" s="19">
        <v>1000012</v>
      </c>
      <c r="R131" s="19">
        <v>1000087</v>
      </c>
      <c r="S131" s="19" t="s">
        <v>206</v>
      </c>
      <c r="T131" s="19">
        <v>1</v>
      </c>
      <c r="U131" s="19" t="s">
        <v>207</v>
      </c>
      <c r="V131" s="19" t="s">
        <v>208</v>
      </c>
      <c r="W131" s="19" t="s">
        <v>235</v>
      </c>
      <c r="X131" s="19">
        <v>15</v>
      </c>
      <c r="Y131" s="19" t="s">
        <v>266</v>
      </c>
      <c r="Z131" s="19" t="s">
        <v>267</v>
      </c>
      <c r="AA131" s="19" t="s">
        <v>268</v>
      </c>
      <c r="AB131" s="19">
        <v>1</v>
      </c>
      <c r="AC131" s="43" t="b">
        <v>0</v>
      </c>
      <c r="AD131" s="4" t="b">
        <v>0</v>
      </c>
      <c r="AF131" s="44">
        <v>3</v>
      </c>
      <c r="AG131" s="45"/>
      <c r="AH131" s="45"/>
    </row>
    <row r="132" spans="1:34" s="4" customFormat="1" x14ac:dyDescent="0.25">
      <c r="A132" s="19">
        <v>11113</v>
      </c>
      <c r="B132" s="19" t="s">
        <v>269</v>
      </c>
      <c r="C132" s="19" t="s">
        <v>200</v>
      </c>
      <c r="D132" s="19" t="s">
        <v>201</v>
      </c>
      <c r="E132" s="19" t="s">
        <v>86</v>
      </c>
      <c r="F132" s="19" t="s">
        <v>202</v>
      </c>
      <c r="G132" s="19">
        <v>1</v>
      </c>
      <c r="H132" s="19">
        <v>1</v>
      </c>
      <c r="I132" s="19">
        <v>1</v>
      </c>
      <c r="J132" s="19">
        <v>13</v>
      </c>
      <c r="K132" s="19">
        <v>1569989</v>
      </c>
      <c r="L132" s="19">
        <v>21600</v>
      </c>
      <c r="M132" s="19">
        <v>1013</v>
      </c>
      <c r="N132" s="19" t="s">
        <v>203</v>
      </c>
      <c r="O132" s="42" t="s">
        <v>204</v>
      </c>
      <c r="P132" s="42" t="s">
        <v>270</v>
      </c>
      <c r="Q132" s="19">
        <v>1000013</v>
      </c>
      <c r="R132" s="19">
        <v>1000088</v>
      </c>
      <c r="S132" s="19" t="s">
        <v>206</v>
      </c>
      <c r="T132" s="19">
        <v>1</v>
      </c>
      <c r="U132" s="19" t="s">
        <v>207</v>
      </c>
      <c r="V132" s="19" t="s">
        <v>208</v>
      </c>
      <c r="W132" s="19" t="s">
        <v>235</v>
      </c>
      <c r="X132" s="19">
        <v>15</v>
      </c>
      <c r="Y132" s="19" t="s">
        <v>271</v>
      </c>
      <c r="Z132" s="19" t="s">
        <v>272</v>
      </c>
      <c r="AA132" s="19" t="s">
        <v>273</v>
      </c>
      <c r="AB132" s="19">
        <v>1</v>
      </c>
      <c r="AC132" s="43" t="b">
        <v>0</v>
      </c>
      <c r="AD132" s="4" t="b">
        <v>0</v>
      </c>
      <c r="AF132" s="44">
        <v>3</v>
      </c>
      <c r="AG132" s="45"/>
      <c r="AH132" s="45"/>
    </row>
    <row r="133" spans="1:40" s="4" customFormat="1" x14ac:dyDescent="0.25">
      <c r="A133" s="19">
        <v>11114</v>
      </c>
      <c r="B133" s="19" t="s">
        <v>274</v>
      </c>
      <c r="C133" s="19" t="s">
        <v>200</v>
      </c>
      <c r="D133" s="19" t="s">
        <v>201</v>
      </c>
      <c r="E133" s="19" t="s">
        <v>86</v>
      </c>
      <c r="F133" s="19" t="s">
        <v>202</v>
      </c>
      <c r="G133" s="19">
        <v>1</v>
      </c>
      <c r="H133" s="19">
        <v>1</v>
      </c>
      <c r="I133" s="19">
        <v>1</v>
      </c>
      <c r="J133" s="19">
        <v>14</v>
      </c>
      <c r="K133" s="19">
        <v>1951593</v>
      </c>
      <c r="L133" s="19">
        <v>21600</v>
      </c>
      <c r="M133" s="19">
        <v>1014</v>
      </c>
      <c r="N133" s="19" t="s">
        <v>203</v>
      </c>
      <c r="O133" s="42" t="s">
        <v>204</v>
      </c>
      <c r="P133" s="42" t="s">
        <v>275</v>
      </c>
      <c r="Q133" s="19">
        <v>1000014</v>
      </c>
      <c r="R133" s="19">
        <v>1000089</v>
      </c>
      <c r="S133" s="19" t="s">
        <v>206</v>
      </c>
      <c r="T133" s="19">
        <v>1</v>
      </c>
      <c r="U133" s="19" t="s">
        <v>207</v>
      </c>
      <c r="V133" s="19" t="s">
        <v>208</v>
      </c>
      <c r="W133" s="19" t="s">
        <v>235</v>
      </c>
      <c r="X133" s="19">
        <v>15</v>
      </c>
      <c r="Y133" s="19" t="s">
        <v>276</v>
      </c>
      <c r="Z133" s="3"/>
      <c r="AA133" s="19" t="s">
        <v>277</v>
      </c>
      <c r="AB133" s="19">
        <v>1</v>
      </c>
      <c r="AC133" s="43" t="b">
        <v>0</v>
      </c>
      <c r="AD133" s="4" t="b">
        <v>0</v>
      </c>
      <c r="AF133" s="44">
        <v>3</v>
      </c>
      <c r="AG133" s="45"/>
      <c r="AH133" s="45"/>
      <c r="AI133" s="4"/>
      <c r="AN133" s="19"/>
    </row>
    <row r="134" spans="1:34" s="4" customFormat="1" x14ac:dyDescent="0.25">
      <c r="A134" s="19">
        <v>11115</v>
      </c>
      <c r="B134" s="19" t="s">
        <v>278</v>
      </c>
      <c r="C134" s="19" t="s">
        <v>200</v>
      </c>
      <c r="D134" s="19" t="s">
        <v>201</v>
      </c>
      <c r="E134" s="19" t="s">
        <v>86</v>
      </c>
      <c r="F134" s="19" t="s">
        <v>202</v>
      </c>
      <c r="G134" s="19">
        <v>1</v>
      </c>
      <c r="H134" s="19">
        <v>1</v>
      </c>
      <c r="I134" s="19">
        <v>1</v>
      </c>
      <c r="J134" s="19">
        <v>15</v>
      </c>
      <c r="K134" s="19">
        <v>2222839</v>
      </c>
      <c r="L134" s="19">
        <v>21600</v>
      </c>
      <c r="M134" s="19">
        <v>1015</v>
      </c>
      <c r="N134" s="19" t="s">
        <v>203</v>
      </c>
      <c r="O134" s="42" t="s">
        <v>204</v>
      </c>
      <c r="P134" s="42" t="s">
        <v>279</v>
      </c>
      <c r="Q134" s="19">
        <v>1000015</v>
      </c>
      <c r="R134" s="19">
        <v>1000090</v>
      </c>
      <c r="S134" s="19" t="s">
        <v>206</v>
      </c>
      <c r="T134" s="19">
        <v>1</v>
      </c>
      <c r="U134" s="19" t="s">
        <v>207</v>
      </c>
      <c r="V134" s="19" t="s">
        <v>208</v>
      </c>
      <c r="W134" s="19" t="s">
        <v>235</v>
      </c>
      <c r="X134" s="19">
        <v>15</v>
      </c>
      <c r="Y134" s="19" t="s">
        <v>280</v>
      </c>
      <c r="Z134" s="19" t="s">
        <v>281</v>
      </c>
      <c r="AA134" s="19" t="s">
        <v>282</v>
      </c>
      <c r="AB134" s="19">
        <v>1</v>
      </c>
      <c r="AC134" s="43" t="b">
        <v>0</v>
      </c>
      <c r="AD134" s="4" t="b">
        <v>0</v>
      </c>
      <c r="AF134" s="44">
        <v>3</v>
      </c>
      <c r="AG134" s="45"/>
      <c r="AH134" s="45"/>
    </row>
    <row r="135" spans="1:34" s="4" customFormat="1" x14ac:dyDescent="0.25">
      <c r="A135" s="19">
        <v>11116</v>
      </c>
      <c r="B135" s="19" t="s">
        <v>283</v>
      </c>
      <c r="C135" s="19" t="s">
        <v>200</v>
      </c>
      <c r="D135" s="19" t="s">
        <v>201</v>
      </c>
      <c r="E135" s="19" t="s">
        <v>86</v>
      </c>
      <c r="F135" s="19" t="s">
        <v>202</v>
      </c>
      <c r="G135" s="19">
        <v>1</v>
      </c>
      <c r="H135" s="19">
        <v>1</v>
      </c>
      <c r="I135" s="19">
        <v>1</v>
      </c>
      <c r="J135" s="19">
        <v>16</v>
      </c>
      <c r="K135" s="19">
        <v>2681701</v>
      </c>
      <c r="L135" s="19">
        <v>21600</v>
      </c>
      <c r="M135" s="19">
        <v>1016</v>
      </c>
      <c r="N135" s="19" t="s">
        <v>203</v>
      </c>
      <c r="O135" s="42" t="s">
        <v>204</v>
      </c>
      <c r="P135" s="42" t="s">
        <v>284</v>
      </c>
      <c r="Q135" s="19">
        <v>1000016</v>
      </c>
      <c r="R135" s="19">
        <v>1000091</v>
      </c>
      <c r="S135" s="19" t="s">
        <v>206</v>
      </c>
      <c r="T135" s="19">
        <v>1</v>
      </c>
      <c r="U135" s="19" t="s">
        <v>207</v>
      </c>
      <c r="V135" s="19" t="s">
        <v>208</v>
      </c>
      <c r="W135" s="19" t="s">
        <v>285</v>
      </c>
      <c r="X135" s="19">
        <v>20</v>
      </c>
      <c r="Y135" s="19" t="s">
        <v>286</v>
      </c>
      <c r="Z135" s="19" t="s">
        <v>287</v>
      </c>
      <c r="AA135" s="19" t="s">
        <v>288</v>
      </c>
      <c r="AB135" s="19">
        <v>1</v>
      </c>
      <c r="AC135" s="43" t="b">
        <v>0</v>
      </c>
      <c r="AD135" s="4" t="b">
        <v>0</v>
      </c>
      <c r="AF135" s="44">
        <v>3</v>
      </c>
      <c r="AG135" s="45"/>
      <c r="AH135" s="45"/>
    </row>
    <row r="136" spans="1:34" s="4" customFormat="1" x14ac:dyDescent="0.25">
      <c r="A136" s="19">
        <v>11117</v>
      </c>
      <c r="B136" s="19" t="s">
        <v>289</v>
      </c>
      <c r="C136" s="19" t="s">
        <v>200</v>
      </c>
      <c r="D136" s="19" t="s">
        <v>201</v>
      </c>
      <c r="E136" s="19" t="s">
        <v>86</v>
      </c>
      <c r="F136" s="19" t="s">
        <v>202</v>
      </c>
      <c r="G136" s="19">
        <v>1</v>
      </c>
      <c r="H136" s="19">
        <v>1</v>
      </c>
      <c r="I136" s="19">
        <v>1</v>
      </c>
      <c r="J136" s="19">
        <v>17</v>
      </c>
      <c r="K136" s="19">
        <v>3503640</v>
      </c>
      <c r="L136" s="19">
        <v>21600</v>
      </c>
      <c r="M136" s="19">
        <v>1017</v>
      </c>
      <c r="N136" s="19" t="s">
        <v>203</v>
      </c>
      <c r="O136" s="42" t="s">
        <v>204</v>
      </c>
      <c r="P136" s="42" t="s">
        <v>290</v>
      </c>
      <c r="Q136" s="19">
        <v>1000017</v>
      </c>
      <c r="R136" s="19">
        <v>1000092</v>
      </c>
      <c r="S136" s="19" t="s">
        <v>206</v>
      </c>
      <c r="T136" s="19">
        <v>1</v>
      </c>
      <c r="U136" s="19" t="s">
        <v>207</v>
      </c>
      <c r="V136" s="19" t="s">
        <v>208</v>
      </c>
      <c r="W136" s="19" t="s">
        <v>285</v>
      </c>
      <c r="X136" s="19">
        <v>20</v>
      </c>
      <c r="Y136" s="19" t="s">
        <v>291</v>
      </c>
      <c r="Z136" s="19" t="s">
        <v>292</v>
      </c>
      <c r="AA136" s="19" t="s">
        <v>293</v>
      </c>
      <c r="AB136" s="19">
        <v>1</v>
      </c>
      <c r="AC136" s="43" t="b">
        <v>0</v>
      </c>
      <c r="AD136" s="4" t="b">
        <v>0</v>
      </c>
      <c r="AF136" s="44">
        <v>3</v>
      </c>
      <c r="AG136" s="45"/>
      <c r="AH136" s="45"/>
    </row>
    <row r="137" spans="1:34" s="4" customFormat="1" x14ac:dyDescent="0.25">
      <c r="A137" s="19">
        <v>11118</v>
      </c>
      <c r="B137" s="19" t="s">
        <v>294</v>
      </c>
      <c r="C137" s="19" t="s">
        <v>200</v>
      </c>
      <c r="D137" s="19" t="s">
        <v>201</v>
      </c>
      <c r="E137" s="19" t="s">
        <v>86</v>
      </c>
      <c r="F137" s="19" t="s">
        <v>202</v>
      </c>
      <c r="G137" s="19">
        <v>1</v>
      </c>
      <c r="H137" s="19">
        <v>1</v>
      </c>
      <c r="I137" s="19">
        <v>1</v>
      </c>
      <c r="J137" s="19">
        <v>18</v>
      </c>
      <c r="K137" s="19">
        <v>4146426</v>
      </c>
      <c r="L137" s="19">
        <v>21600</v>
      </c>
      <c r="M137" s="19">
        <v>1018</v>
      </c>
      <c r="N137" s="19" t="s">
        <v>203</v>
      </c>
      <c r="O137" s="42" t="s">
        <v>204</v>
      </c>
      <c r="P137" s="42" t="s">
        <v>295</v>
      </c>
      <c r="Q137" s="19">
        <v>1000018</v>
      </c>
      <c r="R137" s="19">
        <v>1000093</v>
      </c>
      <c r="S137" s="19" t="s">
        <v>206</v>
      </c>
      <c r="T137" s="19">
        <v>1</v>
      </c>
      <c r="U137" s="19" t="s">
        <v>207</v>
      </c>
      <c r="V137" s="19" t="s">
        <v>208</v>
      </c>
      <c r="W137" s="19" t="s">
        <v>285</v>
      </c>
      <c r="X137" s="19">
        <v>20</v>
      </c>
      <c r="Y137" s="19" t="s">
        <v>296</v>
      </c>
      <c r="Z137" s="19" t="s">
        <v>297</v>
      </c>
      <c r="AA137" s="19" t="s">
        <v>298</v>
      </c>
      <c r="AB137" s="19">
        <v>1</v>
      </c>
      <c r="AC137" s="43" t="b">
        <v>0</v>
      </c>
      <c r="AD137" s="4" t="b">
        <v>0</v>
      </c>
      <c r="AF137" s="44">
        <v>3</v>
      </c>
      <c r="AG137" s="45"/>
      <c r="AH137" s="45"/>
    </row>
    <row r="138" spans="1:34" s="4" customFormat="1" x14ac:dyDescent="0.25">
      <c r="A138" s="19">
        <v>11119</v>
      </c>
      <c r="B138" s="19" t="s">
        <v>299</v>
      </c>
      <c r="C138" s="19" t="s">
        <v>200</v>
      </c>
      <c r="D138" s="19" t="s">
        <v>201</v>
      </c>
      <c r="E138" s="19" t="s">
        <v>86</v>
      </c>
      <c r="F138" s="19" t="s">
        <v>202</v>
      </c>
      <c r="G138" s="19">
        <v>1</v>
      </c>
      <c r="H138" s="19">
        <v>1</v>
      </c>
      <c r="I138" s="19">
        <v>1</v>
      </c>
      <c r="J138" s="19">
        <v>19</v>
      </c>
      <c r="K138" s="19">
        <v>4890293</v>
      </c>
      <c r="L138" s="19">
        <v>21600</v>
      </c>
      <c r="M138" s="19">
        <v>1019</v>
      </c>
      <c r="N138" s="19" t="s">
        <v>203</v>
      </c>
      <c r="O138" s="42" t="s">
        <v>204</v>
      </c>
      <c r="P138" s="42" t="s">
        <v>300</v>
      </c>
      <c r="Q138" s="19">
        <v>1000019</v>
      </c>
      <c r="R138" s="19">
        <v>1000094</v>
      </c>
      <c r="S138" s="19" t="s">
        <v>206</v>
      </c>
      <c r="T138" s="19">
        <v>1</v>
      </c>
      <c r="U138" s="19" t="s">
        <v>207</v>
      </c>
      <c r="V138" s="19" t="s">
        <v>208</v>
      </c>
      <c r="W138" s="19" t="s">
        <v>285</v>
      </c>
      <c r="X138" s="19">
        <v>20</v>
      </c>
      <c r="Y138" s="19" t="s">
        <v>301</v>
      </c>
      <c r="Z138" s="19" t="s">
        <v>302</v>
      </c>
      <c r="AA138" s="19" t="s">
        <v>303</v>
      </c>
      <c r="AB138" s="19">
        <v>1</v>
      </c>
      <c r="AC138" s="43" t="b">
        <v>0</v>
      </c>
      <c r="AD138" s="4" t="b">
        <v>0</v>
      </c>
      <c r="AF138" s="44">
        <v>3</v>
      </c>
      <c r="AG138" s="45"/>
      <c r="AH138" s="45"/>
    </row>
    <row r="139" spans="1:34" s="4" customFormat="1" x14ac:dyDescent="0.25">
      <c r="A139" s="19">
        <v>11120</v>
      </c>
      <c r="B139" s="19" t="s">
        <v>304</v>
      </c>
      <c r="C139" s="19" t="s">
        <v>200</v>
      </c>
      <c r="D139" s="19" t="s">
        <v>201</v>
      </c>
      <c r="E139" s="19" t="s">
        <v>86</v>
      </c>
      <c r="F139" s="19" t="s">
        <v>202</v>
      </c>
      <c r="G139" s="19">
        <v>1</v>
      </c>
      <c r="H139" s="19">
        <v>1</v>
      </c>
      <c r="I139" s="19">
        <v>1</v>
      </c>
      <c r="J139" s="19">
        <v>20</v>
      </c>
      <c r="K139" s="19">
        <v>6493781</v>
      </c>
      <c r="L139" s="19">
        <v>21600</v>
      </c>
      <c r="M139" s="19">
        <v>1020</v>
      </c>
      <c r="N139" s="19" t="s">
        <v>203</v>
      </c>
      <c r="O139" s="42" t="s">
        <v>204</v>
      </c>
      <c r="P139" s="42" t="s">
        <v>305</v>
      </c>
      <c r="Q139" s="19">
        <v>1000020</v>
      </c>
      <c r="R139" s="19">
        <v>1000095</v>
      </c>
      <c r="S139" s="19" t="s">
        <v>206</v>
      </c>
      <c r="T139" s="19">
        <v>1</v>
      </c>
      <c r="U139" s="19" t="s">
        <v>207</v>
      </c>
      <c r="V139" s="19" t="s">
        <v>208</v>
      </c>
      <c r="W139" s="19" t="s">
        <v>285</v>
      </c>
      <c r="X139" s="19">
        <v>20</v>
      </c>
      <c r="Y139" s="19" t="s">
        <v>306</v>
      </c>
      <c r="Z139" s="19" t="s">
        <v>307</v>
      </c>
      <c r="AA139" s="19" t="s">
        <v>308</v>
      </c>
      <c r="AB139" s="19">
        <v>1</v>
      </c>
      <c r="AC139" s="43" t="b">
        <v>0</v>
      </c>
      <c r="AD139" s="4" t="b">
        <v>0</v>
      </c>
      <c r="AF139" s="44">
        <v>3</v>
      </c>
      <c r="AG139" s="45"/>
      <c r="AH139" s="45"/>
    </row>
    <row r="140" spans="1:34" s="4" customFormat="1" x14ac:dyDescent="0.25">
      <c r="A140" s="19">
        <v>11121</v>
      </c>
      <c r="B140" s="19" t="s">
        <v>309</v>
      </c>
      <c r="C140" s="19" t="s">
        <v>200</v>
      </c>
      <c r="D140" s="19" t="s">
        <v>201</v>
      </c>
      <c r="E140" s="19" t="s">
        <v>86</v>
      </c>
      <c r="F140" s="19" t="s">
        <v>202</v>
      </c>
      <c r="G140" s="19">
        <v>1</v>
      </c>
      <c r="H140" s="19">
        <v>1</v>
      </c>
      <c r="I140" s="19">
        <v>1</v>
      </c>
      <c r="J140" s="19">
        <v>21</v>
      </c>
      <c r="K140" s="19">
        <v>7135566</v>
      </c>
      <c r="L140" s="19">
        <v>21600</v>
      </c>
      <c r="M140" s="19">
        <v>1021</v>
      </c>
      <c r="N140" s="19" t="s">
        <v>203</v>
      </c>
      <c r="O140" s="42" t="s">
        <v>204</v>
      </c>
      <c r="P140" s="42" t="s">
        <v>310</v>
      </c>
      <c r="Q140" s="19">
        <v>1000021</v>
      </c>
      <c r="R140" s="19">
        <v>1000096</v>
      </c>
      <c r="S140" s="19" t="s">
        <v>206</v>
      </c>
      <c r="T140" s="19">
        <v>1</v>
      </c>
      <c r="U140" s="19" t="s">
        <v>207</v>
      </c>
      <c r="V140" s="19" t="s">
        <v>208</v>
      </c>
      <c r="W140" s="19" t="s">
        <v>285</v>
      </c>
      <c r="X140" s="19">
        <v>25</v>
      </c>
      <c r="Y140" s="19" t="s">
        <v>311</v>
      </c>
      <c r="Z140" s="19" t="s">
        <v>312</v>
      </c>
      <c r="AA140" s="19" t="s">
        <v>313</v>
      </c>
      <c r="AB140" s="19">
        <v>1</v>
      </c>
      <c r="AC140" s="43" t="b">
        <v>0</v>
      </c>
      <c r="AD140" s="4" t="b">
        <v>0</v>
      </c>
      <c r="AF140" s="44">
        <v>3</v>
      </c>
      <c r="AG140" s="45"/>
      <c r="AH140" s="45"/>
    </row>
    <row r="141" spans="1:34" s="4" customFormat="1" x14ac:dyDescent="0.25">
      <c r="A141" s="19">
        <v>11122</v>
      </c>
      <c r="B141" s="19" t="s">
        <v>314</v>
      </c>
      <c r="C141" s="19" t="s">
        <v>200</v>
      </c>
      <c r="D141" s="19" t="s">
        <v>201</v>
      </c>
      <c r="E141" s="19" t="s">
        <v>86</v>
      </c>
      <c r="F141" s="19" t="s">
        <v>202</v>
      </c>
      <c r="G141" s="19">
        <v>1</v>
      </c>
      <c r="H141" s="19">
        <v>1</v>
      </c>
      <c r="I141" s="19">
        <v>1</v>
      </c>
      <c r="J141" s="19">
        <v>22</v>
      </c>
      <c r="K141" s="19">
        <v>7777351</v>
      </c>
      <c r="L141" s="19">
        <v>21600</v>
      </c>
      <c r="M141" s="19">
        <v>1022</v>
      </c>
      <c r="N141" s="19" t="s">
        <v>203</v>
      </c>
      <c r="O141" s="42" t="s">
        <v>204</v>
      </c>
      <c r="P141" s="42" t="s">
        <v>315</v>
      </c>
      <c r="Q141" s="19">
        <v>1000022</v>
      </c>
      <c r="R141" s="19">
        <v>1000097</v>
      </c>
      <c r="S141" s="19" t="s">
        <v>206</v>
      </c>
      <c r="T141" s="19">
        <v>1</v>
      </c>
      <c r="U141" s="19" t="s">
        <v>207</v>
      </c>
      <c r="V141" s="19" t="s">
        <v>208</v>
      </c>
      <c r="W141" s="19" t="s">
        <v>285</v>
      </c>
      <c r="X141" s="19">
        <v>25</v>
      </c>
      <c r="Y141" s="19" t="s">
        <v>316</v>
      </c>
      <c r="Z141" s="19" t="s">
        <v>317</v>
      </c>
      <c r="AA141" s="19" t="s">
        <v>318</v>
      </c>
      <c r="AB141" s="19">
        <v>1</v>
      </c>
      <c r="AC141" s="43" t="b">
        <v>0</v>
      </c>
      <c r="AD141" s="4" t="b">
        <v>0</v>
      </c>
      <c r="AF141" s="44">
        <v>3</v>
      </c>
      <c r="AG141" s="45"/>
      <c r="AH141" s="45"/>
    </row>
    <row r="142" spans="1:34" s="4" customFormat="1" x14ac:dyDescent="0.25">
      <c r="A142" s="19">
        <v>11123</v>
      </c>
      <c r="B142" s="19" t="s">
        <v>319</v>
      </c>
      <c r="C142" s="19" t="s">
        <v>200</v>
      </c>
      <c r="D142" s="19" t="s">
        <v>201</v>
      </c>
      <c r="E142" s="19" t="s">
        <v>86</v>
      </c>
      <c r="F142" s="19" t="s">
        <v>202</v>
      </c>
      <c r="G142" s="19">
        <v>1</v>
      </c>
      <c r="H142" s="19">
        <v>1</v>
      </c>
      <c r="I142" s="19">
        <v>1</v>
      </c>
      <c r="J142" s="19">
        <v>23</v>
      </c>
      <c r="K142" s="19">
        <v>8419136</v>
      </c>
      <c r="L142" s="19">
        <v>21600</v>
      </c>
      <c r="M142" s="19">
        <v>1023</v>
      </c>
      <c r="N142" s="19" t="s">
        <v>203</v>
      </c>
      <c r="O142" s="42" t="s">
        <v>204</v>
      </c>
      <c r="P142" s="42" t="s">
        <v>320</v>
      </c>
      <c r="Q142" s="19">
        <v>1000023</v>
      </c>
      <c r="R142" s="19">
        <v>1000098</v>
      </c>
      <c r="S142" s="19" t="s">
        <v>206</v>
      </c>
      <c r="T142" s="19">
        <v>1</v>
      </c>
      <c r="U142" s="19" t="s">
        <v>207</v>
      </c>
      <c r="V142" s="19" t="s">
        <v>208</v>
      </c>
      <c r="W142" s="19" t="s">
        <v>285</v>
      </c>
      <c r="X142" s="19">
        <v>25</v>
      </c>
      <c r="Y142" s="19" t="s">
        <v>321</v>
      </c>
      <c r="Z142" s="19" t="s">
        <v>322</v>
      </c>
      <c r="AA142" s="19" t="s">
        <v>323</v>
      </c>
      <c r="AB142" s="19">
        <v>1</v>
      </c>
      <c r="AC142" s="43" t="b">
        <v>0</v>
      </c>
      <c r="AD142" s="4" t="b">
        <v>0</v>
      </c>
      <c r="AF142" s="44">
        <v>3</v>
      </c>
      <c r="AG142" s="45"/>
      <c r="AH142" s="45"/>
    </row>
    <row r="143" spans="1:34" s="4" customFormat="1" x14ac:dyDescent="0.25">
      <c r="A143" s="19">
        <v>11124</v>
      </c>
      <c r="B143" s="19" t="s">
        <v>324</v>
      </c>
      <c r="C143" s="19" t="s">
        <v>200</v>
      </c>
      <c r="D143" s="19" t="s">
        <v>201</v>
      </c>
      <c r="E143" s="19" t="s">
        <v>86</v>
      </c>
      <c r="F143" s="19" t="s">
        <v>202</v>
      </c>
      <c r="G143" s="19">
        <v>1</v>
      </c>
      <c r="H143" s="19">
        <v>1</v>
      </c>
      <c r="I143" s="19">
        <v>1</v>
      </c>
      <c r="J143" s="19">
        <v>24</v>
      </c>
      <c r="K143" s="19">
        <v>9060921</v>
      </c>
      <c r="L143" s="19">
        <v>21600</v>
      </c>
      <c r="M143" s="19">
        <v>1024</v>
      </c>
      <c r="N143" s="19" t="s">
        <v>203</v>
      </c>
      <c r="O143" s="42" t="s">
        <v>204</v>
      </c>
      <c r="P143" s="42" t="s">
        <v>325</v>
      </c>
      <c r="Q143" s="19">
        <v>1000024</v>
      </c>
      <c r="R143" s="19">
        <v>1000099</v>
      </c>
      <c r="S143" s="19" t="s">
        <v>206</v>
      </c>
      <c r="T143" s="19">
        <v>1</v>
      </c>
      <c r="U143" s="19" t="s">
        <v>207</v>
      </c>
      <c r="V143" s="19" t="s">
        <v>208</v>
      </c>
      <c r="W143" s="19" t="s">
        <v>285</v>
      </c>
      <c r="X143" s="19">
        <v>25</v>
      </c>
      <c r="Y143" s="19" t="s">
        <v>326</v>
      </c>
      <c r="Z143" s="19" t="s">
        <v>327</v>
      </c>
      <c r="AA143" s="19" t="s">
        <v>328</v>
      </c>
      <c r="AB143" s="19">
        <v>1</v>
      </c>
      <c r="AC143" s="43" t="b">
        <v>0</v>
      </c>
      <c r="AD143" s="4" t="b">
        <v>0</v>
      </c>
      <c r="AF143" s="44">
        <v>3</v>
      </c>
      <c r="AG143" s="45"/>
      <c r="AH143" s="45"/>
    </row>
    <row r="144" spans="1:34" s="4" customFormat="1" x14ac:dyDescent="0.25">
      <c r="A144" s="19">
        <v>11125</v>
      </c>
      <c r="B144" s="19" t="s">
        <v>329</v>
      </c>
      <c r="C144" s="19" t="s">
        <v>200</v>
      </c>
      <c r="D144" s="19" t="s">
        <v>201</v>
      </c>
      <c r="E144" s="19" t="s">
        <v>86</v>
      </c>
      <c r="F144" s="19" t="s">
        <v>202</v>
      </c>
      <c r="G144" s="19">
        <v>1</v>
      </c>
      <c r="H144" s="19">
        <v>1</v>
      </c>
      <c r="I144" s="19">
        <v>1</v>
      </c>
      <c r="J144" s="19">
        <v>25</v>
      </c>
      <c r="K144" s="19">
        <v>9702706</v>
      </c>
      <c r="L144" s="19">
        <v>21600</v>
      </c>
      <c r="M144" s="19">
        <v>1025</v>
      </c>
      <c r="N144" s="19" t="s">
        <v>203</v>
      </c>
      <c r="O144" s="42" t="s">
        <v>204</v>
      </c>
      <c r="P144" s="42" t="s">
        <v>330</v>
      </c>
      <c r="Q144" s="19">
        <v>1000025</v>
      </c>
      <c r="R144" s="19">
        <v>1000100</v>
      </c>
      <c r="S144" s="19" t="s">
        <v>206</v>
      </c>
      <c r="T144" s="19">
        <v>1</v>
      </c>
      <c r="U144" s="19" t="s">
        <v>207</v>
      </c>
      <c r="V144" s="19" t="s">
        <v>208</v>
      </c>
      <c r="W144" s="19" t="s">
        <v>285</v>
      </c>
      <c r="X144" s="19">
        <v>25</v>
      </c>
      <c r="Y144" s="19" t="s">
        <v>331</v>
      </c>
      <c r="Z144" s="19" t="s">
        <v>332</v>
      </c>
      <c r="AA144" s="19" t="s">
        <v>333</v>
      </c>
      <c r="AB144" s="19">
        <v>1</v>
      </c>
      <c r="AC144" s="43" t="b">
        <v>0</v>
      </c>
      <c r="AD144" s="4" t="b">
        <v>0</v>
      </c>
      <c r="AF144" s="44">
        <v>3</v>
      </c>
      <c r="AG144" s="45"/>
      <c r="AH144" s="45"/>
    </row>
    <row r="145" spans="1:34" s="4" customFormat="1" x14ac:dyDescent="0.25">
      <c r="A145" s="19">
        <v>11201</v>
      </c>
      <c r="B145" s="19" t="s">
        <v>334</v>
      </c>
      <c r="C145" s="19" t="s">
        <v>335</v>
      </c>
      <c r="D145" s="19" t="s">
        <v>336</v>
      </c>
      <c r="E145" s="19" t="s">
        <v>337</v>
      </c>
      <c r="F145" s="19" t="s">
        <v>338</v>
      </c>
      <c r="G145" s="19">
        <v>1</v>
      </c>
      <c r="H145" s="19">
        <v>2</v>
      </c>
      <c r="I145" s="19">
        <v>1</v>
      </c>
      <c r="J145" s="19">
        <v>1</v>
      </c>
      <c r="K145" s="19">
        <v>34067</v>
      </c>
      <c r="L145" s="19">
        <v>21600</v>
      </c>
      <c r="M145" s="19">
        <v>1001</v>
      </c>
      <c r="N145" s="19" t="s">
        <v>203</v>
      </c>
      <c r="O145" s="42" t="s">
        <v>204</v>
      </c>
      <c r="P145" s="42" t="s">
        <v>339</v>
      </c>
      <c r="Q145" s="19">
        <v>1000026</v>
      </c>
      <c r="R145" s="19">
        <v>1000101</v>
      </c>
      <c r="S145" s="19" t="s">
        <v>206</v>
      </c>
      <c r="T145" s="19">
        <v>1</v>
      </c>
      <c r="U145" s="19" t="s">
        <v>340</v>
      </c>
      <c r="V145" s="19" t="s">
        <v>341</v>
      </c>
      <c r="W145" s="19" t="s">
        <v>342</v>
      </c>
      <c r="X145" s="19">
        <v>5</v>
      </c>
      <c r="Y145" s="19" t="s">
        <v>210</v>
      </c>
      <c r="Z145" s="19" t="s">
        <v>211</v>
      </c>
      <c r="AA145" s="19" t="s">
        <v>212</v>
      </c>
      <c r="AB145" s="19">
        <v>1</v>
      </c>
      <c r="AC145" s="43" t="b">
        <v>0</v>
      </c>
      <c r="AD145" s="4" t="b">
        <v>0</v>
      </c>
      <c r="AF145" s="44">
        <v>3</v>
      </c>
      <c r="AG145" s="45"/>
      <c r="AH145" s="45"/>
    </row>
    <row r="146" spans="1:34" s="4" customFormat="1" x14ac:dyDescent="0.25">
      <c r="A146" s="19">
        <v>11202</v>
      </c>
      <c r="B146" s="19" t="s">
        <v>343</v>
      </c>
      <c r="C146" s="19" t="s">
        <v>335</v>
      </c>
      <c r="D146" s="19" t="s">
        <v>336</v>
      </c>
      <c r="E146" s="19" t="s">
        <v>337</v>
      </c>
      <c r="F146" s="19" t="s">
        <v>338</v>
      </c>
      <c r="G146" s="19">
        <v>1</v>
      </c>
      <c r="H146" s="19">
        <v>2</v>
      </c>
      <c r="I146" s="19">
        <v>1</v>
      </c>
      <c r="J146" s="19">
        <v>2</v>
      </c>
      <c r="K146" s="19">
        <v>63098</v>
      </c>
      <c r="L146" s="19">
        <v>21600</v>
      </c>
      <c r="M146" s="19">
        <v>1002</v>
      </c>
      <c r="N146" s="19" t="s">
        <v>203</v>
      </c>
      <c r="O146" s="42" t="s">
        <v>204</v>
      </c>
      <c r="P146" s="42" t="s">
        <v>344</v>
      </c>
      <c r="Q146" s="19">
        <v>1000027</v>
      </c>
      <c r="R146" s="19">
        <v>1000102</v>
      </c>
      <c r="S146" s="19" t="s">
        <v>206</v>
      </c>
      <c r="T146" s="19">
        <v>1</v>
      </c>
      <c r="U146" s="19" t="s">
        <v>340</v>
      </c>
      <c r="V146" s="19" t="s">
        <v>341</v>
      </c>
      <c r="W146" s="19" t="s">
        <v>342</v>
      </c>
      <c r="X146" s="19">
        <v>5</v>
      </c>
      <c r="Y146" s="19" t="s">
        <v>215</v>
      </c>
      <c r="Z146" s="19" t="s">
        <v>216</v>
      </c>
      <c r="AA146" s="19" t="s">
        <v>217</v>
      </c>
      <c r="AB146" s="19">
        <v>1</v>
      </c>
      <c r="AC146" s="43" t="b">
        <v>0</v>
      </c>
      <c r="AD146" s="4" t="b">
        <v>0</v>
      </c>
      <c r="AF146" s="44">
        <v>3</v>
      </c>
      <c r="AG146" s="45"/>
      <c r="AH146" s="45"/>
    </row>
    <row r="147" spans="1:34" s="4" customFormat="1" x14ac:dyDescent="0.25">
      <c r="A147" s="19">
        <v>11203</v>
      </c>
      <c r="B147" s="19" t="s">
        <v>345</v>
      </c>
      <c r="C147" s="19" t="s">
        <v>335</v>
      </c>
      <c r="D147" s="19" t="s">
        <v>336</v>
      </c>
      <c r="E147" s="19" t="s">
        <v>337</v>
      </c>
      <c r="F147" s="19" t="s">
        <v>338</v>
      </c>
      <c r="G147" s="19">
        <v>1</v>
      </c>
      <c r="H147" s="19">
        <v>2</v>
      </c>
      <c r="I147" s="19">
        <v>1</v>
      </c>
      <c r="J147" s="19">
        <v>3</v>
      </c>
      <c r="K147" s="19">
        <v>106108</v>
      </c>
      <c r="L147" s="19">
        <v>21600</v>
      </c>
      <c r="M147" s="19">
        <v>1003</v>
      </c>
      <c r="N147" s="19" t="s">
        <v>203</v>
      </c>
      <c r="O147" s="42" t="s">
        <v>204</v>
      </c>
      <c r="P147" s="42" t="s">
        <v>346</v>
      </c>
      <c r="Q147" s="19">
        <v>1000028</v>
      </c>
      <c r="R147" s="19">
        <v>1000103</v>
      </c>
      <c r="S147" s="19" t="s">
        <v>206</v>
      </c>
      <c r="T147" s="19">
        <v>1</v>
      </c>
      <c r="U147" s="19" t="s">
        <v>340</v>
      </c>
      <c r="V147" s="19" t="s">
        <v>341</v>
      </c>
      <c r="W147" s="19" t="s">
        <v>342</v>
      </c>
      <c r="X147" s="19">
        <v>5</v>
      </c>
      <c r="Y147" s="19" t="s">
        <v>220</v>
      </c>
      <c r="Z147" s="19" t="s">
        <v>221</v>
      </c>
      <c r="AA147" s="19" t="s">
        <v>222</v>
      </c>
      <c r="AB147" s="19">
        <v>1</v>
      </c>
      <c r="AC147" s="43" t="b">
        <v>0</v>
      </c>
      <c r="AD147" s="4" t="b">
        <v>0</v>
      </c>
      <c r="AF147" s="44">
        <v>3</v>
      </c>
      <c r="AG147" s="45"/>
      <c r="AH147" s="45"/>
    </row>
    <row r="148" spans="1:34" s="4" customFormat="1" x14ac:dyDescent="0.25">
      <c r="A148" s="19">
        <v>11204</v>
      </c>
      <c r="B148" s="19" t="s">
        <v>347</v>
      </c>
      <c r="C148" s="19" t="s">
        <v>335</v>
      </c>
      <c r="D148" s="19" t="s">
        <v>336</v>
      </c>
      <c r="E148" s="19" t="s">
        <v>337</v>
      </c>
      <c r="F148" s="19" t="s">
        <v>338</v>
      </c>
      <c r="G148" s="19">
        <v>1</v>
      </c>
      <c r="H148" s="19">
        <v>2</v>
      </c>
      <c r="I148" s="19">
        <v>1</v>
      </c>
      <c r="J148" s="19">
        <v>4</v>
      </c>
      <c r="K148" s="19">
        <v>159342</v>
      </c>
      <c r="L148" s="19">
        <v>21600</v>
      </c>
      <c r="M148" s="19">
        <v>1004</v>
      </c>
      <c r="N148" s="19" t="s">
        <v>203</v>
      </c>
      <c r="O148" s="42" t="s">
        <v>204</v>
      </c>
      <c r="P148" s="42" t="s">
        <v>348</v>
      </c>
      <c r="Q148" s="19">
        <v>1000029</v>
      </c>
      <c r="R148" s="19">
        <v>1000104</v>
      </c>
      <c r="S148" s="19" t="s">
        <v>206</v>
      </c>
      <c r="T148" s="19">
        <v>1</v>
      </c>
      <c r="U148" s="19" t="s">
        <v>340</v>
      </c>
      <c r="V148" s="19" t="s">
        <v>341</v>
      </c>
      <c r="W148" s="19" t="s">
        <v>342</v>
      </c>
      <c r="X148" s="19">
        <v>5</v>
      </c>
      <c r="Y148" s="19" t="s">
        <v>225</v>
      </c>
      <c r="Z148" s="19" t="s">
        <v>226</v>
      </c>
      <c r="AA148" s="19" t="s">
        <v>227</v>
      </c>
      <c r="AB148" s="19">
        <v>1</v>
      </c>
      <c r="AC148" s="43" t="b">
        <v>0</v>
      </c>
      <c r="AD148" s="4" t="b">
        <v>0</v>
      </c>
      <c r="AF148" s="44">
        <v>3</v>
      </c>
      <c r="AG148" s="45"/>
      <c r="AH148" s="45"/>
    </row>
    <row r="149" spans="1:34" s="4" customFormat="1" x14ac:dyDescent="0.25">
      <c r="A149" s="19">
        <v>11205</v>
      </c>
      <c r="B149" s="19" t="s">
        <v>349</v>
      </c>
      <c r="C149" s="19" t="s">
        <v>335</v>
      </c>
      <c r="D149" s="19" t="s">
        <v>336</v>
      </c>
      <c r="E149" s="19" t="s">
        <v>337</v>
      </c>
      <c r="F149" s="19" t="s">
        <v>338</v>
      </c>
      <c r="G149" s="19">
        <v>1</v>
      </c>
      <c r="H149" s="19">
        <v>2</v>
      </c>
      <c r="I149" s="19">
        <v>1</v>
      </c>
      <c r="J149" s="19">
        <v>5</v>
      </c>
      <c r="K149" s="19">
        <v>230407</v>
      </c>
      <c r="L149" s="19">
        <v>21600</v>
      </c>
      <c r="M149" s="19">
        <v>1005</v>
      </c>
      <c r="N149" s="19" t="s">
        <v>203</v>
      </c>
      <c r="O149" s="42" t="s">
        <v>204</v>
      </c>
      <c r="P149" s="42" t="s">
        <v>350</v>
      </c>
      <c r="Q149" s="19">
        <v>1000030</v>
      </c>
      <c r="R149" s="19">
        <v>1000105</v>
      </c>
      <c r="S149" s="19" t="s">
        <v>206</v>
      </c>
      <c r="T149" s="19">
        <v>1</v>
      </c>
      <c r="U149" s="19" t="s">
        <v>340</v>
      </c>
      <c r="V149" s="19" t="s">
        <v>341</v>
      </c>
      <c r="W149" s="19" t="s">
        <v>342</v>
      </c>
      <c r="X149" s="19">
        <v>5</v>
      </c>
      <c r="Y149" s="19" t="s">
        <v>230</v>
      </c>
      <c r="Z149" s="19" t="s">
        <v>231</v>
      </c>
      <c r="AA149" s="19" t="s">
        <v>232</v>
      </c>
      <c r="AB149" s="19">
        <v>1</v>
      </c>
      <c r="AC149" s="43" t="b">
        <v>0</v>
      </c>
      <c r="AD149" s="4" t="b">
        <v>0</v>
      </c>
      <c r="AF149" s="44">
        <v>3</v>
      </c>
      <c r="AG149" s="45"/>
      <c r="AH149" s="45"/>
    </row>
    <row r="150" spans="1:34" s="4" customFormat="1" x14ac:dyDescent="0.25">
      <c r="A150" s="19">
        <v>11206</v>
      </c>
      <c r="B150" s="19" t="s">
        <v>351</v>
      </c>
      <c r="C150" s="19" t="s">
        <v>335</v>
      </c>
      <c r="D150" s="19" t="s">
        <v>336</v>
      </c>
      <c r="E150" s="19" t="s">
        <v>337</v>
      </c>
      <c r="F150" s="19" t="s">
        <v>338</v>
      </c>
      <c r="G150" s="19">
        <v>1</v>
      </c>
      <c r="H150" s="19">
        <v>2</v>
      </c>
      <c r="I150" s="19">
        <v>1</v>
      </c>
      <c r="J150" s="19">
        <v>6</v>
      </c>
      <c r="K150" s="19">
        <v>313424</v>
      </c>
      <c r="L150" s="19">
        <v>21600</v>
      </c>
      <c r="M150" s="19">
        <v>1006</v>
      </c>
      <c r="N150" s="19" t="s">
        <v>203</v>
      </c>
      <c r="O150" s="42" t="s">
        <v>204</v>
      </c>
      <c r="P150" s="42" t="s">
        <v>352</v>
      </c>
      <c r="Q150" s="19">
        <v>1000031</v>
      </c>
      <c r="R150" s="19">
        <v>1000106</v>
      </c>
      <c r="S150" s="19" t="s">
        <v>206</v>
      </c>
      <c r="T150" s="19">
        <v>1</v>
      </c>
      <c r="U150" s="19" t="s">
        <v>340</v>
      </c>
      <c r="V150" s="19" t="s">
        <v>341</v>
      </c>
      <c r="W150" s="19" t="s">
        <v>353</v>
      </c>
      <c r="X150" s="19">
        <v>10</v>
      </c>
      <c r="Y150" s="19" t="s">
        <v>236</v>
      </c>
      <c r="Z150" s="19" t="s">
        <v>237</v>
      </c>
      <c r="AA150" s="19" t="s">
        <v>238</v>
      </c>
      <c r="AB150" s="19">
        <v>1</v>
      </c>
      <c r="AC150" s="43" t="b">
        <v>0</v>
      </c>
      <c r="AD150" s="4" t="b">
        <v>0</v>
      </c>
      <c r="AF150" s="44">
        <v>3</v>
      </c>
      <c r="AG150" s="45"/>
      <c r="AH150" s="45"/>
    </row>
    <row r="151" spans="1:34" s="4" customFormat="1" x14ac:dyDescent="0.25">
      <c r="A151" s="19">
        <v>11207</v>
      </c>
      <c r="B151" s="19" t="s">
        <v>354</v>
      </c>
      <c r="C151" s="19" t="s">
        <v>335</v>
      </c>
      <c r="D151" s="19" t="s">
        <v>336</v>
      </c>
      <c r="E151" s="19" t="s">
        <v>337</v>
      </c>
      <c r="F151" s="19" t="s">
        <v>338</v>
      </c>
      <c r="G151" s="19">
        <v>1</v>
      </c>
      <c r="H151" s="19">
        <v>2</v>
      </c>
      <c r="I151" s="19">
        <v>1</v>
      </c>
      <c r="J151" s="19">
        <v>7</v>
      </c>
      <c r="K151" s="19">
        <v>417993</v>
      </c>
      <c r="L151" s="19">
        <v>21600</v>
      </c>
      <c r="M151" s="19">
        <v>1007</v>
      </c>
      <c r="N151" s="19" t="s">
        <v>203</v>
      </c>
      <c r="O151" s="42" t="s">
        <v>204</v>
      </c>
      <c r="P151" s="42" t="s">
        <v>355</v>
      </c>
      <c r="Q151" s="19">
        <v>1000032</v>
      </c>
      <c r="R151" s="19">
        <v>1000107</v>
      </c>
      <c r="S151" s="19" t="s">
        <v>206</v>
      </c>
      <c r="T151" s="19">
        <v>1</v>
      </c>
      <c r="U151" s="19" t="s">
        <v>340</v>
      </c>
      <c r="V151" s="19" t="s">
        <v>341</v>
      </c>
      <c r="W151" s="19" t="s">
        <v>353</v>
      </c>
      <c r="X151" s="19">
        <v>10</v>
      </c>
      <c r="Y151" s="19" t="s">
        <v>241</v>
      </c>
      <c r="Z151" s="19" t="s">
        <v>242</v>
      </c>
      <c r="AA151" s="19" t="s">
        <v>243</v>
      </c>
      <c r="AB151" s="19">
        <v>1</v>
      </c>
      <c r="AC151" s="43" t="b">
        <v>0</v>
      </c>
      <c r="AD151" s="4" t="b">
        <v>0</v>
      </c>
      <c r="AF151" s="44">
        <v>3</v>
      </c>
      <c r="AG151" s="45"/>
      <c r="AH151" s="45"/>
    </row>
    <row r="152" spans="1:34" s="4" customFormat="1" x14ac:dyDescent="0.25">
      <c r="A152" s="19">
        <v>11208</v>
      </c>
      <c r="B152" s="19" t="s">
        <v>356</v>
      </c>
      <c r="C152" s="19" t="s">
        <v>335</v>
      </c>
      <c r="D152" s="19" t="s">
        <v>336</v>
      </c>
      <c r="E152" s="19" t="s">
        <v>337</v>
      </c>
      <c r="F152" s="19" t="s">
        <v>338</v>
      </c>
      <c r="G152" s="19">
        <v>1</v>
      </c>
      <c r="H152" s="19">
        <v>2</v>
      </c>
      <c r="I152" s="19">
        <v>1</v>
      </c>
      <c r="J152" s="19">
        <v>8</v>
      </c>
      <c r="K152" s="19">
        <v>585512</v>
      </c>
      <c r="L152" s="19">
        <v>21600</v>
      </c>
      <c r="M152" s="19">
        <v>1008</v>
      </c>
      <c r="N152" s="19" t="s">
        <v>203</v>
      </c>
      <c r="O152" s="42" t="s">
        <v>204</v>
      </c>
      <c r="P152" s="42" t="s">
        <v>357</v>
      </c>
      <c r="Q152" s="19">
        <v>1000033</v>
      </c>
      <c r="R152" s="19">
        <v>1000108</v>
      </c>
      <c r="S152" s="19" t="s">
        <v>206</v>
      </c>
      <c r="T152" s="19">
        <v>1</v>
      </c>
      <c r="U152" s="19" t="s">
        <v>340</v>
      </c>
      <c r="V152" s="19" t="s">
        <v>341</v>
      </c>
      <c r="W152" s="19" t="s">
        <v>353</v>
      </c>
      <c r="X152" s="19">
        <v>10</v>
      </c>
      <c r="Y152" s="19" t="s">
        <v>246</v>
      </c>
      <c r="Z152" s="19" t="s">
        <v>247</v>
      </c>
      <c r="AA152" s="19" t="s">
        <v>248</v>
      </c>
      <c r="AB152" s="19">
        <v>1</v>
      </c>
      <c r="AC152" s="43" t="b">
        <v>0</v>
      </c>
      <c r="AD152" s="4" t="b">
        <v>0</v>
      </c>
      <c r="AF152" s="44">
        <v>3</v>
      </c>
      <c r="AG152" s="45"/>
      <c r="AH152" s="45"/>
    </row>
    <row r="153" spans="1:34" s="4" customFormat="1" x14ac:dyDescent="0.25">
      <c r="A153" s="19">
        <v>11209</v>
      </c>
      <c r="B153" s="19" t="s">
        <v>358</v>
      </c>
      <c r="C153" s="19" t="s">
        <v>335</v>
      </c>
      <c r="D153" s="19" t="s">
        <v>336</v>
      </c>
      <c r="E153" s="19" t="s">
        <v>337</v>
      </c>
      <c r="F153" s="19" t="s">
        <v>338</v>
      </c>
      <c r="G153" s="19">
        <v>1</v>
      </c>
      <c r="H153" s="19">
        <v>2</v>
      </c>
      <c r="I153" s="19">
        <v>1</v>
      </c>
      <c r="J153" s="19">
        <v>9</v>
      </c>
      <c r="K153" s="19">
        <v>673582</v>
      </c>
      <c r="L153" s="19">
        <v>21600</v>
      </c>
      <c r="M153" s="19">
        <v>1009</v>
      </c>
      <c r="N153" s="19" t="s">
        <v>203</v>
      </c>
      <c r="O153" s="42" t="s">
        <v>204</v>
      </c>
      <c r="P153" s="42" t="s">
        <v>359</v>
      </c>
      <c r="Q153" s="19">
        <v>1000034</v>
      </c>
      <c r="R153" s="19">
        <v>1000109</v>
      </c>
      <c r="S153" s="19" t="s">
        <v>206</v>
      </c>
      <c r="T153" s="19">
        <v>1</v>
      </c>
      <c r="U153" s="19" t="s">
        <v>340</v>
      </c>
      <c r="V153" s="19" t="s">
        <v>341</v>
      </c>
      <c r="W153" s="19" t="s">
        <v>353</v>
      </c>
      <c r="X153" s="19">
        <v>10</v>
      </c>
      <c r="Y153" s="19" t="s">
        <v>251</v>
      </c>
      <c r="Z153" s="19" t="s">
        <v>252</v>
      </c>
      <c r="AA153" s="19" t="s">
        <v>253</v>
      </c>
      <c r="AB153" s="19">
        <v>1</v>
      </c>
      <c r="AC153" s="43" t="b">
        <v>0</v>
      </c>
      <c r="AD153" s="4" t="b">
        <v>0</v>
      </c>
      <c r="AF153" s="44">
        <v>3</v>
      </c>
      <c r="AG153" s="45"/>
      <c r="AH153" s="45"/>
    </row>
    <row r="154" spans="1:34" s="4" customFormat="1" x14ac:dyDescent="0.25">
      <c r="A154" s="19">
        <v>11210</v>
      </c>
      <c r="B154" s="19" t="s">
        <v>360</v>
      </c>
      <c r="C154" s="19" t="s">
        <v>335</v>
      </c>
      <c r="D154" s="19" t="s">
        <v>336</v>
      </c>
      <c r="E154" s="19" t="s">
        <v>337</v>
      </c>
      <c r="F154" s="19" t="s">
        <v>338</v>
      </c>
      <c r="G154" s="19">
        <v>1</v>
      </c>
      <c r="H154" s="19">
        <v>2</v>
      </c>
      <c r="I154" s="19">
        <v>1</v>
      </c>
      <c r="J154" s="19">
        <v>10</v>
      </c>
      <c r="K154" s="19">
        <v>760707</v>
      </c>
      <c r="L154" s="19">
        <v>21600</v>
      </c>
      <c r="M154" s="19">
        <v>1010</v>
      </c>
      <c r="N154" s="19" t="s">
        <v>203</v>
      </c>
      <c r="O154" s="42" t="s">
        <v>204</v>
      </c>
      <c r="P154" s="42" t="s">
        <v>361</v>
      </c>
      <c r="Q154" s="19">
        <v>1000035</v>
      </c>
      <c r="R154" s="19">
        <v>1000110</v>
      </c>
      <c r="S154" s="19" t="s">
        <v>206</v>
      </c>
      <c r="T154" s="19">
        <v>1</v>
      </c>
      <c r="U154" s="19" t="s">
        <v>340</v>
      </c>
      <c r="V154" s="19" t="s">
        <v>341</v>
      </c>
      <c r="W154" s="19" t="s">
        <v>353</v>
      </c>
      <c r="X154" s="19">
        <v>10</v>
      </c>
      <c r="Y154" s="19" t="s">
        <v>256</v>
      </c>
      <c r="Z154" s="19" t="s">
        <v>257</v>
      </c>
      <c r="AA154" s="19" t="s">
        <v>258</v>
      </c>
      <c r="AB154" s="19">
        <v>1</v>
      </c>
      <c r="AC154" s="43" t="b">
        <v>0</v>
      </c>
      <c r="AD154" s="4" t="b">
        <v>0</v>
      </c>
      <c r="AF154" s="44">
        <v>3</v>
      </c>
      <c r="AG154" s="45"/>
      <c r="AH154" s="45"/>
    </row>
    <row r="155" spans="1:34" s="4" customFormat="1" x14ac:dyDescent="0.25">
      <c r="A155" s="19">
        <v>11211</v>
      </c>
      <c r="B155" s="19" t="s">
        <v>362</v>
      </c>
      <c r="C155" s="19" t="s">
        <v>335</v>
      </c>
      <c r="D155" s="19" t="s">
        <v>336</v>
      </c>
      <c r="E155" s="19" t="s">
        <v>337</v>
      </c>
      <c r="F155" s="19" t="s">
        <v>338</v>
      </c>
      <c r="G155" s="19">
        <v>1</v>
      </c>
      <c r="H155" s="19">
        <v>2</v>
      </c>
      <c r="I155" s="19">
        <v>1</v>
      </c>
      <c r="J155" s="19">
        <v>11</v>
      </c>
      <c r="K155" s="19">
        <v>875115</v>
      </c>
      <c r="L155" s="19">
        <v>21600</v>
      </c>
      <c r="M155" s="19">
        <v>1011</v>
      </c>
      <c r="N155" s="19" t="s">
        <v>203</v>
      </c>
      <c r="O155" s="42" t="s">
        <v>204</v>
      </c>
      <c r="P155" s="42" t="s">
        <v>363</v>
      </c>
      <c r="Q155" s="19">
        <v>1000036</v>
      </c>
      <c r="R155" s="19">
        <v>1000111</v>
      </c>
      <c r="S155" s="19" t="s">
        <v>206</v>
      </c>
      <c r="T155" s="19">
        <v>1</v>
      </c>
      <c r="U155" s="19" t="s">
        <v>340</v>
      </c>
      <c r="V155" s="19" t="s">
        <v>341</v>
      </c>
      <c r="W155" s="19" t="s">
        <v>353</v>
      </c>
      <c r="X155" s="19">
        <v>15</v>
      </c>
      <c r="Y155" s="19" t="s">
        <v>261</v>
      </c>
      <c r="Z155" s="19" t="s">
        <v>262</v>
      </c>
      <c r="AA155" s="19" t="s">
        <v>263</v>
      </c>
      <c r="AB155" s="19">
        <v>1</v>
      </c>
      <c r="AC155" s="43" t="b">
        <v>0</v>
      </c>
      <c r="AD155" s="4" t="b">
        <v>0</v>
      </c>
      <c r="AF155" s="44">
        <v>3</v>
      </c>
      <c r="AG155" s="45"/>
      <c r="AH155" s="45"/>
    </row>
    <row r="156" spans="1:34" s="4" customFormat="1" x14ac:dyDescent="0.25">
      <c r="A156" s="19">
        <v>11212</v>
      </c>
      <c r="B156" s="19" t="s">
        <v>364</v>
      </c>
      <c r="C156" s="19" t="s">
        <v>335</v>
      </c>
      <c r="D156" s="19" t="s">
        <v>336</v>
      </c>
      <c r="E156" s="19" t="s">
        <v>337</v>
      </c>
      <c r="F156" s="19" t="s">
        <v>338</v>
      </c>
      <c r="G156" s="19">
        <v>1</v>
      </c>
      <c r="H156" s="19">
        <v>2</v>
      </c>
      <c r="I156" s="19">
        <v>1</v>
      </c>
      <c r="J156" s="19">
        <v>12</v>
      </c>
      <c r="K156" s="19">
        <v>1052219</v>
      </c>
      <c r="L156" s="19">
        <v>21600</v>
      </c>
      <c r="M156" s="19">
        <v>1012</v>
      </c>
      <c r="N156" s="19" t="s">
        <v>203</v>
      </c>
      <c r="O156" s="42" t="s">
        <v>204</v>
      </c>
      <c r="P156" s="42" t="s">
        <v>365</v>
      </c>
      <c r="Q156" s="19">
        <v>1000037</v>
      </c>
      <c r="R156" s="19">
        <v>1000112</v>
      </c>
      <c r="S156" s="19" t="s">
        <v>206</v>
      </c>
      <c r="T156" s="19">
        <v>1</v>
      </c>
      <c r="U156" s="19" t="s">
        <v>340</v>
      </c>
      <c r="V156" s="19" t="s">
        <v>341</v>
      </c>
      <c r="W156" s="19" t="s">
        <v>353</v>
      </c>
      <c r="X156" s="19">
        <v>15</v>
      </c>
      <c r="Y156" s="19" t="s">
        <v>266</v>
      </c>
      <c r="Z156" s="19" t="s">
        <v>267</v>
      </c>
      <c r="AA156" s="19" t="s">
        <v>268</v>
      </c>
      <c r="AB156" s="19">
        <v>1</v>
      </c>
      <c r="AC156" s="43" t="b">
        <v>0</v>
      </c>
      <c r="AD156" s="4" t="b">
        <v>0</v>
      </c>
      <c r="AF156" s="44">
        <v>3</v>
      </c>
      <c r="AG156" s="45"/>
      <c r="AH156" s="45"/>
    </row>
    <row r="157" spans="1:34" s="4" customFormat="1" x14ac:dyDescent="0.25">
      <c r="A157" s="19">
        <v>11213</v>
      </c>
      <c r="B157" s="19" t="s">
        <v>366</v>
      </c>
      <c r="C157" s="19" t="s">
        <v>335</v>
      </c>
      <c r="D157" s="19" t="s">
        <v>336</v>
      </c>
      <c r="E157" s="19" t="s">
        <v>337</v>
      </c>
      <c r="F157" s="19" t="s">
        <v>338</v>
      </c>
      <c r="G157" s="19">
        <v>1</v>
      </c>
      <c r="H157" s="19">
        <v>2</v>
      </c>
      <c r="I157" s="19">
        <v>1</v>
      </c>
      <c r="J157" s="19">
        <v>13</v>
      </c>
      <c r="K157" s="19">
        <v>1569989</v>
      </c>
      <c r="L157" s="19">
        <v>21600</v>
      </c>
      <c r="M157" s="19">
        <v>1013</v>
      </c>
      <c r="N157" s="19" t="s">
        <v>203</v>
      </c>
      <c r="O157" s="42" t="s">
        <v>204</v>
      </c>
      <c r="P157" s="42" t="s">
        <v>367</v>
      </c>
      <c r="Q157" s="19">
        <v>1000038</v>
      </c>
      <c r="R157" s="19">
        <v>1000113</v>
      </c>
      <c r="S157" s="19" t="s">
        <v>206</v>
      </c>
      <c r="T157" s="19">
        <v>1</v>
      </c>
      <c r="U157" s="19" t="s">
        <v>340</v>
      </c>
      <c r="V157" s="19" t="s">
        <v>341</v>
      </c>
      <c r="W157" s="19" t="s">
        <v>353</v>
      </c>
      <c r="X157" s="19">
        <v>15</v>
      </c>
      <c r="Y157" s="19" t="s">
        <v>271</v>
      </c>
      <c r="Z157" s="19" t="s">
        <v>272</v>
      </c>
      <c r="AA157" s="19" t="s">
        <v>273</v>
      </c>
      <c r="AB157" s="19">
        <v>1</v>
      </c>
      <c r="AC157" s="43" t="b">
        <v>0</v>
      </c>
      <c r="AD157" s="4" t="b">
        <v>0</v>
      </c>
      <c r="AF157" s="44">
        <v>3</v>
      </c>
      <c r="AG157" s="45"/>
      <c r="AH157" s="45"/>
    </row>
    <row r="158" spans="1:34" s="4" customFormat="1" x14ac:dyDescent="0.25">
      <c r="A158" s="19">
        <v>11214</v>
      </c>
      <c r="B158" s="19" t="s">
        <v>368</v>
      </c>
      <c r="C158" s="19" t="s">
        <v>335</v>
      </c>
      <c r="D158" s="19" t="s">
        <v>336</v>
      </c>
      <c r="E158" s="19" t="s">
        <v>337</v>
      </c>
      <c r="F158" s="19" t="s">
        <v>338</v>
      </c>
      <c r="G158" s="19">
        <v>1</v>
      </c>
      <c r="H158" s="19">
        <v>2</v>
      </c>
      <c r="I158" s="19">
        <v>1</v>
      </c>
      <c r="J158" s="19">
        <v>14</v>
      </c>
      <c r="K158" s="19">
        <v>1951593</v>
      </c>
      <c r="L158" s="19">
        <v>21600</v>
      </c>
      <c r="M158" s="19">
        <v>1014</v>
      </c>
      <c r="N158" s="19" t="s">
        <v>203</v>
      </c>
      <c r="O158" s="42" t="s">
        <v>204</v>
      </c>
      <c r="P158" s="42" t="s">
        <v>369</v>
      </c>
      <c r="Q158" s="19">
        <v>1000039</v>
      </c>
      <c r="R158" s="19">
        <v>1000114</v>
      </c>
      <c r="S158" s="19" t="s">
        <v>206</v>
      </c>
      <c r="T158" s="19">
        <v>1</v>
      </c>
      <c r="U158" s="19" t="s">
        <v>340</v>
      </c>
      <c r="V158" s="19" t="s">
        <v>341</v>
      </c>
      <c r="W158" s="19" t="s">
        <v>353</v>
      </c>
      <c r="X158" s="19">
        <v>15</v>
      </c>
      <c r="Y158" s="19" t="s">
        <v>276</v>
      </c>
      <c r="Z158" s="19" t="s">
        <v>370</v>
      </c>
      <c r="AA158" s="19" t="s">
        <v>277</v>
      </c>
      <c r="AB158" s="19">
        <v>1</v>
      </c>
      <c r="AC158" s="43" t="b">
        <v>0</v>
      </c>
      <c r="AD158" s="4" t="b">
        <v>0</v>
      </c>
      <c r="AF158" s="44">
        <v>3</v>
      </c>
      <c r="AG158" s="45"/>
      <c r="AH158" s="45"/>
    </row>
    <row r="159" spans="1:34" s="4" customFormat="1" x14ac:dyDescent="0.25">
      <c r="A159" s="19">
        <v>11215</v>
      </c>
      <c r="B159" s="19" t="s">
        <v>371</v>
      </c>
      <c r="C159" s="19" t="s">
        <v>335</v>
      </c>
      <c r="D159" s="19" t="s">
        <v>336</v>
      </c>
      <c r="E159" s="19" t="s">
        <v>337</v>
      </c>
      <c r="F159" s="19" t="s">
        <v>338</v>
      </c>
      <c r="G159" s="19">
        <v>1</v>
      </c>
      <c r="H159" s="19">
        <v>2</v>
      </c>
      <c r="I159" s="19">
        <v>1</v>
      </c>
      <c r="J159" s="19">
        <v>15</v>
      </c>
      <c r="K159" s="19">
        <v>2222839</v>
      </c>
      <c r="L159" s="19">
        <v>21600</v>
      </c>
      <c r="M159" s="19">
        <v>1015</v>
      </c>
      <c r="N159" s="19" t="s">
        <v>203</v>
      </c>
      <c r="O159" s="42" t="s">
        <v>204</v>
      </c>
      <c r="P159" s="42" t="s">
        <v>372</v>
      </c>
      <c r="Q159" s="19">
        <v>1000040</v>
      </c>
      <c r="R159" s="19">
        <v>1000115</v>
      </c>
      <c r="S159" s="19" t="s">
        <v>206</v>
      </c>
      <c r="T159" s="19">
        <v>1</v>
      </c>
      <c r="U159" s="19" t="s">
        <v>340</v>
      </c>
      <c r="V159" s="19" t="s">
        <v>341</v>
      </c>
      <c r="W159" s="19" t="s">
        <v>353</v>
      </c>
      <c r="X159" s="19">
        <v>15</v>
      </c>
      <c r="Y159" s="19" t="s">
        <v>280</v>
      </c>
      <c r="Z159" s="19" t="s">
        <v>281</v>
      </c>
      <c r="AA159" s="19" t="s">
        <v>282</v>
      </c>
      <c r="AB159" s="19">
        <v>1</v>
      </c>
      <c r="AC159" s="43" t="b">
        <v>0</v>
      </c>
      <c r="AD159" s="4" t="b">
        <v>0</v>
      </c>
      <c r="AF159" s="44">
        <v>3</v>
      </c>
      <c r="AG159" s="45"/>
      <c r="AH159" s="45"/>
    </row>
    <row r="160" spans="1:34" s="4" customFormat="1" x14ac:dyDescent="0.25">
      <c r="A160" s="19">
        <v>11216</v>
      </c>
      <c r="B160" s="19" t="s">
        <v>373</v>
      </c>
      <c r="C160" s="19" t="s">
        <v>335</v>
      </c>
      <c r="D160" s="19" t="s">
        <v>336</v>
      </c>
      <c r="E160" s="19" t="s">
        <v>337</v>
      </c>
      <c r="F160" s="19" t="s">
        <v>338</v>
      </c>
      <c r="G160" s="19">
        <v>1</v>
      </c>
      <c r="H160" s="19">
        <v>2</v>
      </c>
      <c r="I160" s="19">
        <v>1</v>
      </c>
      <c r="J160" s="19">
        <v>16</v>
      </c>
      <c r="K160" s="19">
        <v>2681701</v>
      </c>
      <c r="L160" s="19">
        <v>21600</v>
      </c>
      <c r="M160" s="19">
        <v>1016</v>
      </c>
      <c r="N160" s="19" t="s">
        <v>203</v>
      </c>
      <c r="O160" s="42" t="s">
        <v>204</v>
      </c>
      <c r="P160" s="42" t="s">
        <v>374</v>
      </c>
      <c r="Q160" s="19">
        <v>1000041</v>
      </c>
      <c r="R160" s="19">
        <v>1000116</v>
      </c>
      <c r="S160" s="19" t="s">
        <v>206</v>
      </c>
      <c r="T160" s="19">
        <v>1</v>
      </c>
      <c r="U160" s="19" t="s">
        <v>340</v>
      </c>
      <c r="V160" s="19" t="s">
        <v>341</v>
      </c>
      <c r="W160" s="19" t="s">
        <v>375</v>
      </c>
      <c r="X160" s="19">
        <v>20</v>
      </c>
      <c r="Y160" s="19" t="s">
        <v>286</v>
      </c>
      <c r="Z160" s="19" t="s">
        <v>287</v>
      </c>
      <c r="AA160" s="19" t="s">
        <v>288</v>
      </c>
      <c r="AB160" s="19">
        <v>1</v>
      </c>
      <c r="AC160" s="43" t="b">
        <v>0</v>
      </c>
      <c r="AD160" s="4" t="b">
        <v>0</v>
      </c>
      <c r="AF160" s="44">
        <v>3</v>
      </c>
      <c r="AG160" s="45"/>
      <c r="AH160" s="45"/>
    </row>
    <row r="161" spans="1:34" s="4" customFormat="1" x14ac:dyDescent="0.25">
      <c r="A161" s="19">
        <v>11217</v>
      </c>
      <c r="B161" s="19" t="s">
        <v>376</v>
      </c>
      <c r="C161" s="19" t="s">
        <v>335</v>
      </c>
      <c r="D161" s="19" t="s">
        <v>336</v>
      </c>
      <c r="E161" s="19" t="s">
        <v>337</v>
      </c>
      <c r="F161" s="19" t="s">
        <v>338</v>
      </c>
      <c r="G161" s="19">
        <v>1</v>
      </c>
      <c r="H161" s="19">
        <v>2</v>
      </c>
      <c r="I161" s="19">
        <v>1</v>
      </c>
      <c r="J161" s="19">
        <v>17</v>
      </c>
      <c r="K161" s="19">
        <v>3503640</v>
      </c>
      <c r="L161" s="19">
        <v>21600</v>
      </c>
      <c r="M161" s="19">
        <v>1017</v>
      </c>
      <c r="N161" s="19" t="s">
        <v>203</v>
      </c>
      <c r="O161" s="42" t="s">
        <v>204</v>
      </c>
      <c r="P161" s="42" t="s">
        <v>377</v>
      </c>
      <c r="Q161" s="19">
        <v>1000042</v>
      </c>
      <c r="R161" s="19">
        <v>1000117</v>
      </c>
      <c r="S161" s="19" t="s">
        <v>206</v>
      </c>
      <c r="T161" s="19">
        <v>1</v>
      </c>
      <c r="U161" s="19" t="s">
        <v>340</v>
      </c>
      <c r="V161" s="19" t="s">
        <v>341</v>
      </c>
      <c r="W161" s="19" t="s">
        <v>375</v>
      </c>
      <c r="X161" s="19">
        <v>20</v>
      </c>
      <c r="Y161" s="19" t="s">
        <v>291</v>
      </c>
      <c r="Z161" s="19" t="s">
        <v>292</v>
      </c>
      <c r="AA161" s="19" t="s">
        <v>293</v>
      </c>
      <c r="AB161" s="19">
        <v>1</v>
      </c>
      <c r="AC161" s="43" t="b">
        <v>0</v>
      </c>
      <c r="AD161" s="4" t="b">
        <v>0</v>
      </c>
      <c r="AF161" s="44">
        <v>3</v>
      </c>
      <c r="AG161" s="45"/>
      <c r="AH161" s="45"/>
    </row>
    <row r="162" spans="1:34" s="4" customFormat="1" x14ac:dyDescent="0.25">
      <c r="A162" s="19">
        <v>11218</v>
      </c>
      <c r="B162" s="19" t="s">
        <v>378</v>
      </c>
      <c r="C162" s="19" t="s">
        <v>335</v>
      </c>
      <c r="D162" s="19" t="s">
        <v>336</v>
      </c>
      <c r="E162" s="19" t="s">
        <v>337</v>
      </c>
      <c r="F162" s="19" t="s">
        <v>338</v>
      </c>
      <c r="G162" s="19">
        <v>1</v>
      </c>
      <c r="H162" s="19">
        <v>2</v>
      </c>
      <c r="I162" s="19">
        <v>1</v>
      </c>
      <c r="J162" s="19">
        <v>18</v>
      </c>
      <c r="K162" s="19">
        <v>4146426</v>
      </c>
      <c r="L162" s="19">
        <v>21600</v>
      </c>
      <c r="M162" s="19">
        <v>1018</v>
      </c>
      <c r="N162" s="19" t="s">
        <v>203</v>
      </c>
      <c r="O162" s="42" t="s">
        <v>204</v>
      </c>
      <c r="P162" s="42" t="s">
        <v>379</v>
      </c>
      <c r="Q162" s="19">
        <v>1000043</v>
      </c>
      <c r="R162" s="19">
        <v>1000118</v>
      </c>
      <c r="S162" s="19" t="s">
        <v>206</v>
      </c>
      <c r="T162" s="19">
        <v>1</v>
      </c>
      <c r="U162" s="19" t="s">
        <v>340</v>
      </c>
      <c r="V162" s="19" t="s">
        <v>341</v>
      </c>
      <c r="W162" s="19" t="s">
        <v>375</v>
      </c>
      <c r="X162" s="19">
        <v>20</v>
      </c>
      <c r="Y162" s="19" t="s">
        <v>296</v>
      </c>
      <c r="Z162" s="19" t="s">
        <v>297</v>
      </c>
      <c r="AA162" s="19" t="s">
        <v>298</v>
      </c>
      <c r="AB162" s="19">
        <v>1</v>
      </c>
      <c r="AC162" s="43" t="b">
        <v>0</v>
      </c>
      <c r="AD162" s="4" t="b">
        <v>0</v>
      </c>
      <c r="AF162" s="44">
        <v>3</v>
      </c>
      <c r="AG162" s="45"/>
      <c r="AH162" s="45"/>
    </row>
    <row r="163" spans="1:34" s="4" customFormat="1" x14ac:dyDescent="0.25">
      <c r="A163" s="19">
        <v>11219</v>
      </c>
      <c r="B163" s="19" t="s">
        <v>380</v>
      </c>
      <c r="C163" s="19" t="s">
        <v>335</v>
      </c>
      <c r="D163" s="19" t="s">
        <v>336</v>
      </c>
      <c r="E163" s="19" t="s">
        <v>337</v>
      </c>
      <c r="F163" s="19" t="s">
        <v>338</v>
      </c>
      <c r="G163" s="19">
        <v>1</v>
      </c>
      <c r="H163" s="19">
        <v>2</v>
      </c>
      <c r="I163" s="19">
        <v>1</v>
      </c>
      <c r="J163" s="19">
        <v>19</v>
      </c>
      <c r="K163" s="19">
        <v>4890293</v>
      </c>
      <c r="L163" s="19">
        <v>21600</v>
      </c>
      <c r="M163" s="19">
        <v>1019</v>
      </c>
      <c r="N163" s="19" t="s">
        <v>203</v>
      </c>
      <c r="O163" s="42" t="s">
        <v>204</v>
      </c>
      <c r="P163" s="42" t="s">
        <v>381</v>
      </c>
      <c r="Q163" s="19">
        <v>1000044</v>
      </c>
      <c r="R163" s="19">
        <v>1000119</v>
      </c>
      <c r="S163" s="19" t="s">
        <v>206</v>
      </c>
      <c r="T163" s="19">
        <v>1</v>
      </c>
      <c r="U163" s="19" t="s">
        <v>340</v>
      </c>
      <c r="V163" s="19" t="s">
        <v>341</v>
      </c>
      <c r="W163" s="19" t="s">
        <v>375</v>
      </c>
      <c r="X163" s="19">
        <v>20</v>
      </c>
      <c r="Y163" s="19" t="s">
        <v>301</v>
      </c>
      <c r="Z163" s="19" t="s">
        <v>302</v>
      </c>
      <c r="AA163" s="19" t="s">
        <v>303</v>
      </c>
      <c r="AB163" s="19">
        <v>1</v>
      </c>
      <c r="AC163" s="43" t="b">
        <v>0</v>
      </c>
      <c r="AD163" s="4" t="b">
        <v>0</v>
      </c>
      <c r="AF163" s="44">
        <v>3</v>
      </c>
      <c r="AG163" s="45"/>
      <c r="AH163" s="45"/>
    </row>
    <row r="164" spans="1:34" s="4" customFormat="1" x14ac:dyDescent="0.25">
      <c r="A164" s="19">
        <v>11220</v>
      </c>
      <c r="B164" s="19" t="s">
        <v>382</v>
      </c>
      <c r="C164" s="19" t="s">
        <v>335</v>
      </c>
      <c r="D164" s="19" t="s">
        <v>336</v>
      </c>
      <c r="E164" s="19" t="s">
        <v>337</v>
      </c>
      <c r="F164" s="19" t="s">
        <v>338</v>
      </c>
      <c r="G164" s="19">
        <v>1</v>
      </c>
      <c r="H164" s="19">
        <v>2</v>
      </c>
      <c r="I164" s="19">
        <v>1</v>
      </c>
      <c r="J164" s="19">
        <v>20</v>
      </c>
      <c r="K164" s="19">
        <v>6493781</v>
      </c>
      <c r="L164" s="19">
        <v>21600</v>
      </c>
      <c r="M164" s="19">
        <v>1020</v>
      </c>
      <c r="N164" s="19" t="s">
        <v>203</v>
      </c>
      <c r="O164" s="42" t="s">
        <v>204</v>
      </c>
      <c r="P164" s="42" t="s">
        <v>383</v>
      </c>
      <c r="Q164" s="19">
        <v>1000045</v>
      </c>
      <c r="R164" s="19">
        <v>1000120</v>
      </c>
      <c r="S164" s="19" t="s">
        <v>206</v>
      </c>
      <c r="T164" s="19">
        <v>1</v>
      </c>
      <c r="U164" s="19" t="s">
        <v>340</v>
      </c>
      <c r="V164" s="19" t="s">
        <v>341</v>
      </c>
      <c r="W164" s="19" t="s">
        <v>375</v>
      </c>
      <c r="X164" s="19">
        <v>20</v>
      </c>
      <c r="Y164" s="19" t="s">
        <v>306</v>
      </c>
      <c r="Z164" s="19" t="s">
        <v>307</v>
      </c>
      <c r="AA164" s="19" t="s">
        <v>308</v>
      </c>
      <c r="AB164" s="19">
        <v>1</v>
      </c>
      <c r="AC164" s="43" t="b">
        <v>0</v>
      </c>
      <c r="AD164" s="4" t="b">
        <v>0</v>
      </c>
      <c r="AF164" s="44">
        <v>3</v>
      </c>
      <c r="AG164" s="45"/>
      <c r="AH164" s="45"/>
    </row>
    <row r="165" spans="1:34" s="4" customFormat="1" x14ac:dyDescent="0.25">
      <c r="A165" s="19">
        <v>11221</v>
      </c>
      <c r="B165" s="19" t="s">
        <v>384</v>
      </c>
      <c r="C165" s="19" t="s">
        <v>335</v>
      </c>
      <c r="D165" s="19" t="s">
        <v>336</v>
      </c>
      <c r="E165" s="19" t="s">
        <v>337</v>
      </c>
      <c r="F165" s="19" t="s">
        <v>338</v>
      </c>
      <c r="G165" s="19">
        <v>1</v>
      </c>
      <c r="H165" s="19">
        <v>2</v>
      </c>
      <c r="I165" s="19">
        <v>1</v>
      </c>
      <c r="J165" s="19">
        <v>21</v>
      </c>
      <c r="K165" s="19">
        <v>7135566</v>
      </c>
      <c r="L165" s="19">
        <v>21600</v>
      </c>
      <c r="M165" s="19">
        <v>1021</v>
      </c>
      <c r="N165" s="19" t="s">
        <v>203</v>
      </c>
      <c r="O165" s="42" t="s">
        <v>204</v>
      </c>
      <c r="P165" s="42" t="s">
        <v>385</v>
      </c>
      <c r="Q165" s="19">
        <v>1000046</v>
      </c>
      <c r="R165" s="19">
        <v>1000121</v>
      </c>
      <c r="S165" s="19" t="s">
        <v>206</v>
      </c>
      <c r="T165" s="19">
        <v>1</v>
      </c>
      <c r="U165" s="19" t="s">
        <v>340</v>
      </c>
      <c r="V165" s="19" t="s">
        <v>341</v>
      </c>
      <c r="W165" s="19" t="s">
        <v>375</v>
      </c>
      <c r="X165" s="19">
        <v>25</v>
      </c>
      <c r="Y165" s="19" t="s">
        <v>311</v>
      </c>
      <c r="Z165" s="19" t="s">
        <v>312</v>
      </c>
      <c r="AA165" s="19" t="s">
        <v>313</v>
      </c>
      <c r="AB165" s="19">
        <v>1</v>
      </c>
      <c r="AC165" s="43" t="b">
        <v>0</v>
      </c>
      <c r="AD165" s="4" t="b">
        <v>0</v>
      </c>
      <c r="AF165" s="44">
        <v>3</v>
      </c>
      <c r="AG165" s="45"/>
      <c r="AH165" s="45"/>
    </row>
    <row r="166" spans="1:34" s="4" customFormat="1" x14ac:dyDescent="0.25">
      <c r="A166" s="19">
        <v>11222</v>
      </c>
      <c r="B166" s="19" t="s">
        <v>386</v>
      </c>
      <c r="C166" s="19" t="s">
        <v>335</v>
      </c>
      <c r="D166" s="19" t="s">
        <v>336</v>
      </c>
      <c r="E166" s="19" t="s">
        <v>337</v>
      </c>
      <c r="F166" s="19" t="s">
        <v>338</v>
      </c>
      <c r="G166" s="19">
        <v>1</v>
      </c>
      <c r="H166" s="19">
        <v>2</v>
      </c>
      <c r="I166" s="19">
        <v>1</v>
      </c>
      <c r="J166" s="19">
        <v>22</v>
      </c>
      <c r="K166" s="19">
        <v>7777351</v>
      </c>
      <c r="L166" s="19">
        <v>21600</v>
      </c>
      <c r="M166" s="19">
        <v>1022</v>
      </c>
      <c r="N166" s="19" t="s">
        <v>203</v>
      </c>
      <c r="O166" s="42" t="s">
        <v>204</v>
      </c>
      <c r="P166" s="42" t="s">
        <v>387</v>
      </c>
      <c r="Q166" s="19">
        <v>1000047</v>
      </c>
      <c r="R166" s="19">
        <v>1000122</v>
      </c>
      <c r="S166" s="19" t="s">
        <v>206</v>
      </c>
      <c r="T166" s="19">
        <v>1</v>
      </c>
      <c r="U166" s="19" t="s">
        <v>340</v>
      </c>
      <c r="V166" s="19" t="s">
        <v>341</v>
      </c>
      <c r="W166" s="19" t="s">
        <v>375</v>
      </c>
      <c r="X166" s="19">
        <v>25</v>
      </c>
      <c r="Y166" s="19" t="s">
        <v>316</v>
      </c>
      <c r="Z166" s="19" t="s">
        <v>317</v>
      </c>
      <c r="AA166" s="19" t="s">
        <v>318</v>
      </c>
      <c r="AB166" s="19">
        <v>1</v>
      </c>
      <c r="AC166" s="43" t="b">
        <v>0</v>
      </c>
      <c r="AD166" s="4" t="b">
        <v>0</v>
      </c>
      <c r="AF166" s="44">
        <v>3</v>
      </c>
      <c r="AG166" s="45"/>
      <c r="AH166" s="45"/>
    </row>
    <row r="167" spans="1:34" s="4" customFormat="1" x14ac:dyDescent="0.25">
      <c r="A167" s="19">
        <v>11223</v>
      </c>
      <c r="B167" s="19" t="s">
        <v>388</v>
      </c>
      <c r="C167" s="19" t="s">
        <v>335</v>
      </c>
      <c r="D167" s="19" t="s">
        <v>336</v>
      </c>
      <c r="E167" s="19" t="s">
        <v>337</v>
      </c>
      <c r="F167" s="19" t="s">
        <v>338</v>
      </c>
      <c r="G167" s="19">
        <v>1</v>
      </c>
      <c r="H167" s="19">
        <v>2</v>
      </c>
      <c r="I167" s="19">
        <v>1</v>
      </c>
      <c r="J167" s="19">
        <v>23</v>
      </c>
      <c r="K167" s="19">
        <v>8419136</v>
      </c>
      <c r="L167" s="19">
        <v>21600</v>
      </c>
      <c r="M167" s="19">
        <v>1023</v>
      </c>
      <c r="N167" s="19" t="s">
        <v>203</v>
      </c>
      <c r="O167" s="42" t="s">
        <v>204</v>
      </c>
      <c r="P167" s="42" t="s">
        <v>389</v>
      </c>
      <c r="Q167" s="19">
        <v>1000048</v>
      </c>
      <c r="R167" s="19">
        <v>1000123</v>
      </c>
      <c r="S167" s="19" t="s">
        <v>206</v>
      </c>
      <c r="T167" s="19">
        <v>1</v>
      </c>
      <c r="U167" s="19" t="s">
        <v>340</v>
      </c>
      <c r="V167" s="19" t="s">
        <v>341</v>
      </c>
      <c r="W167" s="19" t="s">
        <v>375</v>
      </c>
      <c r="X167" s="19">
        <v>25</v>
      </c>
      <c r="Y167" s="19" t="s">
        <v>321</v>
      </c>
      <c r="Z167" s="19" t="s">
        <v>322</v>
      </c>
      <c r="AA167" s="19" t="s">
        <v>323</v>
      </c>
      <c r="AB167" s="19">
        <v>1</v>
      </c>
      <c r="AC167" s="43" t="b">
        <v>0</v>
      </c>
      <c r="AD167" s="4" t="b">
        <v>0</v>
      </c>
      <c r="AF167" s="44">
        <v>3</v>
      </c>
      <c r="AG167" s="45"/>
      <c r="AH167" s="45"/>
    </row>
    <row r="168" spans="1:34" s="4" customFormat="1" x14ac:dyDescent="0.25">
      <c r="A168" s="19">
        <v>11224</v>
      </c>
      <c r="B168" s="19" t="s">
        <v>390</v>
      </c>
      <c r="C168" s="19" t="s">
        <v>335</v>
      </c>
      <c r="D168" s="19" t="s">
        <v>336</v>
      </c>
      <c r="E168" s="19" t="s">
        <v>337</v>
      </c>
      <c r="F168" s="19" t="s">
        <v>338</v>
      </c>
      <c r="G168" s="19">
        <v>1</v>
      </c>
      <c r="H168" s="19">
        <v>2</v>
      </c>
      <c r="I168" s="19">
        <v>1</v>
      </c>
      <c r="J168" s="19">
        <v>24</v>
      </c>
      <c r="K168" s="19">
        <v>9060921</v>
      </c>
      <c r="L168" s="19">
        <v>21600</v>
      </c>
      <c r="M168" s="19">
        <v>1024</v>
      </c>
      <c r="N168" s="19" t="s">
        <v>203</v>
      </c>
      <c r="O168" s="42" t="s">
        <v>204</v>
      </c>
      <c r="P168" s="42" t="s">
        <v>391</v>
      </c>
      <c r="Q168" s="19">
        <v>1000049</v>
      </c>
      <c r="R168" s="19">
        <v>1000124</v>
      </c>
      <c r="S168" s="19" t="s">
        <v>206</v>
      </c>
      <c r="T168" s="19">
        <v>1</v>
      </c>
      <c r="U168" s="19" t="s">
        <v>340</v>
      </c>
      <c r="V168" s="19" t="s">
        <v>341</v>
      </c>
      <c r="W168" s="19" t="s">
        <v>375</v>
      </c>
      <c r="X168" s="19">
        <v>25</v>
      </c>
      <c r="Y168" s="19" t="s">
        <v>326</v>
      </c>
      <c r="Z168" s="19" t="s">
        <v>327</v>
      </c>
      <c r="AA168" s="19" t="s">
        <v>328</v>
      </c>
      <c r="AB168" s="19">
        <v>1</v>
      </c>
      <c r="AC168" s="43" t="b">
        <v>0</v>
      </c>
      <c r="AD168" s="4" t="b">
        <v>0</v>
      </c>
      <c r="AF168" s="44">
        <v>3</v>
      </c>
      <c r="AG168" s="45"/>
      <c r="AH168" s="45"/>
    </row>
    <row r="169" spans="1:34" s="4" customFormat="1" x14ac:dyDescent="0.25">
      <c r="A169" s="19">
        <v>11225</v>
      </c>
      <c r="B169" s="19" t="s">
        <v>392</v>
      </c>
      <c r="C169" s="19" t="s">
        <v>335</v>
      </c>
      <c r="D169" s="19" t="s">
        <v>336</v>
      </c>
      <c r="E169" s="19" t="s">
        <v>337</v>
      </c>
      <c r="F169" s="19" t="s">
        <v>338</v>
      </c>
      <c r="G169" s="19">
        <v>1</v>
      </c>
      <c r="H169" s="19">
        <v>2</v>
      </c>
      <c r="I169" s="19">
        <v>1</v>
      </c>
      <c r="J169" s="19">
        <v>25</v>
      </c>
      <c r="K169" s="19">
        <v>9702706</v>
      </c>
      <c r="L169" s="19">
        <v>21600</v>
      </c>
      <c r="M169" s="19">
        <v>1025</v>
      </c>
      <c r="N169" s="19" t="s">
        <v>203</v>
      </c>
      <c r="O169" s="42" t="s">
        <v>204</v>
      </c>
      <c r="P169" s="42" t="s">
        <v>393</v>
      </c>
      <c r="Q169" s="19">
        <v>1000050</v>
      </c>
      <c r="R169" s="19">
        <v>1000125</v>
      </c>
      <c r="S169" s="19" t="s">
        <v>206</v>
      </c>
      <c r="T169" s="19">
        <v>1</v>
      </c>
      <c r="U169" s="19" t="s">
        <v>340</v>
      </c>
      <c r="V169" s="19" t="s">
        <v>341</v>
      </c>
      <c r="W169" s="19" t="s">
        <v>375</v>
      </c>
      <c r="X169" s="19">
        <v>25</v>
      </c>
      <c r="Y169" s="19" t="s">
        <v>331</v>
      </c>
      <c r="Z169" s="19" t="s">
        <v>332</v>
      </c>
      <c r="AA169" s="19" t="s">
        <v>333</v>
      </c>
      <c r="AB169" s="19">
        <v>1</v>
      </c>
      <c r="AC169" s="43" t="b">
        <v>0</v>
      </c>
      <c r="AD169" s="4" t="b">
        <v>0</v>
      </c>
      <c r="AF169" s="44">
        <v>3</v>
      </c>
      <c r="AG169" s="45"/>
      <c r="AH169" s="45"/>
    </row>
    <row r="170" spans="1:34" s="4" customFormat="1" x14ac:dyDescent="0.25">
      <c r="A170" s="19">
        <v>11301</v>
      </c>
      <c r="B170" s="19" t="s">
        <v>394</v>
      </c>
      <c r="C170" s="19" t="s">
        <v>395</v>
      </c>
      <c r="D170" s="19" t="s">
        <v>396</v>
      </c>
      <c r="E170" s="19" t="s">
        <v>397</v>
      </c>
      <c r="F170" s="19" t="s">
        <v>398</v>
      </c>
      <c r="G170" s="19">
        <v>1</v>
      </c>
      <c r="H170" s="19">
        <v>3</v>
      </c>
      <c r="I170" s="19">
        <v>1</v>
      </c>
      <c r="J170" s="19">
        <v>1</v>
      </c>
      <c r="K170" s="19">
        <v>34067</v>
      </c>
      <c r="L170" s="19">
        <v>21600</v>
      </c>
      <c r="M170" s="19">
        <v>1001</v>
      </c>
      <c r="N170" s="19" t="s">
        <v>203</v>
      </c>
      <c r="O170" s="42" t="s">
        <v>204</v>
      </c>
      <c r="P170" s="42" t="s">
        <v>399</v>
      </c>
      <c r="Q170" s="19">
        <v>1000051</v>
      </c>
      <c r="R170" s="19">
        <v>1000126</v>
      </c>
      <c r="S170" s="19" t="s">
        <v>206</v>
      </c>
      <c r="T170" s="19">
        <v>1</v>
      </c>
      <c r="U170" s="19" t="s">
        <v>400</v>
      </c>
      <c r="V170" s="19" t="s">
        <v>401</v>
      </c>
      <c r="W170" s="19" t="s">
        <v>402</v>
      </c>
      <c r="X170" s="19">
        <v>5</v>
      </c>
      <c r="Y170" s="19" t="s">
        <v>210</v>
      </c>
      <c r="Z170" s="19" t="s">
        <v>211</v>
      </c>
      <c r="AA170" s="19" t="s">
        <v>212</v>
      </c>
      <c r="AB170" s="19">
        <v>1</v>
      </c>
      <c r="AC170" s="43" t="b">
        <v>0</v>
      </c>
      <c r="AD170" s="4" t="b">
        <v>0</v>
      </c>
      <c r="AF170" s="44">
        <v>3</v>
      </c>
      <c r="AG170" s="45"/>
      <c r="AH170" s="45"/>
    </row>
    <row r="171" spans="1:34" s="4" customFormat="1" x14ac:dyDescent="0.25">
      <c r="A171" s="19">
        <v>11302</v>
      </c>
      <c r="B171" s="19" t="s">
        <v>403</v>
      </c>
      <c r="C171" s="19" t="s">
        <v>395</v>
      </c>
      <c r="D171" s="19" t="s">
        <v>396</v>
      </c>
      <c r="E171" s="19" t="s">
        <v>397</v>
      </c>
      <c r="F171" s="19" t="s">
        <v>398</v>
      </c>
      <c r="G171" s="19">
        <v>1</v>
      </c>
      <c r="H171" s="19">
        <v>3</v>
      </c>
      <c r="I171" s="19">
        <v>1</v>
      </c>
      <c r="J171" s="19">
        <v>2</v>
      </c>
      <c r="K171" s="19">
        <v>63098</v>
      </c>
      <c r="L171" s="19">
        <v>21600</v>
      </c>
      <c r="M171" s="19">
        <v>1002</v>
      </c>
      <c r="N171" s="19" t="s">
        <v>203</v>
      </c>
      <c r="O171" s="42" t="s">
        <v>204</v>
      </c>
      <c r="P171" s="42" t="s">
        <v>404</v>
      </c>
      <c r="Q171" s="19">
        <v>1000052</v>
      </c>
      <c r="R171" s="19">
        <v>1000127</v>
      </c>
      <c r="S171" s="19" t="s">
        <v>206</v>
      </c>
      <c r="T171" s="19">
        <v>1</v>
      </c>
      <c r="U171" s="19" t="s">
        <v>400</v>
      </c>
      <c r="V171" s="19" t="s">
        <v>401</v>
      </c>
      <c r="W171" s="19" t="s">
        <v>402</v>
      </c>
      <c r="X171" s="19">
        <v>5</v>
      </c>
      <c r="Y171" s="19" t="s">
        <v>215</v>
      </c>
      <c r="Z171" s="19" t="s">
        <v>216</v>
      </c>
      <c r="AA171" s="19" t="s">
        <v>217</v>
      </c>
      <c r="AB171" s="19">
        <v>1</v>
      </c>
      <c r="AC171" s="43" t="b">
        <v>0</v>
      </c>
      <c r="AD171" s="4" t="b">
        <v>0</v>
      </c>
      <c r="AF171" s="44">
        <v>3</v>
      </c>
      <c r="AG171" s="45"/>
      <c r="AH171" s="45"/>
    </row>
    <row r="172" spans="1:34" s="4" customFormat="1" x14ac:dyDescent="0.25">
      <c r="A172" s="19">
        <v>11303</v>
      </c>
      <c r="B172" s="19" t="s">
        <v>405</v>
      </c>
      <c r="C172" s="19" t="s">
        <v>395</v>
      </c>
      <c r="D172" s="19" t="s">
        <v>396</v>
      </c>
      <c r="E172" s="19" t="s">
        <v>397</v>
      </c>
      <c r="F172" s="19" t="s">
        <v>398</v>
      </c>
      <c r="G172" s="19">
        <v>1</v>
      </c>
      <c r="H172" s="19">
        <v>3</v>
      </c>
      <c r="I172" s="19">
        <v>1</v>
      </c>
      <c r="J172" s="19">
        <v>3</v>
      </c>
      <c r="K172" s="19">
        <v>106108</v>
      </c>
      <c r="L172" s="19">
        <v>21600</v>
      </c>
      <c r="M172" s="19">
        <v>1003</v>
      </c>
      <c r="N172" s="19" t="s">
        <v>203</v>
      </c>
      <c r="O172" s="42" t="s">
        <v>204</v>
      </c>
      <c r="P172" s="42" t="s">
        <v>406</v>
      </c>
      <c r="Q172" s="19">
        <v>1000053</v>
      </c>
      <c r="R172" s="19">
        <v>1000128</v>
      </c>
      <c r="S172" s="19" t="s">
        <v>206</v>
      </c>
      <c r="T172" s="19">
        <v>1</v>
      </c>
      <c r="U172" s="19" t="s">
        <v>400</v>
      </c>
      <c r="V172" s="19" t="s">
        <v>401</v>
      </c>
      <c r="W172" s="19" t="s">
        <v>402</v>
      </c>
      <c r="X172" s="19">
        <v>5</v>
      </c>
      <c r="Y172" s="19" t="s">
        <v>220</v>
      </c>
      <c r="Z172" s="19" t="s">
        <v>221</v>
      </c>
      <c r="AA172" s="19" t="s">
        <v>222</v>
      </c>
      <c r="AB172" s="19">
        <v>1</v>
      </c>
      <c r="AC172" s="43" t="b">
        <v>0</v>
      </c>
      <c r="AD172" s="4" t="b">
        <v>0</v>
      </c>
      <c r="AF172" s="44">
        <v>3</v>
      </c>
      <c r="AG172" s="45"/>
      <c r="AH172" s="45"/>
    </row>
    <row r="173" spans="1:34" s="4" customFormat="1" x14ac:dyDescent="0.25">
      <c r="A173" s="19">
        <v>11304</v>
      </c>
      <c r="B173" s="19" t="s">
        <v>407</v>
      </c>
      <c r="C173" s="19" t="s">
        <v>395</v>
      </c>
      <c r="D173" s="19" t="s">
        <v>396</v>
      </c>
      <c r="E173" s="19" t="s">
        <v>397</v>
      </c>
      <c r="F173" s="19" t="s">
        <v>398</v>
      </c>
      <c r="G173" s="19">
        <v>1</v>
      </c>
      <c r="H173" s="19">
        <v>3</v>
      </c>
      <c r="I173" s="19">
        <v>1</v>
      </c>
      <c r="J173" s="19">
        <v>4</v>
      </c>
      <c r="K173" s="19">
        <v>159342</v>
      </c>
      <c r="L173" s="19">
        <v>21600</v>
      </c>
      <c r="M173" s="19">
        <v>1004</v>
      </c>
      <c r="N173" s="19" t="s">
        <v>203</v>
      </c>
      <c r="O173" s="42" t="s">
        <v>204</v>
      </c>
      <c r="P173" s="42" t="s">
        <v>408</v>
      </c>
      <c r="Q173" s="19">
        <v>1000054</v>
      </c>
      <c r="R173" s="19">
        <v>1000129</v>
      </c>
      <c r="S173" s="19" t="s">
        <v>206</v>
      </c>
      <c r="T173" s="19">
        <v>1</v>
      </c>
      <c r="U173" s="19" t="s">
        <v>400</v>
      </c>
      <c r="V173" s="19" t="s">
        <v>401</v>
      </c>
      <c r="W173" s="19" t="s">
        <v>402</v>
      </c>
      <c r="X173" s="19">
        <v>5</v>
      </c>
      <c r="Y173" s="19" t="s">
        <v>225</v>
      </c>
      <c r="Z173" s="19" t="s">
        <v>226</v>
      </c>
      <c r="AA173" s="19" t="s">
        <v>227</v>
      </c>
      <c r="AB173" s="19">
        <v>1</v>
      </c>
      <c r="AC173" s="43" t="b">
        <v>0</v>
      </c>
      <c r="AD173" s="4" t="b">
        <v>0</v>
      </c>
      <c r="AF173" s="44">
        <v>3</v>
      </c>
      <c r="AG173" s="45"/>
      <c r="AH173" s="45"/>
    </row>
    <row r="174" spans="1:34" s="4" customFormat="1" x14ac:dyDescent="0.25">
      <c r="A174" s="19">
        <v>11305</v>
      </c>
      <c r="B174" s="19" t="s">
        <v>409</v>
      </c>
      <c r="C174" s="19" t="s">
        <v>395</v>
      </c>
      <c r="D174" s="19" t="s">
        <v>396</v>
      </c>
      <c r="E174" s="19" t="s">
        <v>397</v>
      </c>
      <c r="F174" s="19" t="s">
        <v>398</v>
      </c>
      <c r="G174" s="19">
        <v>1</v>
      </c>
      <c r="H174" s="19">
        <v>3</v>
      </c>
      <c r="I174" s="19">
        <v>1</v>
      </c>
      <c r="J174" s="19">
        <v>5</v>
      </c>
      <c r="K174" s="19">
        <v>230407</v>
      </c>
      <c r="L174" s="19">
        <v>21600</v>
      </c>
      <c r="M174" s="19">
        <v>1005</v>
      </c>
      <c r="N174" s="19" t="s">
        <v>203</v>
      </c>
      <c r="O174" s="42" t="s">
        <v>204</v>
      </c>
      <c r="P174" s="42" t="s">
        <v>410</v>
      </c>
      <c r="Q174" s="19">
        <v>1000055</v>
      </c>
      <c r="R174" s="19">
        <v>1000130</v>
      </c>
      <c r="S174" s="19" t="s">
        <v>206</v>
      </c>
      <c r="T174" s="19">
        <v>1</v>
      </c>
      <c r="U174" s="19" t="s">
        <v>400</v>
      </c>
      <c r="V174" s="19" t="s">
        <v>401</v>
      </c>
      <c r="W174" s="19" t="s">
        <v>402</v>
      </c>
      <c r="X174" s="19">
        <v>5</v>
      </c>
      <c r="Y174" s="19" t="s">
        <v>230</v>
      </c>
      <c r="Z174" s="19" t="s">
        <v>231</v>
      </c>
      <c r="AA174" s="19" t="s">
        <v>232</v>
      </c>
      <c r="AB174" s="19">
        <v>1</v>
      </c>
      <c r="AC174" s="43" t="b">
        <v>0</v>
      </c>
      <c r="AD174" s="4" t="b">
        <v>0</v>
      </c>
      <c r="AF174" s="44">
        <v>3</v>
      </c>
      <c r="AG174" s="45"/>
      <c r="AH174" s="45"/>
    </row>
    <row r="175" spans="1:34" s="4" customFormat="1" x14ac:dyDescent="0.25">
      <c r="A175" s="19">
        <v>11306</v>
      </c>
      <c r="B175" s="19" t="s">
        <v>411</v>
      </c>
      <c r="C175" s="19" t="s">
        <v>395</v>
      </c>
      <c r="D175" s="19" t="s">
        <v>396</v>
      </c>
      <c r="E175" s="19" t="s">
        <v>397</v>
      </c>
      <c r="F175" s="19" t="s">
        <v>398</v>
      </c>
      <c r="G175" s="19">
        <v>1</v>
      </c>
      <c r="H175" s="19">
        <v>3</v>
      </c>
      <c r="I175" s="19">
        <v>1</v>
      </c>
      <c r="J175" s="19">
        <v>6</v>
      </c>
      <c r="K175" s="19">
        <v>313424</v>
      </c>
      <c r="L175" s="19">
        <v>21600</v>
      </c>
      <c r="M175" s="19">
        <v>1006</v>
      </c>
      <c r="N175" s="19" t="s">
        <v>203</v>
      </c>
      <c r="O175" s="42" t="s">
        <v>204</v>
      </c>
      <c r="P175" s="42" t="s">
        <v>412</v>
      </c>
      <c r="Q175" s="19">
        <v>1000056</v>
      </c>
      <c r="R175" s="19">
        <v>1000131</v>
      </c>
      <c r="S175" s="19" t="s">
        <v>206</v>
      </c>
      <c r="T175" s="19">
        <v>1</v>
      </c>
      <c r="U175" s="19" t="s">
        <v>400</v>
      </c>
      <c r="V175" s="19" t="s">
        <v>401</v>
      </c>
      <c r="W175" s="19" t="s">
        <v>413</v>
      </c>
      <c r="X175" s="19">
        <v>10</v>
      </c>
      <c r="Y175" s="19" t="s">
        <v>236</v>
      </c>
      <c r="Z175" s="19" t="s">
        <v>237</v>
      </c>
      <c r="AA175" s="19" t="s">
        <v>238</v>
      </c>
      <c r="AB175" s="19">
        <v>1</v>
      </c>
      <c r="AC175" s="43" t="b">
        <v>0</v>
      </c>
      <c r="AD175" s="4" t="b">
        <v>0</v>
      </c>
      <c r="AF175" s="44">
        <v>3</v>
      </c>
      <c r="AG175" s="45"/>
      <c r="AH175" s="45"/>
    </row>
    <row r="176" spans="1:34" s="4" customFormat="1" x14ac:dyDescent="0.25">
      <c r="A176" s="19">
        <v>11307</v>
      </c>
      <c r="B176" s="19" t="s">
        <v>414</v>
      </c>
      <c r="C176" s="19" t="s">
        <v>395</v>
      </c>
      <c r="D176" s="19" t="s">
        <v>396</v>
      </c>
      <c r="E176" s="19" t="s">
        <v>397</v>
      </c>
      <c r="F176" s="19" t="s">
        <v>398</v>
      </c>
      <c r="G176" s="19">
        <v>1</v>
      </c>
      <c r="H176" s="19">
        <v>3</v>
      </c>
      <c r="I176" s="19">
        <v>1</v>
      </c>
      <c r="J176" s="19">
        <v>7</v>
      </c>
      <c r="K176" s="19">
        <v>417993</v>
      </c>
      <c r="L176" s="19">
        <v>21600</v>
      </c>
      <c r="M176" s="19">
        <v>1007</v>
      </c>
      <c r="N176" s="19" t="s">
        <v>203</v>
      </c>
      <c r="O176" s="42" t="s">
        <v>204</v>
      </c>
      <c r="P176" s="42" t="s">
        <v>415</v>
      </c>
      <c r="Q176" s="19">
        <v>1000057</v>
      </c>
      <c r="R176" s="19">
        <v>1000132</v>
      </c>
      <c r="S176" s="19" t="s">
        <v>206</v>
      </c>
      <c r="T176" s="19">
        <v>1</v>
      </c>
      <c r="U176" s="19" t="s">
        <v>400</v>
      </c>
      <c r="V176" s="19" t="s">
        <v>401</v>
      </c>
      <c r="W176" s="19" t="s">
        <v>413</v>
      </c>
      <c r="X176" s="19">
        <v>10</v>
      </c>
      <c r="Y176" s="19" t="s">
        <v>241</v>
      </c>
      <c r="Z176" s="19" t="s">
        <v>242</v>
      </c>
      <c r="AA176" s="19" t="s">
        <v>243</v>
      </c>
      <c r="AB176" s="19">
        <v>1</v>
      </c>
      <c r="AC176" s="43" t="b">
        <v>0</v>
      </c>
      <c r="AD176" s="4" t="b">
        <v>0</v>
      </c>
      <c r="AF176" s="44">
        <v>3</v>
      </c>
      <c r="AG176" s="45"/>
      <c r="AH176" s="45"/>
    </row>
    <row r="177" spans="1:34" s="4" customFormat="1" x14ac:dyDescent="0.25">
      <c r="A177" s="19">
        <v>11308</v>
      </c>
      <c r="B177" s="19" t="s">
        <v>416</v>
      </c>
      <c r="C177" s="19" t="s">
        <v>395</v>
      </c>
      <c r="D177" s="19" t="s">
        <v>396</v>
      </c>
      <c r="E177" s="19" t="s">
        <v>397</v>
      </c>
      <c r="F177" s="19" t="s">
        <v>398</v>
      </c>
      <c r="G177" s="19">
        <v>1</v>
      </c>
      <c r="H177" s="19">
        <v>3</v>
      </c>
      <c r="I177" s="19">
        <v>1</v>
      </c>
      <c r="J177" s="19">
        <v>8</v>
      </c>
      <c r="K177" s="19">
        <v>585512</v>
      </c>
      <c r="L177" s="19">
        <v>21600</v>
      </c>
      <c r="M177" s="19">
        <v>1008</v>
      </c>
      <c r="N177" s="19" t="s">
        <v>203</v>
      </c>
      <c r="O177" s="42" t="s">
        <v>204</v>
      </c>
      <c r="P177" s="42" t="s">
        <v>417</v>
      </c>
      <c r="Q177" s="19">
        <v>1000058</v>
      </c>
      <c r="R177" s="19">
        <v>1000133</v>
      </c>
      <c r="S177" s="19" t="s">
        <v>206</v>
      </c>
      <c r="T177" s="19">
        <v>1</v>
      </c>
      <c r="U177" s="19" t="s">
        <v>400</v>
      </c>
      <c r="V177" s="19" t="s">
        <v>401</v>
      </c>
      <c r="W177" s="19" t="s">
        <v>413</v>
      </c>
      <c r="X177" s="19">
        <v>10</v>
      </c>
      <c r="Y177" s="19" t="s">
        <v>246</v>
      </c>
      <c r="Z177" s="19" t="s">
        <v>247</v>
      </c>
      <c r="AA177" s="19" t="s">
        <v>248</v>
      </c>
      <c r="AB177" s="19">
        <v>1</v>
      </c>
      <c r="AC177" s="43" t="b">
        <v>0</v>
      </c>
      <c r="AD177" s="4" t="b">
        <v>0</v>
      </c>
      <c r="AF177" s="44">
        <v>3</v>
      </c>
      <c r="AG177" s="45"/>
      <c r="AH177" s="45"/>
    </row>
    <row r="178" spans="1:34" s="4" customFormat="1" x14ac:dyDescent="0.25">
      <c r="A178" s="19">
        <v>11309</v>
      </c>
      <c r="B178" s="19" t="s">
        <v>418</v>
      </c>
      <c r="C178" s="19" t="s">
        <v>395</v>
      </c>
      <c r="D178" s="19" t="s">
        <v>396</v>
      </c>
      <c r="E178" s="19" t="s">
        <v>397</v>
      </c>
      <c r="F178" s="19" t="s">
        <v>398</v>
      </c>
      <c r="G178" s="19">
        <v>1</v>
      </c>
      <c r="H178" s="19">
        <v>3</v>
      </c>
      <c r="I178" s="19">
        <v>1</v>
      </c>
      <c r="J178" s="19">
        <v>9</v>
      </c>
      <c r="K178" s="19">
        <v>673582</v>
      </c>
      <c r="L178" s="19">
        <v>21600</v>
      </c>
      <c r="M178" s="19">
        <v>1009</v>
      </c>
      <c r="N178" s="19" t="s">
        <v>203</v>
      </c>
      <c r="O178" s="42" t="s">
        <v>204</v>
      </c>
      <c r="P178" s="42" t="s">
        <v>419</v>
      </c>
      <c r="Q178" s="19">
        <v>1000059</v>
      </c>
      <c r="R178" s="19">
        <v>1000134</v>
      </c>
      <c r="S178" s="19" t="s">
        <v>206</v>
      </c>
      <c r="T178" s="19">
        <v>1</v>
      </c>
      <c r="U178" s="19" t="s">
        <v>400</v>
      </c>
      <c r="V178" s="19" t="s">
        <v>401</v>
      </c>
      <c r="W178" s="19" t="s">
        <v>413</v>
      </c>
      <c r="X178" s="19">
        <v>10</v>
      </c>
      <c r="Y178" s="19" t="s">
        <v>251</v>
      </c>
      <c r="Z178" s="19" t="s">
        <v>252</v>
      </c>
      <c r="AA178" s="19" t="s">
        <v>253</v>
      </c>
      <c r="AB178" s="19">
        <v>1</v>
      </c>
      <c r="AC178" s="43" t="b">
        <v>0</v>
      </c>
      <c r="AD178" s="4" t="b">
        <v>0</v>
      </c>
      <c r="AF178" s="44">
        <v>3</v>
      </c>
      <c r="AG178" s="45"/>
      <c r="AH178" s="45"/>
    </row>
    <row r="179" spans="1:34" s="4" customFormat="1" x14ac:dyDescent="0.25">
      <c r="A179" s="19">
        <v>11310</v>
      </c>
      <c r="B179" s="19" t="s">
        <v>420</v>
      </c>
      <c r="C179" s="19" t="s">
        <v>395</v>
      </c>
      <c r="D179" s="19" t="s">
        <v>396</v>
      </c>
      <c r="E179" s="19" t="s">
        <v>397</v>
      </c>
      <c r="F179" s="19" t="s">
        <v>398</v>
      </c>
      <c r="G179" s="19">
        <v>1</v>
      </c>
      <c r="H179" s="19">
        <v>3</v>
      </c>
      <c r="I179" s="19">
        <v>1</v>
      </c>
      <c r="J179" s="19">
        <v>10</v>
      </c>
      <c r="K179" s="19">
        <v>760707</v>
      </c>
      <c r="L179" s="19">
        <v>21600</v>
      </c>
      <c r="M179" s="19">
        <v>1010</v>
      </c>
      <c r="N179" s="19" t="s">
        <v>203</v>
      </c>
      <c r="O179" s="42" t="s">
        <v>204</v>
      </c>
      <c r="P179" s="42" t="s">
        <v>421</v>
      </c>
      <c r="Q179" s="19">
        <v>1000060</v>
      </c>
      <c r="R179" s="19">
        <v>1000135</v>
      </c>
      <c r="S179" s="19" t="s">
        <v>206</v>
      </c>
      <c r="T179" s="19">
        <v>1</v>
      </c>
      <c r="U179" s="19" t="s">
        <v>400</v>
      </c>
      <c r="V179" s="19" t="s">
        <v>401</v>
      </c>
      <c r="W179" s="19" t="s">
        <v>413</v>
      </c>
      <c r="X179" s="19">
        <v>10</v>
      </c>
      <c r="Y179" s="19" t="s">
        <v>256</v>
      </c>
      <c r="Z179" s="19" t="s">
        <v>257</v>
      </c>
      <c r="AA179" s="19" t="s">
        <v>258</v>
      </c>
      <c r="AB179" s="19">
        <v>1</v>
      </c>
      <c r="AC179" s="43" t="b">
        <v>0</v>
      </c>
      <c r="AD179" s="4" t="b">
        <v>0</v>
      </c>
      <c r="AF179" s="44">
        <v>3</v>
      </c>
      <c r="AG179" s="45"/>
      <c r="AH179" s="45"/>
    </row>
    <row r="180" spans="1:34" s="4" customFormat="1" x14ac:dyDescent="0.25">
      <c r="A180" s="19">
        <v>11311</v>
      </c>
      <c r="B180" s="19" t="s">
        <v>422</v>
      </c>
      <c r="C180" s="19" t="s">
        <v>395</v>
      </c>
      <c r="D180" s="19" t="s">
        <v>396</v>
      </c>
      <c r="E180" s="19" t="s">
        <v>397</v>
      </c>
      <c r="F180" s="19" t="s">
        <v>398</v>
      </c>
      <c r="G180" s="19">
        <v>1</v>
      </c>
      <c r="H180" s="19">
        <v>3</v>
      </c>
      <c r="I180" s="19">
        <v>1</v>
      </c>
      <c r="J180" s="19">
        <v>11</v>
      </c>
      <c r="K180" s="19">
        <v>875115</v>
      </c>
      <c r="L180" s="19">
        <v>21600</v>
      </c>
      <c r="M180" s="19">
        <v>1011</v>
      </c>
      <c r="N180" s="19" t="s">
        <v>203</v>
      </c>
      <c r="O180" s="42" t="s">
        <v>204</v>
      </c>
      <c r="P180" s="42" t="s">
        <v>423</v>
      </c>
      <c r="Q180" s="19">
        <v>1000061</v>
      </c>
      <c r="R180" s="19">
        <v>1000136</v>
      </c>
      <c r="S180" s="19" t="s">
        <v>206</v>
      </c>
      <c r="T180" s="19">
        <v>1</v>
      </c>
      <c r="U180" s="19" t="s">
        <v>400</v>
      </c>
      <c r="V180" s="19" t="s">
        <v>401</v>
      </c>
      <c r="W180" s="19" t="s">
        <v>413</v>
      </c>
      <c r="X180" s="19">
        <v>15</v>
      </c>
      <c r="Y180" s="19" t="s">
        <v>261</v>
      </c>
      <c r="Z180" s="19" t="s">
        <v>262</v>
      </c>
      <c r="AA180" s="19" t="s">
        <v>263</v>
      </c>
      <c r="AB180" s="19">
        <v>1</v>
      </c>
      <c r="AC180" s="43" t="b">
        <v>0</v>
      </c>
      <c r="AD180" s="4" t="b">
        <v>0</v>
      </c>
      <c r="AF180" s="44">
        <v>3</v>
      </c>
      <c r="AG180" s="45"/>
      <c r="AH180" s="45"/>
    </row>
    <row r="181" spans="1:34" s="4" customFormat="1" x14ac:dyDescent="0.25">
      <c r="A181" s="19">
        <v>11312</v>
      </c>
      <c r="B181" s="19" t="s">
        <v>424</v>
      </c>
      <c r="C181" s="19" t="s">
        <v>395</v>
      </c>
      <c r="D181" s="19" t="s">
        <v>396</v>
      </c>
      <c r="E181" s="19" t="s">
        <v>397</v>
      </c>
      <c r="F181" s="19" t="s">
        <v>398</v>
      </c>
      <c r="G181" s="19">
        <v>1</v>
      </c>
      <c r="H181" s="19">
        <v>3</v>
      </c>
      <c r="I181" s="19">
        <v>1</v>
      </c>
      <c r="J181" s="19">
        <v>12</v>
      </c>
      <c r="K181" s="19">
        <v>1052219</v>
      </c>
      <c r="L181" s="19">
        <v>21600</v>
      </c>
      <c r="M181" s="19">
        <v>1012</v>
      </c>
      <c r="N181" s="19" t="s">
        <v>203</v>
      </c>
      <c r="O181" s="42" t="s">
        <v>204</v>
      </c>
      <c r="P181" s="42" t="s">
        <v>425</v>
      </c>
      <c r="Q181" s="19">
        <v>1000062</v>
      </c>
      <c r="R181" s="19">
        <v>1000137</v>
      </c>
      <c r="S181" s="19" t="s">
        <v>206</v>
      </c>
      <c r="T181" s="19">
        <v>1</v>
      </c>
      <c r="U181" s="19" t="s">
        <v>400</v>
      </c>
      <c r="V181" s="19" t="s">
        <v>401</v>
      </c>
      <c r="W181" s="19" t="s">
        <v>413</v>
      </c>
      <c r="X181" s="19">
        <v>15</v>
      </c>
      <c r="Y181" s="19" t="s">
        <v>266</v>
      </c>
      <c r="Z181" s="19" t="s">
        <v>267</v>
      </c>
      <c r="AA181" s="19" t="s">
        <v>268</v>
      </c>
      <c r="AB181" s="19">
        <v>1</v>
      </c>
      <c r="AC181" s="43" t="b">
        <v>0</v>
      </c>
      <c r="AD181" s="4" t="b">
        <v>0</v>
      </c>
      <c r="AF181" s="44">
        <v>3</v>
      </c>
      <c r="AG181" s="45"/>
      <c r="AH181" s="45"/>
    </row>
    <row r="182" spans="1:34" s="4" customFormat="1" x14ac:dyDescent="0.25">
      <c r="A182" s="19">
        <v>11313</v>
      </c>
      <c r="B182" s="19" t="s">
        <v>426</v>
      </c>
      <c r="C182" s="19" t="s">
        <v>395</v>
      </c>
      <c r="D182" s="19" t="s">
        <v>396</v>
      </c>
      <c r="E182" s="19" t="s">
        <v>397</v>
      </c>
      <c r="F182" s="19" t="s">
        <v>398</v>
      </c>
      <c r="G182" s="19">
        <v>1</v>
      </c>
      <c r="H182" s="19">
        <v>3</v>
      </c>
      <c r="I182" s="19">
        <v>1</v>
      </c>
      <c r="J182" s="19">
        <v>13</v>
      </c>
      <c r="K182" s="19">
        <v>1569989</v>
      </c>
      <c r="L182" s="19">
        <v>21600</v>
      </c>
      <c r="M182" s="19">
        <v>1013</v>
      </c>
      <c r="N182" s="19" t="s">
        <v>203</v>
      </c>
      <c r="O182" s="42" t="s">
        <v>204</v>
      </c>
      <c r="P182" s="42" t="s">
        <v>427</v>
      </c>
      <c r="Q182" s="19">
        <v>1000063</v>
      </c>
      <c r="R182" s="19">
        <v>1000138</v>
      </c>
      <c r="S182" s="19" t="s">
        <v>206</v>
      </c>
      <c r="T182" s="19">
        <v>1</v>
      </c>
      <c r="U182" s="19" t="s">
        <v>400</v>
      </c>
      <c r="V182" s="19" t="s">
        <v>401</v>
      </c>
      <c r="W182" s="19" t="s">
        <v>413</v>
      </c>
      <c r="X182" s="19">
        <v>15</v>
      </c>
      <c r="Y182" s="19" t="s">
        <v>271</v>
      </c>
      <c r="Z182" s="19" t="s">
        <v>272</v>
      </c>
      <c r="AA182" s="19" t="s">
        <v>273</v>
      </c>
      <c r="AB182" s="19">
        <v>1</v>
      </c>
      <c r="AC182" s="43" t="b">
        <v>0</v>
      </c>
      <c r="AD182" s="4" t="b">
        <v>0</v>
      </c>
      <c r="AF182" s="44">
        <v>3</v>
      </c>
      <c r="AG182" s="45"/>
      <c r="AH182" s="45"/>
    </row>
    <row r="183" spans="1:34" s="4" customFormat="1" x14ac:dyDescent="0.25">
      <c r="A183" s="19">
        <v>11314</v>
      </c>
      <c r="B183" s="19" t="s">
        <v>428</v>
      </c>
      <c r="C183" s="19" t="s">
        <v>395</v>
      </c>
      <c r="D183" s="19" t="s">
        <v>396</v>
      </c>
      <c r="E183" s="19" t="s">
        <v>397</v>
      </c>
      <c r="F183" s="19" t="s">
        <v>398</v>
      </c>
      <c r="G183" s="19">
        <v>1</v>
      </c>
      <c r="H183" s="19">
        <v>3</v>
      </c>
      <c r="I183" s="19">
        <v>1</v>
      </c>
      <c r="J183" s="19">
        <v>14</v>
      </c>
      <c r="K183" s="19">
        <v>1951593</v>
      </c>
      <c r="L183" s="19">
        <v>21600</v>
      </c>
      <c r="M183" s="19">
        <v>1014</v>
      </c>
      <c r="N183" s="19" t="s">
        <v>203</v>
      </c>
      <c r="O183" s="42" t="s">
        <v>204</v>
      </c>
      <c r="P183" s="42" t="s">
        <v>429</v>
      </c>
      <c r="Q183" s="19">
        <v>1000064</v>
      </c>
      <c r="R183" s="19">
        <v>1000139</v>
      </c>
      <c r="S183" s="19" t="s">
        <v>206</v>
      </c>
      <c r="T183" s="19">
        <v>1</v>
      </c>
      <c r="U183" s="19" t="s">
        <v>400</v>
      </c>
      <c r="V183" s="19" t="s">
        <v>401</v>
      </c>
      <c r="W183" s="19" t="s">
        <v>413</v>
      </c>
      <c r="X183" s="19">
        <v>15</v>
      </c>
      <c r="Y183" s="19" t="s">
        <v>276</v>
      </c>
      <c r="Z183" s="19" t="s">
        <v>370</v>
      </c>
      <c r="AA183" s="19" t="s">
        <v>277</v>
      </c>
      <c r="AB183" s="19">
        <v>1</v>
      </c>
      <c r="AC183" s="43" t="b">
        <v>0</v>
      </c>
      <c r="AD183" s="4" t="b">
        <v>0</v>
      </c>
      <c r="AF183" s="44">
        <v>3</v>
      </c>
      <c r="AG183" s="45"/>
      <c r="AH183" s="45"/>
    </row>
    <row r="184" spans="1:34" s="4" customFormat="1" x14ac:dyDescent="0.25">
      <c r="A184" s="19">
        <v>11315</v>
      </c>
      <c r="B184" s="19" t="s">
        <v>430</v>
      </c>
      <c r="C184" s="19" t="s">
        <v>395</v>
      </c>
      <c r="D184" s="19" t="s">
        <v>396</v>
      </c>
      <c r="E184" s="19" t="s">
        <v>397</v>
      </c>
      <c r="F184" s="19" t="s">
        <v>398</v>
      </c>
      <c r="G184" s="19">
        <v>1</v>
      </c>
      <c r="H184" s="19">
        <v>3</v>
      </c>
      <c r="I184" s="19">
        <v>1</v>
      </c>
      <c r="J184" s="19">
        <v>15</v>
      </c>
      <c r="K184" s="19">
        <v>2222839</v>
      </c>
      <c r="L184" s="19">
        <v>21600</v>
      </c>
      <c r="M184" s="19">
        <v>1015</v>
      </c>
      <c r="N184" s="19" t="s">
        <v>203</v>
      </c>
      <c r="O184" s="42" t="s">
        <v>204</v>
      </c>
      <c r="P184" s="42" t="s">
        <v>431</v>
      </c>
      <c r="Q184" s="19">
        <v>1000065</v>
      </c>
      <c r="R184" s="19">
        <v>1000140</v>
      </c>
      <c r="S184" s="19" t="s">
        <v>206</v>
      </c>
      <c r="T184" s="19">
        <v>1</v>
      </c>
      <c r="U184" s="19" t="s">
        <v>400</v>
      </c>
      <c r="V184" s="19" t="s">
        <v>401</v>
      </c>
      <c r="W184" s="19" t="s">
        <v>413</v>
      </c>
      <c r="X184" s="19">
        <v>15</v>
      </c>
      <c r="Y184" s="19" t="s">
        <v>280</v>
      </c>
      <c r="Z184" s="19" t="s">
        <v>281</v>
      </c>
      <c r="AA184" s="19" t="s">
        <v>282</v>
      </c>
      <c r="AB184" s="19">
        <v>1</v>
      </c>
      <c r="AC184" s="43" t="b">
        <v>0</v>
      </c>
      <c r="AD184" s="4" t="b">
        <v>0</v>
      </c>
      <c r="AF184" s="44">
        <v>3</v>
      </c>
      <c r="AG184" s="45"/>
      <c r="AH184" s="45"/>
    </row>
    <row r="185" spans="1:34" s="4" customFormat="1" x14ac:dyDescent="0.25">
      <c r="A185" s="19">
        <v>11316</v>
      </c>
      <c r="B185" s="19" t="s">
        <v>432</v>
      </c>
      <c r="C185" s="19" t="s">
        <v>395</v>
      </c>
      <c r="D185" s="19" t="s">
        <v>396</v>
      </c>
      <c r="E185" s="19" t="s">
        <v>397</v>
      </c>
      <c r="F185" s="19" t="s">
        <v>398</v>
      </c>
      <c r="G185" s="19">
        <v>1</v>
      </c>
      <c r="H185" s="19">
        <v>3</v>
      </c>
      <c r="I185" s="19">
        <v>1</v>
      </c>
      <c r="J185" s="19">
        <v>16</v>
      </c>
      <c r="K185" s="19">
        <v>2681701</v>
      </c>
      <c r="L185" s="19">
        <v>21600</v>
      </c>
      <c r="M185" s="19">
        <v>1016</v>
      </c>
      <c r="N185" s="19" t="s">
        <v>203</v>
      </c>
      <c r="O185" s="42" t="s">
        <v>204</v>
      </c>
      <c r="P185" s="42" t="s">
        <v>433</v>
      </c>
      <c r="Q185" s="19">
        <v>1000066</v>
      </c>
      <c r="R185" s="19">
        <v>1000141</v>
      </c>
      <c r="S185" s="19" t="s">
        <v>206</v>
      </c>
      <c r="T185" s="19">
        <v>1</v>
      </c>
      <c r="U185" s="19" t="s">
        <v>400</v>
      </c>
      <c r="V185" s="19" t="s">
        <v>401</v>
      </c>
      <c r="W185" s="19" t="s">
        <v>434</v>
      </c>
      <c r="X185" s="19">
        <v>20</v>
      </c>
      <c r="Y185" s="19" t="s">
        <v>286</v>
      </c>
      <c r="Z185" s="19" t="s">
        <v>287</v>
      </c>
      <c r="AA185" s="19" t="s">
        <v>288</v>
      </c>
      <c r="AB185" s="19">
        <v>1</v>
      </c>
      <c r="AC185" s="43" t="b">
        <v>0</v>
      </c>
      <c r="AD185" s="4" t="b">
        <v>0</v>
      </c>
      <c r="AF185" s="44">
        <v>3</v>
      </c>
      <c r="AG185" s="45"/>
      <c r="AH185" s="45"/>
    </row>
    <row r="186" spans="1:34" s="4" customFormat="1" x14ac:dyDescent="0.25">
      <c r="A186" s="19">
        <v>11317</v>
      </c>
      <c r="B186" s="19" t="s">
        <v>435</v>
      </c>
      <c r="C186" s="19" t="s">
        <v>395</v>
      </c>
      <c r="D186" s="19" t="s">
        <v>396</v>
      </c>
      <c r="E186" s="19" t="s">
        <v>397</v>
      </c>
      <c r="F186" s="19" t="s">
        <v>398</v>
      </c>
      <c r="G186" s="19">
        <v>1</v>
      </c>
      <c r="H186" s="19">
        <v>3</v>
      </c>
      <c r="I186" s="19">
        <v>1</v>
      </c>
      <c r="J186" s="19">
        <v>17</v>
      </c>
      <c r="K186" s="19">
        <v>3503640</v>
      </c>
      <c r="L186" s="19">
        <v>21600</v>
      </c>
      <c r="M186" s="19">
        <v>1017</v>
      </c>
      <c r="N186" s="19" t="s">
        <v>203</v>
      </c>
      <c r="O186" s="42" t="s">
        <v>204</v>
      </c>
      <c r="P186" s="42" t="s">
        <v>436</v>
      </c>
      <c r="Q186" s="19">
        <v>1000067</v>
      </c>
      <c r="R186" s="19">
        <v>1000142</v>
      </c>
      <c r="S186" s="19" t="s">
        <v>206</v>
      </c>
      <c r="T186" s="19">
        <v>1</v>
      </c>
      <c r="U186" s="19" t="s">
        <v>400</v>
      </c>
      <c r="V186" s="19" t="s">
        <v>401</v>
      </c>
      <c r="W186" s="19" t="s">
        <v>434</v>
      </c>
      <c r="X186" s="19">
        <v>20</v>
      </c>
      <c r="Y186" s="19" t="s">
        <v>291</v>
      </c>
      <c r="Z186" s="19" t="s">
        <v>292</v>
      </c>
      <c r="AA186" s="19" t="s">
        <v>293</v>
      </c>
      <c r="AB186" s="19">
        <v>1</v>
      </c>
      <c r="AC186" s="43" t="b">
        <v>0</v>
      </c>
      <c r="AD186" s="4" t="b">
        <v>0</v>
      </c>
      <c r="AF186" s="44">
        <v>3</v>
      </c>
      <c r="AG186" s="45"/>
      <c r="AH186" s="45"/>
    </row>
    <row r="187" spans="1:34" s="4" customFormat="1" x14ac:dyDescent="0.25">
      <c r="A187" s="19">
        <v>11318</v>
      </c>
      <c r="B187" s="19" t="s">
        <v>437</v>
      </c>
      <c r="C187" s="19" t="s">
        <v>395</v>
      </c>
      <c r="D187" s="19" t="s">
        <v>396</v>
      </c>
      <c r="E187" s="19" t="s">
        <v>397</v>
      </c>
      <c r="F187" s="19" t="s">
        <v>398</v>
      </c>
      <c r="G187" s="19">
        <v>1</v>
      </c>
      <c r="H187" s="19">
        <v>3</v>
      </c>
      <c r="I187" s="19">
        <v>1</v>
      </c>
      <c r="J187" s="19">
        <v>18</v>
      </c>
      <c r="K187" s="19">
        <v>4146426</v>
      </c>
      <c r="L187" s="19">
        <v>21600</v>
      </c>
      <c r="M187" s="19">
        <v>1018</v>
      </c>
      <c r="N187" s="19" t="s">
        <v>203</v>
      </c>
      <c r="O187" s="42" t="s">
        <v>204</v>
      </c>
      <c r="P187" s="42" t="s">
        <v>438</v>
      </c>
      <c r="Q187" s="19">
        <v>1000068</v>
      </c>
      <c r="R187" s="19">
        <v>1000143</v>
      </c>
      <c r="S187" s="19" t="s">
        <v>206</v>
      </c>
      <c r="T187" s="19">
        <v>1</v>
      </c>
      <c r="U187" s="19" t="s">
        <v>400</v>
      </c>
      <c r="V187" s="19" t="s">
        <v>401</v>
      </c>
      <c r="W187" s="19" t="s">
        <v>434</v>
      </c>
      <c r="X187" s="19">
        <v>20</v>
      </c>
      <c r="Y187" s="19" t="s">
        <v>296</v>
      </c>
      <c r="Z187" s="19" t="s">
        <v>297</v>
      </c>
      <c r="AA187" s="19" t="s">
        <v>298</v>
      </c>
      <c r="AB187" s="19">
        <v>1</v>
      </c>
      <c r="AC187" s="43" t="b">
        <v>0</v>
      </c>
      <c r="AD187" s="4" t="b">
        <v>0</v>
      </c>
      <c r="AF187" s="44">
        <v>3</v>
      </c>
      <c r="AG187" s="45"/>
      <c r="AH187" s="45"/>
    </row>
    <row r="188" spans="1:34" s="4" customFormat="1" x14ac:dyDescent="0.25">
      <c r="A188" s="19">
        <v>11319</v>
      </c>
      <c r="B188" s="19" t="s">
        <v>439</v>
      </c>
      <c r="C188" s="19" t="s">
        <v>395</v>
      </c>
      <c r="D188" s="19" t="s">
        <v>396</v>
      </c>
      <c r="E188" s="19" t="s">
        <v>397</v>
      </c>
      <c r="F188" s="19" t="s">
        <v>398</v>
      </c>
      <c r="G188" s="19">
        <v>1</v>
      </c>
      <c r="H188" s="19">
        <v>3</v>
      </c>
      <c r="I188" s="19">
        <v>1</v>
      </c>
      <c r="J188" s="19">
        <v>19</v>
      </c>
      <c r="K188" s="19">
        <v>4890293</v>
      </c>
      <c r="L188" s="19">
        <v>21600</v>
      </c>
      <c r="M188" s="19">
        <v>1019</v>
      </c>
      <c r="N188" s="19" t="s">
        <v>203</v>
      </c>
      <c r="O188" s="42" t="s">
        <v>204</v>
      </c>
      <c r="P188" s="42" t="s">
        <v>440</v>
      </c>
      <c r="Q188" s="19">
        <v>1000069</v>
      </c>
      <c r="R188" s="19">
        <v>1000144</v>
      </c>
      <c r="S188" s="19" t="s">
        <v>206</v>
      </c>
      <c r="T188" s="19">
        <v>1</v>
      </c>
      <c r="U188" s="19" t="s">
        <v>400</v>
      </c>
      <c r="V188" s="19" t="s">
        <v>401</v>
      </c>
      <c r="W188" s="19" t="s">
        <v>434</v>
      </c>
      <c r="X188" s="19">
        <v>20</v>
      </c>
      <c r="Y188" s="19" t="s">
        <v>301</v>
      </c>
      <c r="Z188" s="19" t="s">
        <v>302</v>
      </c>
      <c r="AA188" s="19" t="s">
        <v>303</v>
      </c>
      <c r="AB188" s="19">
        <v>1</v>
      </c>
      <c r="AC188" s="43" t="b">
        <v>0</v>
      </c>
      <c r="AD188" s="4" t="b">
        <v>0</v>
      </c>
      <c r="AF188" s="44">
        <v>3</v>
      </c>
      <c r="AG188" s="45"/>
      <c r="AH188" s="45"/>
    </row>
    <row r="189" spans="1:34" s="4" customFormat="1" x14ac:dyDescent="0.25">
      <c r="A189" s="19">
        <v>11320</v>
      </c>
      <c r="B189" s="19" t="s">
        <v>441</v>
      </c>
      <c r="C189" s="19" t="s">
        <v>395</v>
      </c>
      <c r="D189" s="19" t="s">
        <v>396</v>
      </c>
      <c r="E189" s="19" t="s">
        <v>397</v>
      </c>
      <c r="F189" s="19" t="s">
        <v>398</v>
      </c>
      <c r="G189" s="19">
        <v>1</v>
      </c>
      <c r="H189" s="19">
        <v>3</v>
      </c>
      <c r="I189" s="19">
        <v>1</v>
      </c>
      <c r="J189" s="19">
        <v>20</v>
      </c>
      <c r="K189" s="19">
        <v>6493781</v>
      </c>
      <c r="L189" s="19">
        <v>21600</v>
      </c>
      <c r="M189" s="19">
        <v>1020</v>
      </c>
      <c r="N189" s="19" t="s">
        <v>203</v>
      </c>
      <c r="O189" s="42" t="s">
        <v>204</v>
      </c>
      <c r="P189" s="42" t="s">
        <v>442</v>
      </c>
      <c r="Q189" s="19">
        <v>1000070</v>
      </c>
      <c r="R189" s="19">
        <v>1000145</v>
      </c>
      <c r="S189" s="19" t="s">
        <v>206</v>
      </c>
      <c r="T189" s="19">
        <v>1</v>
      </c>
      <c r="U189" s="19" t="s">
        <v>400</v>
      </c>
      <c r="V189" s="19" t="s">
        <v>401</v>
      </c>
      <c r="W189" s="19" t="s">
        <v>434</v>
      </c>
      <c r="X189" s="19">
        <v>20</v>
      </c>
      <c r="Y189" s="19" t="s">
        <v>306</v>
      </c>
      <c r="Z189" s="19" t="s">
        <v>307</v>
      </c>
      <c r="AA189" s="19" t="s">
        <v>308</v>
      </c>
      <c r="AB189" s="19">
        <v>1</v>
      </c>
      <c r="AC189" s="43" t="b">
        <v>0</v>
      </c>
      <c r="AD189" s="4" t="b">
        <v>0</v>
      </c>
      <c r="AF189" s="44">
        <v>3</v>
      </c>
      <c r="AG189" s="45"/>
      <c r="AH189" s="45"/>
    </row>
    <row r="190" spans="1:34" s="4" customFormat="1" x14ac:dyDescent="0.25">
      <c r="A190" s="19">
        <v>11321</v>
      </c>
      <c r="B190" s="19" t="s">
        <v>443</v>
      </c>
      <c r="C190" s="19" t="s">
        <v>395</v>
      </c>
      <c r="D190" s="19" t="s">
        <v>396</v>
      </c>
      <c r="E190" s="19" t="s">
        <v>397</v>
      </c>
      <c r="F190" s="19" t="s">
        <v>398</v>
      </c>
      <c r="G190" s="19">
        <v>1</v>
      </c>
      <c r="H190" s="19">
        <v>3</v>
      </c>
      <c r="I190" s="19">
        <v>1</v>
      </c>
      <c r="J190" s="19">
        <v>21</v>
      </c>
      <c r="K190" s="19">
        <v>7135566</v>
      </c>
      <c r="L190" s="19">
        <v>21600</v>
      </c>
      <c r="M190" s="19">
        <v>1021</v>
      </c>
      <c r="N190" s="19" t="s">
        <v>203</v>
      </c>
      <c r="O190" s="42" t="s">
        <v>204</v>
      </c>
      <c r="P190" s="42" t="s">
        <v>444</v>
      </c>
      <c r="Q190" s="19">
        <v>1000071</v>
      </c>
      <c r="R190" s="19">
        <v>1000146</v>
      </c>
      <c r="S190" s="19" t="s">
        <v>206</v>
      </c>
      <c r="T190" s="19">
        <v>1</v>
      </c>
      <c r="U190" s="19" t="s">
        <v>400</v>
      </c>
      <c r="V190" s="19" t="s">
        <v>401</v>
      </c>
      <c r="W190" s="19" t="s">
        <v>434</v>
      </c>
      <c r="X190" s="19">
        <v>25</v>
      </c>
      <c r="Y190" s="19" t="s">
        <v>311</v>
      </c>
      <c r="Z190" s="19" t="s">
        <v>312</v>
      </c>
      <c r="AA190" s="19" t="s">
        <v>313</v>
      </c>
      <c r="AB190" s="19">
        <v>1</v>
      </c>
      <c r="AC190" s="43" t="b">
        <v>0</v>
      </c>
      <c r="AD190" s="4" t="b">
        <v>0</v>
      </c>
      <c r="AF190" s="44">
        <v>3</v>
      </c>
      <c r="AG190" s="45"/>
      <c r="AH190" s="45"/>
    </row>
    <row r="191" spans="1:34" s="4" customFormat="1" x14ac:dyDescent="0.25">
      <c r="A191" s="19">
        <v>11322</v>
      </c>
      <c r="B191" s="19" t="s">
        <v>445</v>
      </c>
      <c r="C191" s="19" t="s">
        <v>395</v>
      </c>
      <c r="D191" s="19" t="s">
        <v>396</v>
      </c>
      <c r="E191" s="19" t="s">
        <v>397</v>
      </c>
      <c r="F191" s="19" t="s">
        <v>398</v>
      </c>
      <c r="G191" s="19">
        <v>1</v>
      </c>
      <c r="H191" s="19">
        <v>3</v>
      </c>
      <c r="I191" s="19">
        <v>1</v>
      </c>
      <c r="J191" s="19">
        <v>22</v>
      </c>
      <c r="K191" s="19">
        <v>7777351</v>
      </c>
      <c r="L191" s="19">
        <v>21600</v>
      </c>
      <c r="M191" s="19">
        <v>1022</v>
      </c>
      <c r="N191" s="19" t="s">
        <v>203</v>
      </c>
      <c r="O191" s="42" t="s">
        <v>204</v>
      </c>
      <c r="P191" s="42" t="s">
        <v>446</v>
      </c>
      <c r="Q191" s="19">
        <v>1000072</v>
      </c>
      <c r="R191" s="19">
        <v>1000147</v>
      </c>
      <c r="S191" s="19" t="s">
        <v>206</v>
      </c>
      <c r="T191" s="19">
        <v>1</v>
      </c>
      <c r="U191" s="19" t="s">
        <v>400</v>
      </c>
      <c r="V191" s="19" t="s">
        <v>401</v>
      </c>
      <c r="W191" s="19" t="s">
        <v>434</v>
      </c>
      <c r="X191" s="19">
        <v>25</v>
      </c>
      <c r="Y191" s="19" t="s">
        <v>316</v>
      </c>
      <c r="Z191" s="19" t="s">
        <v>317</v>
      </c>
      <c r="AA191" s="19" t="s">
        <v>318</v>
      </c>
      <c r="AB191" s="19">
        <v>1</v>
      </c>
      <c r="AC191" s="43" t="b">
        <v>0</v>
      </c>
      <c r="AD191" s="4" t="b">
        <v>0</v>
      </c>
      <c r="AF191" s="44">
        <v>3</v>
      </c>
      <c r="AG191" s="45"/>
      <c r="AH191" s="45"/>
    </row>
    <row r="192" spans="1:34" s="4" customFormat="1" x14ac:dyDescent="0.25">
      <c r="A192" s="19">
        <v>11323</v>
      </c>
      <c r="B192" s="19" t="s">
        <v>447</v>
      </c>
      <c r="C192" s="19" t="s">
        <v>395</v>
      </c>
      <c r="D192" s="19" t="s">
        <v>396</v>
      </c>
      <c r="E192" s="19" t="s">
        <v>397</v>
      </c>
      <c r="F192" s="19" t="s">
        <v>398</v>
      </c>
      <c r="G192" s="19">
        <v>1</v>
      </c>
      <c r="H192" s="19">
        <v>3</v>
      </c>
      <c r="I192" s="19">
        <v>1</v>
      </c>
      <c r="J192" s="19">
        <v>23</v>
      </c>
      <c r="K192" s="19">
        <v>8419136</v>
      </c>
      <c r="L192" s="19">
        <v>21600</v>
      </c>
      <c r="M192" s="19">
        <v>1023</v>
      </c>
      <c r="N192" s="19" t="s">
        <v>203</v>
      </c>
      <c r="O192" s="42" t="s">
        <v>204</v>
      </c>
      <c r="P192" s="42" t="s">
        <v>448</v>
      </c>
      <c r="Q192" s="19">
        <v>1000073</v>
      </c>
      <c r="R192" s="19">
        <v>1000148</v>
      </c>
      <c r="S192" s="19" t="s">
        <v>206</v>
      </c>
      <c r="T192" s="19">
        <v>1</v>
      </c>
      <c r="U192" s="19" t="s">
        <v>400</v>
      </c>
      <c r="V192" s="19" t="s">
        <v>401</v>
      </c>
      <c r="W192" s="19" t="s">
        <v>434</v>
      </c>
      <c r="X192" s="19">
        <v>25</v>
      </c>
      <c r="Y192" s="19" t="s">
        <v>321</v>
      </c>
      <c r="Z192" s="19" t="s">
        <v>322</v>
      </c>
      <c r="AA192" s="19" t="s">
        <v>323</v>
      </c>
      <c r="AB192" s="19">
        <v>1</v>
      </c>
      <c r="AC192" s="43" t="b">
        <v>0</v>
      </c>
      <c r="AD192" s="4" t="b">
        <v>0</v>
      </c>
      <c r="AF192" s="44">
        <v>3</v>
      </c>
      <c r="AG192" s="45"/>
      <c r="AH192" s="45"/>
    </row>
    <row r="193" spans="1:34" s="4" customFormat="1" x14ac:dyDescent="0.25">
      <c r="A193" s="19">
        <v>11324</v>
      </c>
      <c r="B193" s="19" t="s">
        <v>449</v>
      </c>
      <c r="C193" s="19" t="s">
        <v>395</v>
      </c>
      <c r="D193" s="19" t="s">
        <v>396</v>
      </c>
      <c r="E193" s="19" t="s">
        <v>397</v>
      </c>
      <c r="F193" s="19" t="s">
        <v>398</v>
      </c>
      <c r="G193" s="19">
        <v>1</v>
      </c>
      <c r="H193" s="19">
        <v>3</v>
      </c>
      <c r="I193" s="19">
        <v>1</v>
      </c>
      <c r="J193" s="19">
        <v>24</v>
      </c>
      <c r="K193" s="19">
        <v>9060921</v>
      </c>
      <c r="L193" s="19">
        <v>21600</v>
      </c>
      <c r="M193" s="19">
        <v>1024</v>
      </c>
      <c r="N193" s="19" t="s">
        <v>203</v>
      </c>
      <c r="O193" s="42" t="s">
        <v>204</v>
      </c>
      <c r="P193" s="42" t="s">
        <v>450</v>
      </c>
      <c r="Q193" s="19">
        <v>1000074</v>
      </c>
      <c r="R193" s="19">
        <v>1000149</v>
      </c>
      <c r="S193" s="19" t="s">
        <v>206</v>
      </c>
      <c r="T193" s="19">
        <v>1</v>
      </c>
      <c r="U193" s="19" t="s">
        <v>400</v>
      </c>
      <c r="V193" s="19" t="s">
        <v>401</v>
      </c>
      <c r="W193" s="19" t="s">
        <v>434</v>
      </c>
      <c r="X193" s="19">
        <v>25</v>
      </c>
      <c r="Y193" s="19" t="s">
        <v>326</v>
      </c>
      <c r="Z193" s="19" t="s">
        <v>327</v>
      </c>
      <c r="AA193" s="19" t="s">
        <v>328</v>
      </c>
      <c r="AB193" s="19">
        <v>1</v>
      </c>
      <c r="AC193" s="43" t="b">
        <v>0</v>
      </c>
      <c r="AD193" s="4" t="b">
        <v>0</v>
      </c>
      <c r="AF193" s="44">
        <v>3</v>
      </c>
      <c r="AG193" s="45"/>
      <c r="AH193" s="45"/>
    </row>
    <row r="194" spans="1:34" s="4" customFormat="1" x14ac:dyDescent="0.25">
      <c r="A194" s="19">
        <v>11325</v>
      </c>
      <c r="B194" s="19" t="s">
        <v>451</v>
      </c>
      <c r="C194" s="19" t="s">
        <v>395</v>
      </c>
      <c r="D194" s="19" t="s">
        <v>396</v>
      </c>
      <c r="E194" s="19" t="s">
        <v>397</v>
      </c>
      <c r="F194" s="19" t="s">
        <v>398</v>
      </c>
      <c r="G194" s="19">
        <v>1</v>
      </c>
      <c r="H194" s="19">
        <v>3</v>
      </c>
      <c r="I194" s="19">
        <v>1</v>
      </c>
      <c r="J194" s="19">
        <v>25</v>
      </c>
      <c r="K194" s="19">
        <v>9702706</v>
      </c>
      <c r="L194" s="19">
        <v>21600</v>
      </c>
      <c r="M194" s="19">
        <v>1025</v>
      </c>
      <c r="N194" s="19" t="s">
        <v>203</v>
      </c>
      <c r="O194" s="42" t="s">
        <v>204</v>
      </c>
      <c r="P194" s="42" t="s">
        <v>452</v>
      </c>
      <c r="Q194" s="19">
        <v>1000075</v>
      </c>
      <c r="R194" s="19">
        <v>1000150</v>
      </c>
      <c r="S194" s="19" t="s">
        <v>206</v>
      </c>
      <c r="T194" s="19">
        <v>1</v>
      </c>
      <c r="U194" s="19" t="s">
        <v>400</v>
      </c>
      <c r="V194" s="19" t="s">
        <v>401</v>
      </c>
      <c r="W194" s="19" t="s">
        <v>434</v>
      </c>
      <c r="X194" s="19">
        <v>25</v>
      </c>
      <c r="Y194" s="19" t="s">
        <v>331</v>
      </c>
      <c r="Z194" s="19" t="s">
        <v>332</v>
      </c>
      <c r="AA194" s="19" t="s">
        <v>333</v>
      </c>
      <c r="AB194" s="19">
        <v>1</v>
      </c>
      <c r="AC194" s="43" t="b">
        <v>0</v>
      </c>
      <c r="AD194" s="4" t="b">
        <v>0</v>
      </c>
      <c r="AF194" s="44">
        <v>3</v>
      </c>
      <c r="AG194" s="45"/>
      <c r="AH194" s="45"/>
    </row>
    <row r="195" spans="1:34" s="46" customFormat="1" x14ac:dyDescent="0.25">
      <c r="A195" s="47">
        <v>15101</v>
      </c>
      <c r="B195" s="47" t="s">
        <v>453</v>
      </c>
      <c r="C195" s="47" t="s">
        <v>454</v>
      </c>
      <c r="D195" s="47" t="s">
        <v>455</v>
      </c>
      <c r="E195" s="47" t="s">
        <v>456</v>
      </c>
      <c r="F195" s="47" t="s">
        <v>457</v>
      </c>
      <c r="G195" s="47">
        <v>5</v>
      </c>
      <c r="H195" s="47">
        <v>1</v>
      </c>
      <c r="I195" s="47">
        <v>1</v>
      </c>
      <c r="J195" s="47">
        <v>1</v>
      </c>
      <c r="K195" s="47">
        <v>240</v>
      </c>
      <c r="L195" s="47">
        <v>86400</v>
      </c>
      <c r="M195" s="47">
        <v>5001</v>
      </c>
      <c r="N195" s="47" t="s">
        <v>203</v>
      </c>
      <c r="O195" s="48" t="s">
        <v>204</v>
      </c>
      <c r="P195" s="48" t="s">
        <v>458</v>
      </c>
      <c r="Q195" s="47"/>
      <c r="R195" s="47"/>
      <c r="S195" s="47"/>
      <c r="T195" s="47">
        <v>1</v>
      </c>
      <c r="U195" s="47" t="s">
        <v>459</v>
      </c>
      <c r="V195" s="47" t="s">
        <v>459</v>
      </c>
      <c r="W195" s="47" t="s">
        <v>460</v>
      </c>
      <c r="X195" s="47">
        <v>15</v>
      </c>
      <c r="Y195" s="47" t="s">
        <v>461</v>
      </c>
      <c r="Z195" s="47" t="s">
        <v>462</v>
      </c>
      <c r="AA195" s="47" t="s">
        <v>463</v>
      </c>
      <c r="AB195" s="19">
        <v>1</v>
      </c>
      <c r="AC195" s="43" t="b">
        <v>0</v>
      </c>
      <c r="AD195" s="4" t="b">
        <v>0</v>
      </c>
      <c r="AF195" s="44">
        <v>3</v>
      </c>
      <c r="AG195" s="45"/>
      <c r="AH195" s="45"/>
    </row>
    <row r="196" spans="1:34" s="46" customFormat="1" x14ac:dyDescent="0.25">
      <c r="A196" s="47">
        <v>15102</v>
      </c>
      <c r="B196" s="47" t="s">
        <v>464</v>
      </c>
      <c r="C196" s="47" t="s">
        <v>454</v>
      </c>
      <c r="D196" s="47" t="s">
        <v>455</v>
      </c>
      <c r="E196" s="47" t="s">
        <v>456</v>
      </c>
      <c r="F196" s="47" t="s">
        <v>457</v>
      </c>
      <c r="G196" s="47">
        <v>5</v>
      </c>
      <c r="H196" s="47">
        <v>1</v>
      </c>
      <c r="I196" s="47">
        <v>1</v>
      </c>
      <c r="J196" s="47">
        <v>2</v>
      </c>
      <c r="K196" s="47">
        <v>472</v>
      </c>
      <c r="L196" s="47">
        <v>86400</v>
      </c>
      <c r="M196" s="47">
        <v>5002</v>
      </c>
      <c r="N196" s="47" t="s">
        <v>203</v>
      </c>
      <c r="O196" s="48" t="s">
        <v>204</v>
      </c>
      <c r="P196" s="48" t="s">
        <v>465</v>
      </c>
      <c r="Q196" s="47"/>
      <c r="R196" s="47"/>
      <c r="S196" s="47"/>
      <c r="T196" s="47">
        <v>1</v>
      </c>
      <c r="U196" s="47" t="s">
        <v>459</v>
      </c>
      <c r="V196" s="47" t="s">
        <v>459</v>
      </c>
      <c r="W196" s="47" t="s">
        <v>460</v>
      </c>
      <c r="X196" s="47">
        <v>20</v>
      </c>
      <c r="Y196" s="47" t="s">
        <v>466</v>
      </c>
      <c r="Z196" s="47" t="s">
        <v>467</v>
      </c>
      <c r="AA196" s="47" t="s">
        <v>468</v>
      </c>
      <c r="AB196" s="19">
        <v>1</v>
      </c>
      <c r="AC196" s="43" t="b">
        <v>0</v>
      </c>
      <c r="AD196" s="4" t="b">
        <v>0</v>
      </c>
      <c r="AF196" s="44">
        <v>3</v>
      </c>
      <c r="AG196" s="45"/>
      <c r="AH196" s="45"/>
    </row>
    <row r="197" spans="1:34" s="46" customFormat="1" x14ac:dyDescent="0.25">
      <c r="A197" s="47">
        <v>15103</v>
      </c>
      <c r="B197" s="47" t="s">
        <v>469</v>
      </c>
      <c r="C197" s="47" t="s">
        <v>454</v>
      </c>
      <c r="D197" s="47" t="s">
        <v>455</v>
      </c>
      <c r="E197" s="47" t="s">
        <v>456</v>
      </c>
      <c r="F197" s="47" t="s">
        <v>457</v>
      </c>
      <c r="G197" s="47">
        <v>5</v>
      </c>
      <c r="H197" s="47">
        <v>1</v>
      </c>
      <c r="I197" s="47">
        <v>1</v>
      </c>
      <c r="J197" s="47">
        <v>3</v>
      </c>
      <c r="K197" s="47">
        <v>660</v>
      </c>
      <c r="L197" s="47">
        <v>86400</v>
      </c>
      <c r="M197" s="47">
        <v>5003</v>
      </c>
      <c r="N197" s="47" t="s">
        <v>203</v>
      </c>
      <c r="O197" s="48" t="s">
        <v>204</v>
      </c>
      <c r="P197" s="48" t="s">
        <v>470</v>
      </c>
      <c r="Q197" s="47"/>
      <c r="R197" s="47"/>
      <c r="S197" s="47"/>
      <c r="T197" s="47">
        <v>1</v>
      </c>
      <c r="U197" s="47" t="s">
        <v>459</v>
      </c>
      <c r="V197" s="47" t="s">
        <v>459</v>
      </c>
      <c r="W197" s="47" t="s">
        <v>460</v>
      </c>
      <c r="X197" s="47">
        <v>25</v>
      </c>
      <c r="Y197" s="47" t="s">
        <v>471</v>
      </c>
      <c r="Z197" s="47" t="s">
        <v>472</v>
      </c>
      <c r="AA197" s="47" t="s">
        <v>473</v>
      </c>
      <c r="AB197" s="19">
        <v>1</v>
      </c>
      <c r="AC197" s="43" t="b">
        <v>0</v>
      </c>
      <c r="AD197" s="4" t="b">
        <v>0</v>
      </c>
      <c r="AF197" s="44">
        <v>3</v>
      </c>
      <c r="AG197" s="45"/>
      <c r="AH197" s="45"/>
    </row>
    <row r="198" spans="1:34" s="46" customFormat="1" x14ac:dyDescent="0.25">
      <c r="A198" s="47">
        <v>15104</v>
      </c>
      <c r="B198" s="47" t="s">
        <v>474</v>
      </c>
      <c r="C198" s="47" t="s">
        <v>454</v>
      </c>
      <c r="D198" s="47" t="s">
        <v>455</v>
      </c>
      <c r="E198" s="47" t="s">
        <v>456</v>
      </c>
      <c r="F198" s="47" t="s">
        <v>457</v>
      </c>
      <c r="G198" s="47">
        <v>5</v>
      </c>
      <c r="H198" s="47">
        <v>1</v>
      </c>
      <c r="I198" s="47">
        <v>1</v>
      </c>
      <c r="J198" s="47">
        <v>4</v>
      </c>
      <c r="K198" s="47">
        <v>1380</v>
      </c>
      <c r="L198" s="47">
        <v>86400</v>
      </c>
      <c r="M198" s="47">
        <v>5004</v>
      </c>
      <c r="N198" s="47" t="s">
        <v>203</v>
      </c>
      <c r="O198" s="48" t="s">
        <v>204</v>
      </c>
      <c r="P198" s="48" t="s">
        <v>475</v>
      </c>
      <c r="Q198" s="47"/>
      <c r="R198" s="47"/>
      <c r="S198" s="47"/>
      <c r="T198" s="47">
        <v>1</v>
      </c>
      <c r="U198" s="47" t="s">
        <v>459</v>
      </c>
      <c r="V198" s="47" t="s">
        <v>459</v>
      </c>
      <c r="W198" s="47" t="s">
        <v>460</v>
      </c>
      <c r="X198" s="47">
        <v>30</v>
      </c>
      <c r="Y198" s="47" t="s">
        <v>476</v>
      </c>
      <c r="Z198" s="47" t="s">
        <v>477</v>
      </c>
      <c r="AA198" s="47" t="s">
        <v>478</v>
      </c>
      <c r="AB198" s="19">
        <v>1</v>
      </c>
      <c r="AC198" s="43" t="b">
        <v>0</v>
      </c>
      <c r="AD198" s="4" t="b">
        <v>0</v>
      </c>
      <c r="AF198" s="44">
        <v>3</v>
      </c>
      <c r="AG198" s="45"/>
      <c r="AH198" s="45"/>
    </row>
    <row r="199" spans="1:34" s="46" customFormat="1" x14ac:dyDescent="0.25">
      <c r="A199" s="47">
        <v>15105</v>
      </c>
      <c r="B199" s="47" t="s">
        <v>479</v>
      </c>
      <c r="C199" s="47" t="s">
        <v>454</v>
      </c>
      <c r="D199" s="47" t="s">
        <v>455</v>
      </c>
      <c r="E199" s="47" t="s">
        <v>456</v>
      </c>
      <c r="F199" s="47" t="s">
        <v>457</v>
      </c>
      <c r="G199" s="47">
        <v>5</v>
      </c>
      <c r="H199" s="47">
        <v>1</v>
      </c>
      <c r="I199" s="47">
        <v>1</v>
      </c>
      <c r="J199" s="47">
        <v>5</v>
      </c>
      <c r="K199" s="47">
        <v>2160</v>
      </c>
      <c r="L199" s="47">
        <v>86400</v>
      </c>
      <c r="M199" s="47">
        <v>5005</v>
      </c>
      <c r="N199" s="47" t="s">
        <v>203</v>
      </c>
      <c r="O199" s="48" t="s">
        <v>204</v>
      </c>
      <c r="P199" s="48" t="s">
        <v>480</v>
      </c>
      <c r="Q199" s="47"/>
      <c r="R199" s="47"/>
      <c r="S199" s="47"/>
      <c r="T199" s="47">
        <v>1</v>
      </c>
      <c r="U199" s="47" t="s">
        <v>459</v>
      </c>
      <c r="V199" s="47" t="s">
        <v>459</v>
      </c>
      <c r="W199" s="47" t="s">
        <v>460</v>
      </c>
      <c r="X199" s="47">
        <v>35</v>
      </c>
      <c r="Y199" s="47" t="s">
        <v>481</v>
      </c>
      <c r="Z199" s="47" t="s">
        <v>482</v>
      </c>
      <c r="AA199" s="47" t="s">
        <v>483</v>
      </c>
      <c r="AB199" s="19">
        <v>1</v>
      </c>
      <c r="AC199" s="43" t="b">
        <v>0</v>
      </c>
      <c r="AD199" s="4" t="b">
        <v>0</v>
      </c>
      <c r="AF199" s="44">
        <v>3</v>
      </c>
      <c r="AG199" s="45"/>
      <c r="AH199" s="45"/>
    </row>
    <row r="200" spans="1:34" s="46" customFormat="1" x14ac:dyDescent="0.25">
      <c r="A200" s="47">
        <v>15106</v>
      </c>
      <c r="B200" s="47" t="s">
        <v>484</v>
      </c>
      <c r="C200" s="47" t="s">
        <v>454</v>
      </c>
      <c r="D200" s="47" t="s">
        <v>455</v>
      </c>
      <c r="E200" s="47" t="s">
        <v>456</v>
      </c>
      <c r="F200" s="47" t="s">
        <v>457</v>
      </c>
      <c r="G200" s="47">
        <v>5</v>
      </c>
      <c r="H200" s="47">
        <v>1</v>
      </c>
      <c r="I200" s="47">
        <v>1</v>
      </c>
      <c r="J200" s="47">
        <v>6</v>
      </c>
      <c r="K200" s="47">
        <v>3375</v>
      </c>
      <c r="L200" s="47">
        <v>86400</v>
      </c>
      <c r="M200" s="47">
        <v>5006</v>
      </c>
      <c r="N200" s="47" t="s">
        <v>203</v>
      </c>
      <c r="O200" s="48" t="s">
        <v>204</v>
      </c>
      <c r="P200" s="48" t="s">
        <v>485</v>
      </c>
      <c r="Q200" s="47"/>
      <c r="R200" s="47"/>
      <c r="S200" s="47"/>
      <c r="T200" s="47">
        <v>1</v>
      </c>
      <c r="U200" s="47" t="s">
        <v>459</v>
      </c>
      <c r="V200" s="47" t="s">
        <v>459</v>
      </c>
      <c r="W200" s="47" t="s">
        <v>460</v>
      </c>
      <c r="X200" s="47">
        <v>40</v>
      </c>
      <c r="Y200" s="47" t="s">
        <v>486</v>
      </c>
      <c r="Z200" s="47" t="s">
        <v>487</v>
      </c>
      <c r="AA200" s="47" t="s">
        <v>488</v>
      </c>
      <c r="AB200" s="19">
        <v>1</v>
      </c>
      <c r="AC200" s="43" t="b">
        <v>0</v>
      </c>
      <c r="AD200" s="4" t="b">
        <v>0</v>
      </c>
      <c r="AF200" s="44">
        <v>3</v>
      </c>
      <c r="AG200" s="45"/>
      <c r="AH200" s="45"/>
    </row>
    <row r="201" spans="1:34" s="46" customFormat="1" x14ac:dyDescent="0.25">
      <c r="A201" s="47">
        <v>15107</v>
      </c>
      <c r="B201" s="47" t="s">
        <v>489</v>
      </c>
      <c r="C201" s="47" t="s">
        <v>454</v>
      </c>
      <c r="D201" s="47" t="s">
        <v>455</v>
      </c>
      <c r="E201" s="47" t="s">
        <v>456</v>
      </c>
      <c r="F201" s="47" t="s">
        <v>457</v>
      </c>
      <c r="G201" s="47">
        <v>5</v>
      </c>
      <c r="H201" s="47">
        <v>1</v>
      </c>
      <c r="I201" s="47">
        <v>1</v>
      </c>
      <c r="J201" s="47">
        <v>7</v>
      </c>
      <c r="K201" s="47">
        <v>4680</v>
      </c>
      <c r="L201" s="47">
        <v>86400</v>
      </c>
      <c r="M201" s="47">
        <v>5007</v>
      </c>
      <c r="N201" s="47" t="s">
        <v>203</v>
      </c>
      <c r="O201" s="48" t="s">
        <v>204</v>
      </c>
      <c r="P201" s="48" t="s">
        <v>490</v>
      </c>
      <c r="Q201" s="47"/>
      <c r="R201" s="47"/>
      <c r="S201" s="47"/>
      <c r="T201" s="47">
        <v>1</v>
      </c>
      <c r="U201" s="47" t="s">
        <v>459</v>
      </c>
      <c r="V201" s="47" t="s">
        <v>459</v>
      </c>
      <c r="W201" s="47" t="s">
        <v>460</v>
      </c>
      <c r="X201" s="47">
        <v>45</v>
      </c>
      <c r="Y201" s="47" t="s">
        <v>491</v>
      </c>
      <c r="Z201" s="47" t="s">
        <v>492</v>
      </c>
      <c r="AA201" s="47" t="s">
        <v>493</v>
      </c>
      <c r="AB201" s="19">
        <v>1</v>
      </c>
      <c r="AC201" s="43" t="b">
        <v>0</v>
      </c>
      <c r="AD201" s="4" t="b">
        <v>0</v>
      </c>
      <c r="AF201" s="44">
        <v>3</v>
      </c>
      <c r="AG201" s="45"/>
      <c r="AH201" s="45"/>
    </row>
    <row r="202" spans="1:34" s="46" customFormat="1" x14ac:dyDescent="0.25">
      <c r="A202" s="47">
        <v>15108</v>
      </c>
      <c r="B202" s="47" t="s">
        <v>494</v>
      </c>
      <c r="C202" s="47" t="s">
        <v>454</v>
      </c>
      <c r="D202" s="47" t="s">
        <v>455</v>
      </c>
      <c r="E202" s="47" t="s">
        <v>456</v>
      </c>
      <c r="F202" s="47" t="s">
        <v>457</v>
      </c>
      <c r="G202" s="47">
        <v>5</v>
      </c>
      <c r="H202" s="47">
        <v>1</v>
      </c>
      <c r="I202" s="47">
        <v>1</v>
      </c>
      <c r="J202" s="47">
        <v>8</v>
      </c>
      <c r="K202" s="47">
        <v>6885</v>
      </c>
      <c r="L202" s="47">
        <v>86400</v>
      </c>
      <c r="M202" s="47">
        <v>5008</v>
      </c>
      <c r="N202" s="47" t="s">
        <v>203</v>
      </c>
      <c r="O202" s="48" t="s">
        <v>204</v>
      </c>
      <c r="P202" s="48" t="s">
        <v>495</v>
      </c>
      <c r="Q202" s="47"/>
      <c r="R202" s="47"/>
      <c r="S202" s="47"/>
      <c r="T202" s="47">
        <v>1</v>
      </c>
      <c r="U202" s="47" t="s">
        <v>459</v>
      </c>
      <c r="V202" s="47" t="s">
        <v>459</v>
      </c>
      <c r="W202" s="47" t="s">
        <v>460</v>
      </c>
      <c r="X202" s="47">
        <v>50</v>
      </c>
      <c r="Y202" s="47" t="s">
        <v>496</v>
      </c>
      <c r="Z202" s="47" t="s">
        <v>497</v>
      </c>
      <c r="AA202" s="47" t="s">
        <v>498</v>
      </c>
      <c r="AB202" s="19">
        <v>1</v>
      </c>
      <c r="AC202" s="43" t="b">
        <v>0</v>
      </c>
      <c r="AD202" s="4" t="b">
        <v>0</v>
      </c>
      <c r="AF202" s="44">
        <v>3</v>
      </c>
      <c r="AG202" s="45"/>
      <c r="AH202" s="45"/>
    </row>
    <row r="203" spans="1:34" s="46" customFormat="1" x14ac:dyDescent="0.25">
      <c r="A203" s="47">
        <v>15109</v>
      </c>
      <c r="B203" s="47" t="s">
        <v>499</v>
      </c>
      <c r="C203" s="47" t="s">
        <v>454</v>
      </c>
      <c r="D203" s="47" t="s">
        <v>455</v>
      </c>
      <c r="E203" s="47" t="s">
        <v>456</v>
      </c>
      <c r="F203" s="47" t="s">
        <v>457</v>
      </c>
      <c r="G203" s="47">
        <v>5</v>
      </c>
      <c r="H203" s="47">
        <v>1</v>
      </c>
      <c r="I203" s="47">
        <v>1</v>
      </c>
      <c r="J203" s="47">
        <v>9</v>
      </c>
      <c r="K203" s="47">
        <v>16800</v>
      </c>
      <c r="L203" s="47">
        <v>86400</v>
      </c>
      <c r="M203" s="47">
        <v>5009</v>
      </c>
      <c r="N203" s="47" t="s">
        <v>203</v>
      </c>
      <c r="O203" s="48" t="s">
        <v>204</v>
      </c>
      <c r="P203" s="48" t="s">
        <v>500</v>
      </c>
      <c r="Q203" s="47"/>
      <c r="R203" s="47"/>
      <c r="S203" s="47"/>
      <c r="T203" s="47">
        <v>1</v>
      </c>
      <c r="U203" s="47" t="s">
        <v>459</v>
      </c>
      <c r="V203" s="47" t="s">
        <v>459</v>
      </c>
      <c r="W203" s="47" t="s">
        <v>460</v>
      </c>
      <c r="X203" s="47">
        <v>55</v>
      </c>
      <c r="Y203" s="47" t="s">
        <v>501</v>
      </c>
      <c r="Z203" s="47" t="s">
        <v>502</v>
      </c>
      <c r="AA203" s="47" t="s">
        <v>503</v>
      </c>
      <c r="AB203" s="19">
        <v>1</v>
      </c>
      <c r="AC203" s="43" t="b">
        <v>0</v>
      </c>
      <c r="AD203" s="4" t="b">
        <v>0</v>
      </c>
      <c r="AF203" s="44">
        <v>3</v>
      </c>
      <c r="AG203" s="45"/>
      <c r="AH203" s="45"/>
    </row>
    <row r="204" spans="1:34" s="46" customFormat="1" x14ac:dyDescent="0.25">
      <c r="A204" s="47">
        <v>15110</v>
      </c>
      <c r="B204" s="47" t="s">
        <v>504</v>
      </c>
      <c r="C204" s="47" t="s">
        <v>454</v>
      </c>
      <c r="D204" s="47" t="s">
        <v>455</v>
      </c>
      <c r="E204" s="47" t="s">
        <v>456</v>
      </c>
      <c r="F204" s="47" t="s">
        <v>457</v>
      </c>
      <c r="G204" s="47">
        <v>5</v>
      </c>
      <c r="H204" s="47">
        <v>1</v>
      </c>
      <c r="I204" s="47">
        <v>1</v>
      </c>
      <c r="J204" s="47">
        <v>10</v>
      </c>
      <c r="K204" s="47">
        <v>30450</v>
      </c>
      <c r="L204" s="47">
        <v>86400</v>
      </c>
      <c r="M204" s="47">
        <v>5010</v>
      </c>
      <c r="N204" s="47" t="s">
        <v>203</v>
      </c>
      <c r="O204" s="48" t="s">
        <v>204</v>
      </c>
      <c r="P204" s="48" t="s">
        <v>505</v>
      </c>
      <c r="Q204" s="47"/>
      <c r="R204" s="47"/>
      <c r="S204" s="47"/>
      <c r="T204" s="47">
        <v>1</v>
      </c>
      <c r="U204" s="47" t="s">
        <v>459</v>
      </c>
      <c r="V204" s="47" t="s">
        <v>459</v>
      </c>
      <c r="W204" s="47" t="s">
        <v>460</v>
      </c>
      <c r="X204" s="47">
        <v>60</v>
      </c>
      <c r="Y204" s="47" t="s">
        <v>506</v>
      </c>
      <c r="Z204" s="47" t="s">
        <v>507</v>
      </c>
      <c r="AA204" s="47" t="s">
        <v>508</v>
      </c>
      <c r="AB204" s="19">
        <v>1</v>
      </c>
      <c r="AC204" s="43" t="b">
        <v>0</v>
      </c>
      <c r="AD204" s="4" t="b">
        <v>0</v>
      </c>
      <c r="AF204" s="44">
        <v>3</v>
      </c>
      <c r="AG204" s="45"/>
      <c r="AH204" s="45"/>
    </row>
    <row r="205" spans="1:34" s="46" customFormat="1" x14ac:dyDescent="0.25">
      <c r="A205" s="47">
        <v>15111</v>
      </c>
      <c r="B205" s="47" t="s">
        <v>509</v>
      </c>
      <c r="C205" s="47" t="s">
        <v>454</v>
      </c>
      <c r="D205" s="47" t="s">
        <v>455</v>
      </c>
      <c r="E205" s="47" t="s">
        <v>456</v>
      </c>
      <c r="F205" s="47" t="s">
        <v>457</v>
      </c>
      <c r="G205" s="47">
        <v>5</v>
      </c>
      <c r="H205" s="47">
        <v>1</v>
      </c>
      <c r="I205" s="47">
        <v>1</v>
      </c>
      <c r="J205" s="47">
        <v>11</v>
      </c>
      <c r="K205" s="47">
        <v>42900</v>
      </c>
      <c r="L205" s="47">
        <v>86400</v>
      </c>
      <c r="M205" s="47">
        <v>5011</v>
      </c>
      <c r="N205" s="47" t="s">
        <v>203</v>
      </c>
      <c r="O205" s="48" t="s">
        <v>204</v>
      </c>
      <c r="P205" s="48" t="s">
        <v>510</v>
      </c>
      <c r="Q205" s="47"/>
      <c r="R205" s="47"/>
      <c r="S205" s="47"/>
      <c r="T205" s="47">
        <v>1</v>
      </c>
      <c r="U205" s="47" t="s">
        <v>459</v>
      </c>
      <c r="V205" s="47" t="s">
        <v>459</v>
      </c>
      <c r="W205" s="47" t="s">
        <v>460</v>
      </c>
      <c r="X205" s="47">
        <v>65</v>
      </c>
      <c r="Y205" s="47" t="s">
        <v>511</v>
      </c>
      <c r="Z205" s="47" t="s">
        <v>512</v>
      </c>
      <c r="AA205" s="47" t="s">
        <v>513</v>
      </c>
      <c r="AB205" s="19">
        <v>1</v>
      </c>
      <c r="AC205" s="43" t="b">
        <v>0</v>
      </c>
      <c r="AD205" s="4" t="b">
        <v>0</v>
      </c>
      <c r="AF205" s="44">
        <v>3</v>
      </c>
      <c r="AG205" s="45"/>
      <c r="AH205" s="45"/>
    </row>
    <row r="206" spans="1:34" s="46" customFormat="1" x14ac:dyDescent="0.25">
      <c r="A206" s="47">
        <v>15112</v>
      </c>
      <c r="B206" s="47" t="s">
        <v>514</v>
      </c>
      <c r="C206" s="47" t="s">
        <v>454</v>
      </c>
      <c r="D206" s="47" t="s">
        <v>455</v>
      </c>
      <c r="E206" s="47" t="s">
        <v>456</v>
      </c>
      <c r="F206" s="47" t="s">
        <v>457</v>
      </c>
      <c r="G206" s="47">
        <v>5</v>
      </c>
      <c r="H206" s="47">
        <v>1</v>
      </c>
      <c r="I206" s="47">
        <v>1</v>
      </c>
      <c r="J206" s="47">
        <v>12</v>
      </c>
      <c r="K206" s="47">
        <v>60450</v>
      </c>
      <c r="L206" s="47">
        <v>86400</v>
      </c>
      <c r="M206" s="47">
        <v>5012</v>
      </c>
      <c r="N206" s="47" t="s">
        <v>203</v>
      </c>
      <c r="O206" s="48" t="s">
        <v>204</v>
      </c>
      <c r="P206" s="48" t="s">
        <v>515</v>
      </c>
      <c r="Q206" s="47"/>
      <c r="R206" s="47"/>
      <c r="S206" s="47"/>
      <c r="T206" s="47">
        <v>1</v>
      </c>
      <c r="U206" s="47" t="s">
        <v>459</v>
      </c>
      <c r="V206" s="47" t="s">
        <v>459</v>
      </c>
      <c r="W206" s="47" t="s">
        <v>460</v>
      </c>
      <c r="X206" s="47">
        <v>70</v>
      </c>
      <c r="Y206" s="47" t="s">
        <v>516</v>
      </c>
      <c r="Z206" s="47" t="s">
        <v>517</v>
      </c>
      <c r="AA206" s="47" t="s">
        <v>518</v>
      </c>
      <c r="AB206" s="19">
        <v>1</v>
      </c>
      <c r="AC206" s="43" t="b">
        <v>0</v>
      </c>
      <c r="AD206" s="4" t="b">
        <v>0</v>
      </c>
      <c r="AF206" s="44">
        <v>3</v>
      </c>
      <c r="AG206" s="45"/>
      <c r="AH206" s="45"/>
    </row>
    <row r="207" spans="1:34" s="46" customFormat="1" x14ac:dyDescent="0.25">
      <c r="A207" s="47">
        <v>15113</v>
      </c>
      <c r="B207" s="47" t="s">
        <v>519</v>
      </c>
      <c r="C207" s="47" t="s">
        <v>454</v>
      </c>
      <c r="D207" s="47" t="s">
        <v>455</v>
      </c>
      <c r="E207" s="47" t="s">
        <v>456</v>
      </c>
      <c r="F207" s="47" t="s">
        <v>457</v>
      </c>
      <c r="G207" s="47">
        <v>5</v>
      </c>
      <c r="H207" s="47">
        <v>1</v>
      </c>
      <c r="I207" s="47">
        <v>1</v>
      </c>
      <c r="J207" s="47">
        <v>13</v>
      </c>
      <c r="K207" s="47">
        <v>83200</v>
      </c>
      <c r="L207" s="47">
        <v>86400</v>
      </c>
      <c r="M207" s="47">
        <v>5013</v>
      </c>
      <c r="N207" s="47" t="s">
        <v>203</v>
      </c>
      <c r="O207" s="48" t="s">
        <v>204</v>
      </c>
      <c r="P207" s="48" t="s">
        <v>520</v>
      </c>
      <c r="Q207" s="47"/>
      <c r="R207" s="47"/>
      <c r="S207" s="47"/>
      <c r="T207" s="47">
        <v>1</v>
      </c>
      <c r="U207" s="47" t="s">
        <v>459</v>
      </c>
      <c r="V207" s="47" t="s">
        <v>459</v>
      </c>
      <c r="W207" s="47" t="s">
        <v>460</v>
      </c>
      <c r="X207" s="47">
        <v>75</v>
      </c>
      <c r="Y207" s="47" t="s">
        <v>521</v>
      </c>
      <c r="Z207" s="47" t="s">
        <v>522</v>
      </c>
      <c r="AA207" s="47" t="s">
        <v>523</v>
      </c>
      <c r="AB207" s="19">
        <v>1</v>
      </c>
      <c r="AC207" s="43" t="b">
        <v>0</v>
      </c>
      <c r="AD207" s="4" t="b">
        <v>0</v>
      </c>
      <c r="AF207" s="44">
        <v>3</v>
      </c>
      <c r="AG207" s="45"/>
      <c r="AH207" s="45"/>
    </row>
    <row r="208" spans="1:34" s="46" customFormat="1" x14ac:dyDescent="0.25">
      <c r="A208" s="47">
        <v>15114</v>
      </c>
      <c r="B208" s="47" t="s">
        <v>524</v>
      </c>
      <c r="C208" s="47" t="s">
        <v>454</v>
      </c>
      <c r="D208" s="47" t="s">
        <v>455</v>
      </c>
      <c r="E208" s="47" t="s">
        <v>456</v>
      </c>
      <c r="F208" s="47" t="s">
        <v>457</v>
      </c>
      <c r="G208" s="47">
        <v>5</v>
      </c>
      <c r="H208" s="47">
        <v>1</v>
      </c>
      <c r="I208" s="47">
        <v>1</v>
      </c>
      <c r="J208" s="47">
        <v>14</v>
      </c>
      <c r="K208" s="47">
        <v>107250</v>
      </c>
      <c r="L208" s="47">
        <v>86400</v>
      </c>
      <c r="M208" s="47">
        <v>5014</v>
      </c>
      <c r="N208" s="47" t="s">
        <v>203</v>
      </c>
      <c r="O208" s="48" t="s">
        <v>204</v>
      </c>
      <c r="P208" s="48" t="s">
        <v>525</v>
      </c>
      <c r="Q208" s="47"/>
      <c r="R208" s="47"/>
      <c r="S208" s="47"/>
      <c r="T208" s="47">
        <v>1</v>
      </c>
      <c r="U208" s="47" t="s">
        <v>459</v>
      </c>
      <c r="V208" s="47" t="s">
        <v>459</v>
      </c>
      <c r="W208" s="47" t="s">
        <v>460</v>
      </c>
      <c r="X208" s="47">
        <v>80</v>
      </c>
      <c r="Y208" s="47" t="s">
        <v>526</v>
      </c>
      <c r="Z208" s="47" t="s">
        <v>527</v>
      </c>
      <c r="AA208" s="47" t="s">
        <v>528</v>
      </c>
      <c r="AB208" s="19">
        <v>1</v>
      </c>
      <c r="AC208" s="43" t="b">
        <v>0</v>
      </c>
      <c r="AD208" s="4" t="b">
        <v>0</v>
      </c>
      <c r="AF208" s="44">
        <v>3</v>
      </c>
      <c r="AG208" s="45"/>
      <c r="AH208" s="45"/>
    </row>
    <row r="209" spans="1:34" s="46" customFormat="1" x14ac:dyDescent="0.25">
      <c r="A209" s="47">
        <v>15115</v>
      </c>
      <c r="B209" s="47" t="s">
        <v>529</v>
      </c>
      <c r="C209" s="47" t="s">
        <v>454</v>
      </c>
      <c r="D209" s="47" t="s">
        <v>455</v>
      </c>
      <c r="E209" s="47" t="s">
        <v>456</v>
      </c>
      <c r="F209" s="47" t="s">
        <v>457</v>
      </c>
      <c r="G209" s="47">
        <v>5</v>
      </c>
      <c r="H209" s="47">
        <v>1</v>
      </c>
      <c r="I209" s="47">
        <v>1</v>
      </c>
      <c r="J209" s="47">
        <v>15</v>
      </c>
      <c r="K209" s="47">
        <v>132600</v>
      </c>
      <c r="L209" s="47">
        <v>86400</v>
      </c>
      <c r="M209" s="47">
        <v>5015</v>
      </c>
      <c r="N209" s="47" t="s">
        <v>203</v>
      </c>
      <c r="O209" s="48" t="s">
        <v>204</v>
      </c>
      <c r="P209" s="48" t="s">
        <v>530</v>
      </c>
      <c r="Q209" s="47"/>
      <c r="R209" s="47"/>
      <c r="S209" s="47"/>
      <c r="T209" s="47">
        <v>1</v>
      </c>
      <c r="U209" s="47" t="s">
        <v>459</v>
      </c>
      <c r="V209" s="47" t="s">
        <v>459</v>
      </c>
      <c r="W209" s="47" t="s">
        <v>460</v>
      </c>
      <c r="X209" s="47">
        <v>85</v>
      </c>
      <c r="Y209" s="47" t="s">
        <v>531</v>
      </c>
      <c r="Z209" s="47" t="s">
        <v>532</v>
      </c>
      <c r="AA209" s="47" t="s">
        <v>533</v>
      </c>
      <c r="AB209" s="19">
        <v>1</v>
      </c>
      <c r="AC209" s="43" t="b">
        <v>0</v>
      </c>
      <c r="AD209" s="4" t="b">
        <v>0</v>
      </c>
      <c r="AF209" s="44">
        <v>3</v>
      </c>
      <c r="AG209" s="45"/>
      <c r="AH209" s="45"/>
    </row>
    <row r="210" spans="1:34" s="46" customFormat="1" x14ac:dyDescent="0.25">
      <c r="A210" s="47">
        <v>15116</v>
      </c>
      <c r="B210" s="47" t="s">
        <v>534</v>
      </c>
      <c r="C210" s="47" t="s">
        <v>454</v>
      </c>
      <c r="D210" s="47" t="s">
        <v>455</v>
      </c>
      <c r="E210" s="47" t="s">
        <v>456</v>
      </c>
      <c r="F210" s="47" t="s">
        <v>457</v>
      </c>
      <c r="G210" s="47">
        <v>5</v>
      </c>
      <c r="H210" s="47">
        <v>1</v>
      </c>
      <c r="I210" s="47">
        <v>1</v>
      </c>
      <c r="J210" s="47">
        <v>16</v>
      </c>
      <c r="K210" s="47">
        <v>182000</v>
      </c>
      <c r="L210" s="47">
        <v>86400</v>
      </c>
      <c r="M210" s="47">
        <v>5016</v>
      </c>
      <c r="N210" s="47" t="s">
        <v>203</v>
      </c>
      <c r="O210" s="48" t="s">
        <v>204</v>
      </c>
      <c r="P210" s="48" t="s">
        <v>535</v>
      </c>
      <c r="Q210" s="47"/>
      <c r="R210" s="47"/>
      <c r="S210" s="47"/>
      <c r="T210" s="47">
        <v>1</v>
      </c>
      <c r="U210" s="47" t="s">
        <v>459</v>
      </c>
      <c r="V210" s="47" t="s">
        <v>459</v>
      </c>
      <c r="W210" s="47" t="s">
        <v>460</v>
      </c>
      <c r="X210" s="47">
        <v>90</v>
      </c>
      <c r="Y210" s="47" t="s">
        <v>536</v>
      </c>
      <c r="Z210" s="47" t="s">
        <v>537</v>
      </c>
      <c r="AA210" s="47" t="s">
        <v>538</v>
      </c>
      <c r="AB210" s="19">
        <v>1</v>
      </c>
      <c r="AC210" s="43" t="b">
        <v>0</v>
      </c>
      <c r="AD210" s="4" t="b">
        <v>0</v>
      </c>
      <c r="AF210" s="44">
        <v>3</v>
      </c>
      <c r="AG210" s="45"/>
      <c r="AH210" s="45"/>
    </row>
    <row r="211" spans="1:34" s="46" customFormat="1" x14ac:dyDescent="0.25">
      <c r="A211" s="47">
        <v>15117</v>
      </c>
      <c r="B211" s="47" t="s">
        <v>539</v>
      </c>
      <c r="C211" s="47" t="s">
        <v>454</v>
      </c>
      <c r="D211" s="47" t="s">
        <v>455</v>
      </c>
      <c r="E211" s="47" t="s">
        <v>456</v>
      </c>
      <c r="F211" s="47" t="s">
        <v>457</v>
      </c>
      <c r="G211" s="47">
        <v>5</v>
      </c>
      <c r="H211" s="47">
        <v>1</v>
      </c>
      <c r="I211" s="47">
        <v>1</v>
      </c>
      <c r="J211" s="47">
        <v>17</v>
      </c>
      <c r="K211" s="47">
        <v>243750</v>
      </c>
      <c r="L211" s="47">
        <v>86400</v>
      </c>
      <c r="M211" s="47">
        <v>5017</v>
      </c>
      <c r="N211" s="47" t="s">
        <v>203</v>
      </c>
      <c r="O211" s="48" t="s">
        <v>204</v>
      </c>
      <c r="P211" s="48" t="s">
        <v>540</v>
      </c>
      <c r="Q211" s="47"/>
      <c r="R211" s="47"/>
      <c r="S211" s="47"/>
      <c r="T211" s="47">
        <v>1</v>
      </c>
      <c r="U211" s="47" t="s">
        <v>459</v>
      </c>
      <c r="V211" s="47" t="s">
        <v>459</v>
      </c>
      <c r="W211" s="47" t="s">
        <v>460</v>
      </c>
      <c r="X211" s="47">
        <v>95</v>
      </c>
      <c r="Y211" s="47" t="s">
        <v>541</v>
      </c>
      <c r="Z211" s="47" t="s">
        <v>542</v>
      </c>
      <c r="AA211" s="47" t="s">
        <v>543</v>
      </c>
      <c r="AB211" s="19">
        <v>1</v>
      </c>
      <c r="AC211" s="43" t="b">
        <v>0</v>
      </c>
      <c r="AD211" s="4" t="b">
        <v>0</v>
      </c>
      <c r="AF211" s="44">
        <v>3</v>
      </c>
      <c r="AG211" s="45"/>
      <c r="AH211" s="45"/>
    </row>
    <row r="212" spans="1:34" s="46" customFormat="1" x14ac:dyDescent="0.25">
      <c r="A212" s="47">
        <v>15118</v>
      </c>
      <c r="B212" s="47" t="s">
        <v>544</v>
      </c>
      <c r="C212" s="47" t="s">
        <v>454</v>
      </c>
      <c r="D212" s="47" t="s">
        <v>455</v>
      </c>
      <c r="E212" s="47" t="s">
        <v>456</v>
      </c>
      <c r="F212" s="47" t="s">
        <v>457</v>
      </c>
      <c r="G212" s="47">
        <v>5</v>
      </c>
      <c r="H212" s="47">
        <v>1</v>
      </c>
      <c r="I212" s="47">
        <v>1</v>
      </c>
      <c r="J212" s="47">
        <v>18</v>
      </c>
      <c r="K212" s="47">
        <v>312000</v>
      </c>
      <c r="L212" s="47">
        <v>86400</v>
      </c>
      <c r="M212" s="47">
        <v>5018</v>
      </c>
      <c r="N212" s="47" t="s">
        <v>203</v>
      </c>
      <c r="O212" s="48" t="s">
        <v>204</v>
      </c>
      <c r="P212" s="48" t="s">
        <v>545</v>
      </c>
      <c r="Q212" s="47"/>
      <c r="R212" s="47"/>
      <c r="S212" s="47"/>
      <c r="T212" s="47">
        <v>1</v>
      </c>
      <c r="U212" s="47" t="s">
        <v>459</v>
      </c>
      <c r="V212" s="47" t="s">
        <v>459</v>
      </c>
      <c r="W212" s="47" t="s">
        <v>460</v>
      </c>
      <c r="X212" s="47">
        <v>100</v>
      </c>
      <c r="Y212" s="47" t="s">
        <v>546</v>
      </c>
      <c r="Z212" s="47" t="s">
        <v>547</v>
      </c>
      <c r="AA212" s="47" t="s">
        <v>548</v>
      </c>
      <c r="AB212" s="19">
        <v>1</v>
      </c>
      <c r="AC212" s="43" t="b">
        <v>0</v>
      </c>
      <c r="AD212" s="4" t="b">
        <v>0</v>
      </c>
      <c r="AF212" s="44">
        <v>3</v>
      </c>
      <c r="AG212" s="45"/>
      <c r="AH212" s="45"/>
    </row>
    <row r="213" spans="1:34" s="46" customFormat="1" x14ac:dyDescent="0.25">
      <c r="A213" s="47">
        <v>15119</v>
      </c>
      <c r="B213" s="47" t="s">
        <v>549</v>
      </c>
      <c r="C213" s="47" t="s">
        <v>454</v>
      </c>
      <c r="D213" s="47" t="s">
        <v>455</v>
      </c>
      <c r="E213" s="47" t="s">
        <v>456</v>
      </c>
      <c r="F213" s="47" t="s">
        <v>457</v>
      </c>
      <c r="G213" s="47">
        <v>5</v>
      </c>
      <c r="H213" s="47">
        <v>1</v>
      </c>
      <c r="I213" s="47">
        <v>1</v>
      </c>
      <c r="J213" s="47">
        <v>19</v>
      </c>
      <c r="K213" s="47">
        <v>477360</v>
      </c>
      <c r="L213" s="47">
        <v>86400</v>
      </c>
      <c r="M213" s="47">
        <v>5019</v>
      </c>
      <c r="N213" s="47" t="s">
        <v>203</v>
      </c>
      <c r="O213" s="48" t="s">
        <v>204</v>
      </c>
      <c r="P213" s="48" t="s">
        <v>550</v>
      </c>
      <c r="Q213" s="47"/>
      <c r="R213" s="47"/>
      <c r="S213" s="47"/>
      <c r="T213" s="47">
        <v>1</v>
      </c>
      <c r="U213" s="47" t="s">
        <v>459</v>
      </c>
      <c r="V213" s="47" t="s">
        <v>459</v>
      </c>
      <c r="W213" s="47" t="s">
        <v>460</v>
      </c>
      <c r="X213" s="47">
        <v>105</v>
      </c>
      <c r="Y213" s="47" t="s">
        <v>551</v>
      </c>
      <c r="Z213" s="47" t="s">
        <v>552</v>
      </c>
      <c r="AA213" s="47" t="s">
        <v>553</v>
      </c>
      <c r="AB213" s="19">
        <v>1</v>
      </c>
      <c r="AC213" s="43" t="b">
        <v>0</v>
      </c>
      <c r="AD213" s="4" t="b">
        <v>0</v>
      </c>
      <c r="AF213" s="44">
        <v>3</v>
      </c>
      <c r="AG213" s="45"/>
      <c r="AH213" s="45"/>
    </row>
    <row r="214" spans="1:34" s="46" customFormat="1" x14ac:dyDescent="0.25">
      <c r="A214" s="47">
        <v>15120</v>
      </c>
      <c r="B214" s="47" t="s">
        <v>554</v>
      </c>
      <c r="C214" s="47" t="s">
        <v>454</v>
      </c>
      <c r="D214" s="47" t="s">
        <v>455</v>
      </c>
      <c r="E214" s="47" t="s">
        <v>456</v>
      </c>
      <c r="F214" s="47" t="s">
        <v>457</v>
      </c>
      <c r="G214" s="47">
        <v>5</v>
      </c>
      <c r="H214" s="47">
        <v>1</v>
      </c>
      <c r="I214" s="47">
        <v>1</v>
      </c>
      <c r="J214" s="47">
        <v>20</v>
      </c>
      <c r="K214" s="47">
        <v>567424</v>
      </c>
      <c r="L214" s="47">
        <v>86400</v>
      </c>
      <c r="M214" s="47">
        <v>5020</v>
      </c>
      <c r="N214" s="47" t="s">
        <v>203</v>
      </c>
      <c r="O214" s="48" t="s">
        <v>204</v>
      </c>
      <c r="P214" s="48" t="s">
        <v>555</v>
      </c>
      <c r="Q214" s="47"/>
      <c r="R214" s="47"/>
      <c r="S214" s="47"/>
      <c r="T214" s="47">
        <v>1</v>
      </c>
      <c r="U214" s="47" t="s">
        <v>459</v>
      </c>
      <c r="V214" s="47" t="s">
        <v>459</v>
      </c>
      <c r="W214" s="47" t="s">
        <v>460</v>
      </c>
      <c r="X214" s="47">
        <v>110</v>
      </c>
      <c r="Y214" s="47" t="s">
        <v>556</v>
      </c>
      <c r="Z214" s="47" t="s">
        <v>557</v>
      </c>
      <c r="AA214" s="47" t="s">
        <v>558</v>
      </c>
      <c r="AB214" s="19">
        <v>1</v>
      </c>
      <c r="AC214" s="43" t="b">
        <v>0</v>
      </c>
      <c r="AD214" s="4" t="b">
        <v>0</v>
      </c>
      <c r="AF214" s="44">
        <v>3</v>
      </c>
      <c r="AG214" s="45"/>
      <c r="AH214" s="45"/>
    </row>
    <row r="215" spans="1:34" s="46" customFormat="1" x14ac:dyDescent="0.25">
      <c r="A215" s="47">
        <v>15121</v>
      </c>
      <c r="B215" s="47" t="s">
        <v>559</v>
      </c>
      <c r="C215" s="47" t="s">
        <v>454</v>
      </c>
      <c r="D215" s="47" t="s">
        <v>455</v>
      </c>
      <c r="E215" s="47" t="s">
        <v>456</v>
      </c>
      <c r="F215" s="47" t="s">
        <v>457</v>
      </c>
      <c r="G215" s="47">
        <v>5</v>
      </c>
      <c r="H215" s="47">
        <v>1</v>
      </c>
      <c r="I215" s="47">
        <v>1</v>
      </c>
      <c r="J215" s="47">
        <v>21</v>
      </c>
      <c r="K215" s="47">
        <v>655200</v>
      </c>
      <c r="L215" s="47">
        <v>86400</v>
      </c>
      <c r="M215" s="47">
        <v>5021</v>
      </c>
      <c r="N215" s="47" t="s">
        <v>203</v>
      </c>
      <c r="O215" s="48" t="s">
        <v>204</v>
      </c>
      <c r="P215" s="48" t="s">
        <v>560</v>
      </c>
      <c r="Q215" s="47"/>
      <c r="R215" s="47"/>
      <c r="S215" s="47"/>
      <c r="T215" s="47">
        <v>1</v>
      </c>
      <c r="U215" s="47" t="s">
        <v>459</v>
      </c>
      <c r="V215" s="47" t="s">
        <v>459</v>
      </c>
      <c r="W215" s="47" t="s">
        <v>460</v>
      </c>
      <c r="X215" s="47">
        <v>115</v>
      </c>
      <c r="Y215" s="47" t="s">
        <v>561</v>
      </c>
      <c r="Z215" s="47" t="s">
        <v>562</v>
      </c>
      <c r="AA215" s="47" t="s">
        <v>563</v>
      </c>
      <c r="AB215" s="19">
        <v>1</v>
      </c>
      <c r="AC215" s="43" t="b">
        <v>0</v>
      </c>
      <c r="AD215" s="4" t="b">
        <v>0</v>
      </c>
      <c r="AF215" s="44">
        <v>3</v>
      </c>
      <c r="AG215" s="45"/>
      <c r="AH215" s="45"/>
    </row>
    <row r="216" spans="1:34" s="46" customFormat="1" x14ac:dyDescent="0.25">
      <c r="A216" s="47">
        <v>15122</v>
      </c>
      <c r="B216" s="47" t="s">
        <v>564</v>
      </c>
      <c r="C216" s="47" t="s">
        <v>454</v>
      </c>
      <c r="D216" s="47" t="s">
        <v>455</v>
      </c>
      <c r="E216" s="47" t="s">
        <v>456</v>
      </c>
      <c r="F216" s="47" t="s">
        <v>457</v>
      </c>
      <c r="G216" s="47">
        <v>5</v>
      </c>
      <c r="H216" s="47">
        <v>1</v>
      </c>
      <c r="I216" s="47">
        <v>1</v>
      </c>
      <c r="J216" s="47">
        <v>22</v>
      </c>
      <c r="K216" s="47">
        <v>944775</v>
      </c>
      <c r="L216" s="47">
        <v>86400</v>
      </c>
      <c r="M216" s="47">
        <v>5022</v>
      </c>
      <c r="N216" s="47" t="s">
        <v>203</v>
      </c>
      <c r="O216" s="48" t="s">
        <v>204</v>
      </c>
      <c r="P216" s="48" t="s">
        <v>565</v>
      </c>
      <c r="Q216" s="47"/>
      <c r="R216" s="47"/>
      <c r="S216" s="47"/>
      <c r="T216" s="47">
        <v>1</v>
      </c>
      <c r="U216" s="47" t="s">
        <v>459</v>
      </c>
      <c r="V216" s="47" t="s">
        <v>459</v>
      </c>
      <c r="W216" s="47" t="s">
        <v>460</v>
      </c>
      <c r="X216" s="47">
        <v>120</v>
      </c>
      <c r="Y216" s="47" t="s">
        <v>566</v>
      </c>
      <c r="Z216" s="47" t="s">
        <v>567</v>
      </c>
      <c r="AA216" s="47" t="s">
        <v>568</v>
      </c>
      <c r="AB216" s="19">
        <v>1</v>
      </c>
      <c r="AC216" s="43" t="b">
        <v>0</v>
      </c>
      <c r="AD216" s="4" t="b">
        <v>0</v>
      </c>
      <c r="AF216" s="44">
        <v>3</v>
      </c>
      <c r="AG216" s="45"/>
      <c r="AH216" s="45"/>
    </row>
    <row r="217" spans="1:34" s="46" customFormat="1" x14ac:dyDescent="0.25">
      <c r="A217" s="47">
        <v>15123</v>
      </c>
      <c r="B217" s="47" t="s">
        <v>569</v>
      </c>
      <c r="C217" s="47" t="s">
        <v>454</v>
      </c>
      <c r="D217" s="47" t="s">
        <v>455</v>
      </c>
      <c r="E217" s="47" t="s">
        <v>456</v>
      </c>
      <c r="F217" s="47" t="s">
        <v>457</v>
      </c>
      <c r="G217" s="47">
        <v>5</v>
      </c>
      <c r="H217" s="47">
        <v>1</v>
      </c>
      <c r="I217" s="47">
        <v>1</v>
      </c>
      <c r="J217" s="47">
        <v>23</v>
      </c>
      <c r="K217" s="47">
        <v>1160250</v>
      </c>
      <c r="L217" s="47">
        <v>86400</v>
      </c>
      <c r="M217" s="47">
        <v>5023</v>
      </c>
      <c r="N217" s="47" t="s">
        <v>203</v>
      </c>
      <c r="O217" s="48" t="s">
        <v>204</v>
      </c>
      <c r="P217" s="48" t="s">
        <v>570</v>
      </c>
      <c r="Q217" s="47"/>
      <c r="R217" s="47"/>
      <c r="S217" s="47"/>
      <c r="T217" s="47">
        <v>1</v>
      </c>
      <c r="U217" s="47" t="s">
        <v>459</v>
      </c>
      <c r="V217" s="47" t="s">
        <v>459</v>
      </c>
      <c r="W217" s="47" t="s">
        <v>460</v>
      </c>
      <c r="X217" s="47">
        <v>125</v>
      </c>
      <c r="Y217" s="47" t="s">
        <v>571</v>
      </c>
      <c r="Z217" s="47" t="s">
        <v>572</v>
      </c>
      <c r="AA217" s="47" t="s">
        <v>573</v>
      </c>
      <c r="AB217" s="19">
        <v>1</v>
      </c>
      <c r="AC217" s="43" t="b">
        <v>0</v>
      </c>
      <c r="AD217" s="4" t="b">
        <v>0</v>
      </c>
      <c r="AF217" s="44">
        <v>3</v>
      </c>
      <c r="AG217" s="45"/>
      <c r="AH217" s="45"/>
    </row>
    <row r="218" spans="1:34" s="46" customFormat="1" x14ac:dyDescent="0.25">
      <c r="A218" s="47">
        <v>15124</v>
      </c>
      <c r="B218" s="47" t="s">
        <v>574</v>
      </c>
      <c r="C218" s="47" t="s">
        <v>454</v>
      </c>
      <c r="D218" s="47" t="s">
        <v>455</v>
      </c>
      <c r="E218" s="47" t="s">
        <v>456</v>
      </c>
      <c r="F218" s="47" t="s">
        <v>457</v>
      </c>
      <c r="G218" s="47">
        <v>5</v>
      </c>
      <c r="H218" s="47">
        <v>1</v>
      </c>
      <c r="I218" s="47">
        <v>1</v>
      </c>
      <c r="J218" s="47">
        <v>24</v>
      </c>
      <c r="K218" s="47">
        <v>1352520</v>
      </c>
      <c r="L218" s="47">
        <v>86400</v>
      </c>
      <c r="M218" s="47">
        <v>5024</v>
      </c>
      <c r="N218" s="47" t="s">
        <v>203</v>
      </c>
      <c r="O218" s="48" t="s">
        <v>204</v>
      </c>
      <c r="P218" s="48" t="s">
        <v>575</v>
      </c>
      <c r="Q218" s="47"/>
      <c r="R218" s="47"/>
      <c r="S218" s="47"/>
      <c r="T218" s="47">
        <v>1</v>
      </c>
      <c r="U218" s="47" t="s">
        <v>459</v>
      </c>
      <c r="V218" s="47" t="s">
        <v>459</v>
      </c>
      <c r="W218" s="47" t="s">
        <v>460</v>
      </c>
      <c r="X218" s="47">
        <v>130</v>
      </c>
      <c r="Y218" s="47" t="s">
        <v>576</v>
      </c>
      <c r="Z218" s="47" t="s">
        <v>577</v>
      </c>
      <c r="AA218" s="47" t="s">
        <v>578</v>
      </c>
      <c r="AB218" s="19">
        <v>1</v>
      </c>
      <c r="AC218" s="43" t="b">
        <v>0</v>
      </c>
      <c r="AD218" s="4" t="b">
        <v>0</v>
      </c>
      <c r="AF218" s="44">
        <v>3</v>
      </c>
      <c r="AG218" s="45"/>
      <c r="AH218" s="45"/>
    </row>
    <row r="219" spans="1:34" s="46" customFormat="1" x14ac:dyDescent="0.25">
      <c r="A219" s="47">
        <v>15125</v>
      </c>
      <c r="B219" s="47" t="s">
        <v>579</v>
      </c>
      <c r="C219" s="47" t="s">
        <v>454</v>
      </c>
      <c r="D219" s="47" t="s">
        <v>455</v>
      </c>
      <c r="E219" s="47" t="s">
        <v>456</v>
      </c>
      <c r="F219" s="47" t="s">
        <v>457</v>
      </c>
      <c r="G219" s="47">
        <v>5</v>
      </c>
      <c r="H219" s="47">
        <v>1</v>
      </c>
      <c r="I219" s="47">
        <v>1</v>
      </c>
      <c r="J219" s="47">
        <v>25</v>
      </c>
      <c r="K219" s="47">
        <v>1740375</v>
      </c>
      <c r="L219" s="47">
        <v>86400</v>
      </c>
      <c r="M219" s="47">
        <v>5025</v>
      </c>
      <c r="N219" s="47" t="s">
        <v>203</v>
      </c>
      <c r="O219" s="48" t="s">
        <v>204</v>
      </c>
      <c r="P219" s="48" t="s">
        <v>580</v>
      </c>
      <c r="Q219" s="47"/>
      <c r="R219" s="47"/>
      <c r="S219" s="47"/>
      <c r="T219" s="47">
        <v>1</v>
      </c>
      <c r="U219" s="47" t="s">
        <v>459</v>
      </c>
      <c r="V219" s="47" t="s">
        <v>459</v>
      </c>
      <c r="W219" s="47" t="s">
        <v>460</v>
      </c>
      <c r="X219" s="47">
        <v>135</v>
      </c>
      <c r="Y219" s="47" t="s">
        <v>581</v>
      </c>
      <c r="Z219" s="47" t="s">
        <v>582</v>
      </c>
      <c r="AA219" s="47" t="s">
        <v>583</v>
      </c>
      <c r="AB219" s="19">
        <v>1</v>
      </c>
      <c r="AC219" s="43" t="b">
        <v>0</v>
      </c>
      <c r="AD219" s="4" t="b">
        <v>0</v>
      </c>
      <c r="AF219" s="44">
        <v>3</v>
      </c>
      <c r="AG219" s="45"/>
      <c r="AH219" s="45"/>
    </row>
    <row r="220" spans="1:34" s="46" customFormat="1" x14ac:dyDescent="0.25">
      <c r="A220" s="47">
        <v>15126</v>
      </c>
      <c r="B220" s="47" t="s">
        <v>584</v>
      </c>
      <c r="C220" s="47" t="s">
        <v>454</v>
      </c>
      <c r="D220" s="47" t="s">
        <v>455</v>
      </c>
      <c r="E220" s="47" t="s">
        <v>456</v>
      </c>
      <c r="F220" s="47" t="s">
        <v>457</v>
      </c>
      <c r="G220" s="47">
        <v>5</v>
      </c>
      <c r="H220" s="47">
        <v>1</v>
      </c>
      <c r="I220" s="47">
        <v>1</v>
      </c>
      <c r="J220" s="47">
        <v>26</v>
      </c>
      <c r="K220" s="47">
        <v>655200</v>
      </c>
      <c r="L220" s="47">
        <v>86400</v>
      </c>
      <c r="M220" s="47">
        <v>5026</v>
      </c>
      <c r="N220" s="47" t="s">
        <v>203</v>
      </c>
      <c r="O220" s="48" t="s">
        <v>204</v>
      </c>
      <c r="P220" s="48" t="s">
        <v>560</v>
      </c>
      <c r="Q220" s="47"/>
      <c r="R220" s="47"/>
      <c r="S220" s="47"/>
      <c r="T220" s="47">
        <v>1</v>
      </c>
      <c r="U220" s="47" t="s">
        <v>459</v>
      </c>
      <c r="V220" s="47" t="s">
        <v>459</v>
      </c>
      <c r="W220" s="47" t="s">
        <v>460</v>
      </c>
      <c r="X220" s="47">
        <v>115</v>
      </c>
      <c r="Y220" s="47" t="s">
        <v>561</v>
      </c>
      <c r="Z220" s="47" t="s">
        <v>562</v>
      </c>
      <c r="AA220" s="47" t="s">
        <v>563</v>
      </c>
      <c r="AB220" s="19">
        <v>1</v>
      </c>
      <c r="AC220" s="43" t="b">
        <v>0</v>
      </c>
      <c r="AD220" s="4" t="b">
        <v>0</v>
      </c>
      <c r="AF220" s="44">
        <v>3</v>
      </c>
      <c r="AG220" s="45"/>
      <c r="AH220" s="45"/>
    </row>
    <row r="221" spans="1:34" s="46" customFormat="1" x14ac:dyDescent="0.25">
      <c r="A221" s="47">
        <v>15127</v>
      </c>
      <c r="B221" s="47" t="s">
        <v>585</v>
      </c>
      <c r="C221" s="47" t="s">
        <v>454</v>
      </c>
      <c r="D221" s="47" t="s">
        <v>455</v>
      </c>
      <c r="E221" s="47" t="s">
        <v>456</v>
      </c>
      <c r="F221" s="47" t="s">
        <v>457</v>
      </c>
      <c r="G221" s="47">
        <v>5</v>
      </c>
      <c r="H221" s="47">
        <v>1</v>
      </c>
      <c r="I221" s="47">
        <v>1</v>
      </c>
      <c r="J221" s="47">
        <v>27</v>
      </c>
      <c r="K221" s="47">
        <v>944775</v>
      </c>
      <c r="L221" s="47">
        <v>86400</v>
      </c>
      <c r="M221" s="47">
        <v>5027</v>
      </c>
      <c r="N221" s="47" t="s">
        <v>203</v>
      </c>
      <c r="O221" s="48" t="s">
        <v>204</v>
      </c>
      <c r="P221" s="48" t="s">
        <v>565</v>
      </c>
      <c r="Q221" s="47"/>
      <c r="R221" s="47"/>
      <c r="S221" s="47"/>
      <c r="T221" s="47">
        <v>1</v>
      </c>
      <c r="U221" s="47" t="s">
        <v>459</v>
      </c>
      <c r="V221" s="47" t="s">
        <v>459</v>
      </c>
      <c r="W221" s="47" t="s">
        <v>460</v>
      </c>
      <c r="X221" s="47">
        <v>120</v>
      </c>
      <c r="Y221" s="47" t="s">
        <v>566</v>
      </c>
      <c r="Z221" s="47" t="s">
        <v>567</v>
      </c>
      <c r="AA221" s="47" t="s">
        <v>568</v>
      </c>
      <c r="AB221" s="19">
        <v>1</v>
      </c>
      <c r="AC221" s="43" t="b">
        <v>0</v>
      </c>
      <c r="AD221" s="4" t="b">
        <v>0</v>
      </c>
      <c r="AF221" s="44">
        <v>3</v>
      </c>
      <c r="AG221" s="45"/>
      <c r="AH221" s="45"/>
    </row>
    <row r="222" spans="1:34" s="46" customFormat="1" x14ac:dyDescent="0.25">
      <c r="A222" s="47">
        <v>15128</v>
      </c>
      <c r="B222" s="47" t="s">
        <v>586</v>
      </c>
      <c r="C222" s="47" t="s">
        <v>454</v>
      </c>
      <c r="D222" s="47" t="s">
        <v>455</v>
      </c>
      <c r="E222" s="47" t="s">
        <v>456</v>
      </c>
      <c r="F222" s="47" t="s">
        <v>457</v>
      </c>
      <c r="G222" s="47">
        <v>5</v>
      </c>
      <c r="H222" s="47">
        <v>1</v>
      </c>
      <c r="I222" s="47">
        <v>1</v>
      </c>
      <c r="J222" s="47">
        <v>28</v>
      </c>
      <c r="K222" s="47">
        <v>1160250</v>
      </c>
      <c r="L222" s="47">
        <v>86400</v>
      </c>
      <c r="M222" s="47">
        <v>5028</v>
      </c>
      <c r="N222" s="47" t="s">
        <v>203</v>
      </c>
      <c r="O222" s="48" t="s">
        <v>204</v>
      </c>
      <c r="P222" s="48" t="s">
        <v>570</v>
      </c>
      <c r="Q222" s="47"/>
      <c r="R222" s="47"/>
      <c r="S222" s="47"/>
      <c r="T222" s="47">
        <v>1</v>
      </c>
      <c r="U222" s="47" t="s">
        <v>459</v>
      </c>
      <c r="V222" s="47" t="s">
        <v>459</v>
      </c>
      <c r="W222" s="47" t="s">
        <v>460</v>
      </c>
      <c r="X222" s="47">
        <v>125</v>
      </c>
      <c r="Y222" s="47" t="s">
        <v>571</v>
      </c>
      <c r="Z222" s="47" t="s">
        <v>572</v>
      </c>
      <c r="AA222" s="47" t="s">
        <v>573</v>
      </c>
      <c r="AB222" s="19">
        <v>1</v>
      </c>
      <c r="AC222" s="43" t="b">
        <v>0</v>
      </c>
      <c r="AD222" s="4" t="b">
        <v>0</v>
      </c>
      <c r="AF222" s="44">
        <v>3</v>
      </c>
      <c r="AG222" s="45"/>
      <c r="AH222" s="45"/>
    </row>
    <row r="223" spans="1:34" s="46" customFormat="1" x14ac:dyDescent="0.25">
      <c r="A223" s="47">
        <v>15129</v>
      </c>
      <c r="B223" s="47" t="s">
        <v>587</v>
      </c>
      <c r="C223" s="47" t="s">
        <v>454</v>
      </c>
      <c r="D223" s="47" t="s">
        <v>455</v>
      </c>
      <c r="E223" s="47" t="s">
        <v>456</v>
      </c>
      <c r="F223" s="47" t="s">
        <v>457</v>
      </c>
      <c r="G223" s="47">
        <v>5</v>
      </c>
      <c r="H223" s="47">
        <v>1</v>
      </c>
      <c r="I223" s="47">
        <v>1</v>
      </c>
      <c r="J223" s="47">
        <v>29</v>
      </c>
      <c r="K223" s="47">
        <v>1352520</v>
      </c>
      <c r="L223" s="47">
        <v>86400</v>
      </c>
      <c r="M223" s="47">
        <v>5029</v>
      </c>
      <c r="N223" s="47" t="s">
        <v>203</v>
      </c>
      <c r="O223" s="48" t="s">
        <v>204</v>
      </c>
      <c r="P223" s="48" t="s">
        <v>575</v>
      </c>
      <c r="Q223" s="47"/>
      <c r="R223" s="47"/>
      <c r="S223" s="47"/>
      <c r="T223" s="47">
        <v>1</v>
      </c>
      <c r="U223" s="47" t="s">
        <v>459</v>
      </c>
      <c r="V223" s="47" t="s">
        <v>459</v>
      </c>
      <c r="W223" s="47" t="s">
        <v>460</v>
      </c>
      <c r="X223" s="47">
        <v>130</v>
      </c>
      <c r="Y223" s="47" t="s">
        <v>576</v>
      </c>
      <c r="Z223" s="47" t="s">
        <v>577</v>
      </c>
      <c r="AA223" s="47" t="s">
        <v>578</v>
      </c>
      <c r="AB223" s="19">
        <v>1</v>
      </c>
      <c r="AC223" s="43" t="b">
        <v>0</v>
      </c>
      <c r="AD223" s="4" t="b">
        <v>0</v>
      </c>
      <c r="AF223" s="44">
        <v>3</v>
      </c>
      <c r="AG223" s="45"/>
      <c r="AH223" s="45"/>
    </row>
    <row r="224" spans="1:34" s="46" customFormat="1" x14ac:dyDescent="0.25">
      <c r="A224" s="47">
        <v>15130</v>
      </c>
      <c r="B224" s="47" t="s">
        <v>588</v>
      </c>
      <c r="C224" s="47" t="s">
        <v>454</v>
      </c>
      <c r="D224" s="47" t="s">
        <v>455</v>
      </c>
      <c r="E224" s="47" t="s">
        <v>456</v>
      </c>
      <c r="F224" s="47" t="s">
        <v>457</v>
      </c>
      <c r="G224" s="47">
        <v>5</v>
      </c>
      <c r="H224" s="47">
        <v>1</v>
      </c>
      <c r="I224" s="47">
        <v>1</v>
      </c>
      <c r="J224" s="47">
        <v>30</v>
      </c>
      <c r="K224" s="47">
        <v>1740375</v>
      </c>
      <c r="L224" s="47">
        <v>86400</v>
      </c>
      <c r="M224" s="47">
        <v>5030</v>
      </c>
      <c r="N224" s="47" t="s">
        <v>203</v>
      </c>
      <c r="O224" s="48" t="s">
        <v>204</v>
      </c>
      <c r="P224" s="48" t="s">
        <v>580</v>
      </c>
      <c r="Q224" s="47"/>
      <c r="R224" s="47"/>
      <c r="S224" s="47"/>
      <c r="T224" s="47">
        <v>1</v>
      </c>
      <c r="U224" s="47" t="s">
        <v>459</v>
      </c>
      <c r="V224" s="47" t="s">
        <v>459</v>
      </c>
      <c r="W224" s="47" t="s">
        <v>460</v>
      </c>
      <c r="X224" s="47">
        <v>135</v>
      </c>
      <c r="Y224" s="47" t="s">
        <v>581</v>
      </c>
      <c r="Z224" s="47" t="s">
        <v>582</v>
      </c>
      <c r="AA224" s="47" t="s">
        <v>583</v>
      </c>
      <c r="AB224" s="19">
        <v>1</v>
      </c>
      <c r="AC224" s="43" t="b">
        <v>0</v>
      </c>
      <c r="AD224" s="4" t="b">
        <v>0</v>
      </c>
      <c r="AF224" s="44">
        <v>3</v>
      </c>
      <c r="AG224" s="45"/>
      <c r="AH224" s="45"/>
    </row>
    <row r="225" spans="1:34" s="4" customFormat="1" x14ac:dyDescent="0.25">
      <c r="A225" s="19">
        <v>12101</v>
      </c>
      <c r="B225" s="19" t="s">
        <v>589</v>
      </c>
      <c r="C225" s="19" t="s">
        <v>590</v>
      </c>
      <c r="D225" s="19" t="s">
        <v>591</v>
      </c>
      <c r="E225" s="19" t="s">
        <v>592</v>
      </c>
      <c r="F225" s="19" t="s">
        <v>593</v>
      </c>
      <c r="G225" s="19">
        <v>2</v>
      </c>
      <c r="H225" s="19">
        <v>1</v>
      </c>
      <c r="I225" s="19">
        <v>2</v>
      </c>
      <c r="J225" s="19">
        <v>1</v>
      </c>
      <c r="K225" s="19">
        <v>136734</v>
      </c>
      <c r="L225" s="19">
        <v>86400</v>
      </c>
      <c r="M225" s="19">
        <v>2001</v>
      </c>
      <c r="N225" s="49" t="s">
        <v>594</v>
      </c>
      <c r="O225" s="42" t="s">
        <v>595</v>
      </c>
      <c r="P225" s="42" t="s">
        <v>596</v>
      </c>
      <c r="Q225" s="19">
        <v>1001001</v>
      </c>
      <c r="R225" s="19">
        <v>0</v>
      </c>
      <c r="S225" s="19" t="s">
        <v>206</v>
      </c>
      <c r="T225" s="19">
        <v>3</v>
      </c>
      <c r="U225" s="19" t="s">
        <v>597</v>
      </c>
      <c r="V225" s="19" t="s">
        <v>598</v>
      </c>
      <c r="W225" s="19" t="s">
        <v>599</v>
      </c>
      <c r="X225" s="19">
        <v>5</v>
      </c>
      <c r="Y225" s="19" t="s">
        <v>600</v>
      </c>
      <c r="Z225" s="19" t="s">
        <v>601</v>
      </c>
      <c r="AA225" s="19" t="s">
        <v>602</v>
      </c>
      <c r="AB225" s="19">
        <v>2</v>
      </c>
      <c r="AC225" s="43" t="b">
        <v>1</v>
      </c>
      <c r="AD225" s="4" t="b">
        <v>0</v>
      </c>
      <c r="AF225" s="44">
        <v>3</v>
      </c>
      <c r="AG225" s="45" t="s">
        <v>603</v>
      </c>
      <c r="AH225" s="45" t="s">
        <v>604</v>
      </c>
    </row>
    <row r="226" spans="1:34" s="4" customFormat="1" x14ac:dyDescent="0.25">
      <c r="A226" s="19">
        <v>12102</v>
      </c>
      <c r="B226" s="19" t="s">
        <v>605</v>
      </c>
      <c r="C226" s="19" t="s">
        <v>590</v>
      </c>
      <c r="D226" s="19" t="s">
        <v>591</v>
      </c>
      <c r="E226" s="19" t="s">
        <v>592</v>
      </c>
      <c r="F226" s="19" t="s">
        <v>593</v>
      </c>
      <c r="G226" s="19">
        <v>2</v>
      </c>
      <c r="H226" s="19">
        <v>1</v>
      </c>
      <c r="I226" s="19">
        <v>2</v>
      </c>
      <c r="J226" s="19">
        <v>2</v>
      </c>
      <c r="K226" s="19">
        <v>189545</v>
      </c>
      <c r="L226" s="19">
        <v>86400</v>
      </c>
      <c r="M226" s="19">
        <v>2002</v>
      </c>
      <c r="N226" s="49" t="s">
        <v>594</v>
      </c>
      <c r="O226" s="42" t="s">
        <v>595</v>
      </c>
      <c r="P226" s="42" t="s">
        <v>606</v>
      </c>
      <c r="Q226" s="19">
        <v>1001002</v>
      </c>
      <c r="R226" s="19">
        <v>0</v>
      </c>
      <c r="S226" s="19" t="s">
        <v>206</v>
      </c>
      <c r="T226" s="19">
        <v>3</v>
      </c>
      <c r="U226" s="19" t="s">
        <v>597</v>
      </c>
      <c r="V226" s="19" t="s">
        <v>598</v>
      </c>
      <c r="W226" s="19" t="s">
        <v>599</v>
      </c>
      <c r="X226" s="19">
        <v>5</v>
      </c>
      <c r="Y226" s="19" t="s">
        <v>607</v>
      </c>
      <c r="Z226" s="19" t="s">
        <v>608</v>
      </c>
      <c r="AA226" s="19" t="s">
        <v>609</v>
      </c>
      <c r="AB226" s="19">
        <v>2</v>
      </c>
      <c r="AC226" s="43" t="b">
        <v>1</v>
      </c>
      <c r="AD226" s="4" t="b">
        <v>0</v>
      </c>
      <c r="AF226" s="44">
        <v>3</v>
      </c>
      <c r="AG226" s="45" t="s">
        <v>610</v>
      </c>
      <c r="AH226" s="45" t="s">
        <v>604</v>
      </c>
    </row>
    <row r="227" spans="1:34" s="4" customFormat="1" x14ac:dyDescent="0.25">
      <c r="A227" s="19">
        <v>12103</v>
      </c>
      <c r="B227" s="19" t="s">
        <v>611</v>
      </c>
      <c r="C227" s="19" t="s">
        <v>590</v>
      </c>
      <c r="D227" s="19" t="s">
        <v>591</v>
      </c>
      <c r="E227" s="19" t="s">
        <v>592</v>
      </c>
      <c r="F227" s="19" t="s">
        <v>593</v>
      </c>
      <c r="G227" s="19">
        <v>2</v>
      </c>
      <c r="H227" s="19">
        <v>1</v>
      </c>
      <c r="I227" s="19">
        <v>2</v>
      </c>
      <c r="J227" s="19">
        <v>3</v>
      </c>
      <c r="K227" s="19">
        <v>256027</v>
      </c>
      <c r="L227" s="19">
        <v>86400</v>
      </c>
      <c r="M227" s="19">
        <v>2003</v>
      </c>
      <c r="N227" s="49" t="s">
        <v>594</v>
      </c>
      <c r="O227" s="42" t="s">
        <v>595</v>
      </c>
      <c r="P227" s="42" t="s">
        <v>612</v>
      </c>
      <c r="Q227" s="19">
        <v>1001003</v>
      </c>
      <c r="R227" s="19">
        <v>0</v>
      </c>
      <c r="S227" s="19" t="s">
        <v>206</v>
      </c>
      <c r="T227" s="19">
        <v>3</v>
      </c>
      <c r="U227" s="19" t="s">
        <v>597</v>
      </c>
      <c r="V227" s="19" t="s">
        <v>598</v>
      </c>
      <c r="W227" s="19" t="s">
        <v>599</v>
      </c>
      <c r="X227" s="19">
        <v>5</v>
      </c>
      <c r="Y227" s="19" t="s">
        <v>613</v>
      </c>
      <c r="Z227" s="19" t="s">
        <v>614</v>
      </c>
      <c r="AA227" s="19" t="s">
        <v>615</v>
      </c>
      <c r="AB227" s="19">
        <v>2</v>
      </c>
      <c r="AC227" s="43" t="b">
        <v>1</v>
      </c>
      <c r="AD227" s="4" t="b">
        <v>0</v>
      </c>
      <c r="AF227" s="44">
        <v>3</v>
      </c>
      <c r="AG227" s="45" t="s">
        <v>616</v>
      </c>
      <c r="AH227" s="45" t="s">
        <v>604</v>
      </c>
    </row>
    <row r="228" spans="1:34" s="4" customFormat="1" x14ac:dyDescent="0.25">
      <c r="A228" s="19">
        <v>12104</v>
      </c>
      <c r="B228" s="19" t="s">
        <v>617</v>
      </c>
      <c r="C228" s="19" t="s">
        <v>590</v>
      </c>
      <c r="D228" s="19" t="s">
        <v>591</v>
      </c>
      <c r="E228" s="19" t="s">
        <v>592</v>
      </c>
      <c r="F228" s="19" t="s">
        <v>593</v>
      </c>
      <c r="G228" s="19">
        <v>2</v>
      </c>
      <c r="H228" s="19">
        <v>1</v>
      </c>
      <c r="I228" s="19">
        <v>2</v>
      </c>
      <c r="J228" s="19">
        <v>4</v>
      </c>
      <c r="K228" s="19">
        <v>322773</v>
      </c>
      <c r="L228" s="19">
        <v>86400</v>
      </c>
      <c r="M228" s="19">
        <v>2004</v>
      </c>
      <c r="N228" s="49" t="s">
        <v>594</v>
      </c>
      <c r="O228" s="42" t="s">
        <v>595</v>
      </c>
      <c r="P228" s="42" t="s">
        <v>618</v>
      </c>
      <c r="Q228" s="19">
        <v>1001004</v>
      </c>
      <c r="R228" s="19">
        <v>0</v>
      </c>
      <c r="S228" s="19" t="s">
        <v>206</v>
      </c>
      <c r="T228" s="19">
        <v>3</v>
      </c>
      <c r="U228" s="19" t="s">
        <v>597</v>
      </c>
      <c r="V228" s="19" t="s">
        <v>598</v>
      </c>
      <c r="W228" s="19" t="s">
        <v>599</v>
      </c>
      <c r="X228" s="19">
        <v>5</v>
      </c>
      <c r="Y228" s="19" t="s">
        <v>619</v>
      </c>
      <c r="Z228" s="19" t="s">
        <v>620</v>
      </c>
      <c r="AA228" s="19" t="s">
        <v>621</v>
      </c>
      <c r="AB228" s="19">
        <v>2</v>
      </c>
      <c r="AC228" s="43" t="b">
        <v>1</v>
      </c>
      <c r="AD228" s="4" t="b">
        <v>0</v>
      </c>
      <c r="AF228" s="44">
        <v>3</v>
      </c>
      <c r="AG228" s="45" t="s">
        <v>622</v>
      </c>
      <c r="AH228" s="45" t="s">
        <v>604</v>
      </c>
    </row>
    <row r="229" spans="1:34" s="4" customFormat="1" x14ac:dyDescent="0.25">
      <c r="A229" s="19">
        <v>12105</v>
      </c>
      <c r="B229" s="19" t="s">
        <v>623</v>
      </c>
      <c r="C229" s="19" t="s">
        <v>590</v>
      </c>
      <c r="D229" s="19" t="s">
        <v>591</v>
      </c>
      <c r="E229" s="19" t="s">
        <v>592</v>
      </c>
      <c r="F229" s="19" t="s">
        <v>593</v>
      </c>
      <c r="G229" s="19">
        <v>2</v>
      </c>
      <c r="H229" s="19">
        <v>1</v>
      </c>
      <c r="I229" s="19">
        <v>2</v>
      </c>
      <c r="J229" s="19">
        <v>5</v>
      </c>
      <c r="K229" s="19">
        <v>425920</v>
      </c>
      <c r="L229" s="19">
        <v>86400</v>
      </c>
      <c r="M229" s="19">
        <v>2005</v>
      </c>
      <c r="N229" s="49" t="s">
        <v>594</v>
      </c>
      <c r="O229" s="42" t="s">
        <v>595</v>
      </c>
      <c r="P229" s="42" t="s">
        <v>624</v>
      </c>
      <c r="Q229" s="19">
        <v>1001005</v>
      </c>
      <c r="R229" s="19">
        <v>0</v>
      </c>
      <c r="S229" s="19" t="s">
        <v>206</v>
      </c>
      <c r="T229" s="19">
        <v>3</v>
      </c>
      <c r="U229" s="19" t="s">
        <v>597</v>
      </c>
      <c r="V229" s="19" t="s">
        <v>598</v>
      </c>
      <c r="W229" s="19" t="s">
        <v>599</v>
      </c>
      <c r="X229" s="19">
        <v>5</v>
      </c>
      <c r="Y229" s="19" t="s">
        <v>625</v>
      </c>
      <c r="Z229" s="19" t="s">
        <v>626</v>
      </c>
      <c r="AA229" s="19" t="s">
        <v>627</v>
      </c>
      <c r="AB229" s="19">
        <v>2</v>
      </c>
      <c r="AC229" s="43" t="b">
        <v>1</v>
      </c>
      <c r="AD229" s="4" t="b">
        <v>0</v>
      </c>
      <c r="AF229" s="44">
        <v>3</v>
      </c>
      <c r="AG229" s="45" t="s">
        <v>628</v>
      </c>
      <c r="AH229" s="45" t="s">
        <v>604</v>
      </c>
    </row>
    <row r="230" spans="1:34" s="4" customFormat="1" x14ac:dyDescent="0.25">
      <c r="A230" s="19">
        <v>12106</v>
      </c>
      <c r="B230" s="19" t="s">
        <v>629</v>
      </c>
      <c r="C230" s="19" t="s">
        <v>590</v>
      </c>
      <c r="D230" s="19" t="s">
        <v>591</v>
      </c>
      <c r="E230" s="19" t="s">
        <v>592</v>
      </c>
      <c r="F230" s="19" t="s">
        <v>593</v>
      </c>
      <c r="G230" s="19">
        <v>2</v>
      </c>
      <c r="H230" s="19">
        <v>1</v>
      </c>
      <c r="I230" s="19">
        <v>2</v>
      </c>
      <c r="J230" s="19">
        <v>6</v>
      </c>
      <c r="K230" s="19">
        <v>554320</v>
      </c>
      <c r="L230" s="19">
        <v>86400</v>
      </c>
      <c r="M230" s="19">
        <v>2006</v>
      </c>
      <c r="N230" s="49" t="s">
        <v>594</v>
      </c>
      <c r="O230" s="42" t="s">
        <v>595</v>
      </c>
      <c r="P230" s="42" t="s">
        <v>630</v>
      </c>
      <c r="Q230" s="19">
        <v>1001006</v>
      </c>
      <c r="R230" s="19">
        <v>0</v>
      </c>
      <c r="S230" s="19" t="s">
        <v>206</v>
      </c>
      <c r="T230" s="19">
        <v>3</v>
      </c>
      <c r="U230" s="19" t="s">
        <v>597</v>
      </c>
      <c r="V230" s="19" t="s">
        <v>598</v>
      </c>
      <c r="W230" s="19" t="s">
        <v>599</v>
      </c>
      <c r="X230" s="19">
        <v>10</v>
      </c>
      <c r="Y230" s="19" t="s">
        <v>631</v>
      </c>
      <c r="Z230" s="19" t="s">
        <v>632</v>
      </c>
      <c r="AA230" s="19" t="s">
        <v>633</v>
      </c>
      <c r="AB230" s="19">
        <v>2</v>
      </c>
      <c r="AC230" s="43" t="b">
        <v>1</v>
      </c>
      <c r="AD230" s="4" t="b">
        <v>0</v>
      </c>
      <c r="AF230" s="44">
        <v>3</v>
      </c>
      <c r="AG230" s="45" t="s">
        <v>634</v>
      </c>
      <c r="AH230" s="45" t="s">
        <v>604</v>
      </c>
    </row>
    <row r="231" spans="1:34" s="4" customFormat="1" x14ac:dyDescent="0.25">
      <c r="A231" s="19">
        <v>12107</v>
      </c>
      <c r="B231" s="19" t="s">
        <v>635</v>
      </c>
      <c r="C231" s="19" t="s">
        <v>590</v>
      </c>
      <c r="D231" s="19" t="s">
        <v>591</v>
      </c>
      <c r="E231" s="19" t="s">
        <v>592</v>
      </c>
      <c r="F231" s="19" t="s">
        <v>593</v>
      </c>
      <c r="G231" s="19">
        <v>2</v>
      </c>
      <c r="H231" s="19">
        <v>1</v>
      </c>
      <c r="I231" s="19">
        <v>2</v>
      </c>
      <c r="J231" s="19">
        <v>7</v>
      </c>
      <c r="K231" s="19">
        <v>662362</v>
      </c>
      <c r="L231" s="19">
        <v>86400</v>
      </c>
      <c r="M231" s="19">
        <v>2007</v>
      </c>
      <c r="N231" s="49" t="s">
        <v>594</v>
      </c>
      <c r="O231" s="42" t="s">
        <v>595</v>
      </c>
      <c r="P231" s="42" t="s">
        <v>636</v>
      </c>
      <c r="Q231" s="19">
        <v>1001007</v>
      </c>
      <c r="R231" s="19">
        <v>0</v>
      </c>
      <c r="S231" s="19" t="s">
        <v>206</v>
      </c>
      <c r="T231" s="19">
        <v>3</v>
      </c>
      <c r="U231" s="19" t="s">
        <v>597</v>
      </c>
      <c r="V231" s="19" t="s">
        <v>598</v>
      </c>
      <c r="W231" s="19" t="s">
        <v>599</v>
      </c>
      <c r="X231" s="19">
        <v>10</v>
      </c>
      <c r="Y231" s="19" t="s">
        <v>637</v>
      </c>
      <c r="Z231" s="19" t="s">
        <v>638</v>
      </c>
      <c r="AA231" s="19" t="s">
        <v>639</v>
      </c>
      <c r="AB231" s="19">
        <v>2</v>
      </c>
      <c r="AC231" s="43" t="b">
        <v>1</v>
      </c>
      <c r="AD231" s="4" t="b">
        <v>0</v>
      </c>
      <c r="AF231" s="44">
        <v>3</v>
      </c>
      <c r="AG231" s="45" t="s">
        <v>640</v>
      </c>
      <c r="AH231" s="45" t="s">
        <v>604</v>
      </c>
    </row>
    <row r="232" spans="1:34" s="4" customFormat="1" x14ac:dyDescent="0.25">
      <c r="A232" s="19">
        <v>12108</v>
      </c>
      <c r="B232" s="19" t="s">
        <v>641</v>
      </c>
      <c r="C232" s="19" t="s">
        <v>590</v>
      </c>
      <c r="D232" s="19" t="s">
        <v>591</v>
      </c>
      <c r="E232" s="19" t="s">
        <v>592</v>
      </c>
      <c r="F232" s="19" t="s">
        <v>593</v>
      </c>
      <c r="G232" s="19">
        <v>2</v>
      </c>
      <c r="H232" s="19">
        <v>1</v>
      </c>
      <c r="I232" s="19">
        <v>2</v>
      </c>
      <c r="J232" s="19">
        <v>8</v>
      </c>
      <c r="K232" s="19">
        <v>862125</v>
      </c>
      <c r="L232" s="19">
        <v>86400</v>
      </c>
      <c r="M232" s="19">
        <v>2008</v>
      </c>
      <c r="N232" s="49" t="s">
        <v>594</v>
      </c>
      <c r="O232" s="42" t="s">
        <v>595</v>
      </c>
      <c r="P232" s="42" t="s">
        <v>642</v>
      </c>
      <c r="Q232" s="19">
        <v>1001008</v>
      </c>
      <c r="R232" s="19">
        <v>0</v>
      </c>
      <c r="S232" s="19" t="s">
        <v>206</v>
      </c>
      <c r="T232" s="19">
        <v>3</v>
      </c>
      <c r="U232" s="19" t="s">
        <v>597</v>
      </c>
      <c r="V232" s="19" t="s">
        <v>598</v>
      </c>
      <c r="W232" s="19" t="s">
        <v>599</v>
      </c>
      <c r="X232" s="19">
        <v>10</v>
      </c>
      <c r="Y232" s="19" t="s">
        <v>643</v>
      </c>
      <c r="Z232" s="19" t="s">
        <v>644</v>
      </c>
      <c r="AA232" s="19" t="s">
        <v>645</v>
      </c>
      <c r="AB232" s="19">
        <v>2</v>
      </c>
      <c r="AC232" s="43" t="b">
        <v>1</v>
      </c>
      <c r="AD232" s="4" t="b">
        <v>0</v>
      </c>
      <c r="AF232" s="44">
        <v>3</v>
      </c>
      <c r="AG232" s="45" t="s">
        <v>646</v>
      </c>
      <c r="AH232" s="45" t="s">
        <v>604</v>
      </c>
    </row>
    <row r="233" spans="1:34" s="4" customFormat="1" x14ac:dyDescent="0.25">
      <c r="A233" s="19">
        <v>12109</v>
      </c>
      <c r="B233" s="19" t="s">
        <v>647</v>
      </c>
      <c r="C233" s="19" t="s">
        <v>590</v>
      </c>
      <c r="D233" s="19" t="s">
        <v>591</v>
      </c>
      <c r="E233" s="19" t="s">
        <v>592</v>
      </c>
      <c r="F233" s="19" t="s">
        <v>593</v>
      </c>
      <c r="G233" s="19">
        <v>2</v>
      </c>
      <c r="H233" s="19">
        <v>1</v>
      </c>
      <c r="I233" s="19">
        <v>2</v>
      </c>
      <c r="J233" s="19">
        <v>9</v>
      </c>
      <c r="K233" s="19">
        <v>996081</v>
      </c>
      <c r="L233" s="19">
        <v>86400</v>
      </c>
      <c r="M233" s="19">
        <v>2009</v>
      </c>
      <c r="N233" s="49" t="s">
        <v>594</v>
      </c>
      <c r="O233" s="42" t="s">
        <v>595</v>
      </c>
      <c r="P233" s="42" t="s">
        <v>648</v>
      </c>
      <c r="Q233" s="19">
        <v>1001009</v>
      </c>
      <c r="R233" s="19">
        <v>0</v>
      </c>
      <c r="S233" s="19" t="s">
        <v>206</v>
      </c>
      <c r="T233" s="19">
        <v>3</v>
      </c>
      <c r="U233" s="19" t="s">
        <v>597</v>
      </c>
      <c r="V233" s="19" t="s">
        <v>598</v>
      </c>
      <c r="W233" s="19" t="s">
        <v>599</v>
      </c>
      <c r="X233" s="19">
        <v>10</v>
      </c>
      <c r="Y233" s="19" t="s">
        <v>649</v>
      </c>
      <c r="Z233" s="19" t="s">
        <v>650</v>
      </c>
      <c r="AA233" s="19" t="s">
        <v>651</v>
      </c>
      <c r="AB233" s="19">
        <v>2</v>
      </c>
      <c r="AC233" s="43" t="b">
        <v>1</v>
      </c>
      <c r="AD233" s="4" t="b">
        <v>0</v>
      </c>
      <c r="AF233" s="44">
        <v>3</v>
      </c>
      <c r="AG233" s="45" t="s">
        <v>652</v>
      </c>
      <c r="AH233" s="45" t="s">
        <v>604</v>
      </c>
    </row>
    <row r="234" spans="1:34" s="4" customFormat="1" x14ac:dyDescent="0.25">
      <c r="A234" s="19">
        <v>12110</v>
      </c>
      <c r="B234" s="19" t="s">
        <v>653</v>
      </c>
      <c r="C234" s="19" t="s">
        <v>590</v>
      </c>
      <c r="D234" s="19" t="s">
        <v>591</v>
      </c>
      <c r="E234" s="19" t="s">
        <v>592</v>
      </c>
      <c r="F234" s="19" t="s">
        <v>593</v>
      </c>
      <c r="G234" s="19">
        <v>2</v>
      </c>
      <c r="H234" s="19">
        <v>1</v>
      </c>
      <c r="I234" s="19">
        <v>2</v>
      </c>
      <c r="J234" s="19">
        <v>10</v>
      </c>
      <c r="K234" s="19">
        <v>1132640</v>
      </c>
      <c r="L234" s="19">
        <v>86400</v>
      </c>
      <c r="M234" s="19">
        <v>2010</v>
      </c>
      <c r="N234" s="49" t="s">
        <v>594</v>
      </c>
      <c r="O234" s="42" t="s">
        <v>595</v>
      </c>
      <c r="P234" s="42" t="s">
        <v>654</v>
      </c>
      <c r="Q234" s="19">
        <v>1001010</v>
      </c>
      <c r="R234" s="19">
        <v>0</v>
      </c>
      <c r="S234" s="19" t="s">
        <v>206</v>
      </c>
      <c r="T234" s="19">
        <v>3</v>
      </c>
      <c r="U234" s="19" t="s">
        <v>597</v>
      </c>
      <c r="V234" s="19" t="s">
        <v>598</v>
      </c>
      <c r="W234" s="19" t="s">
        <v>599</v>
      </c>
      <c r="X234" s="19">
        <v>10</v>
      </c>
      <c r="Y234" s="19" t="s">
        <v>655</v>
      </c>
      <c r="Z234" s="19" t="s">
        <v>656</v>
      </c>
      <c r="AA234" s="19" t="s">
        <v>657</v>
      </c>
      <c r="AB234" s="19">
        <v>2</v>
      </c>
      <c r="AC234" s="43" t="b">
        <v>1</v>
      </c>
      <c r="AD234" s="4" t="b">
        <v>0</v>
      </c>
      <c r="AF234" s="44">
        <v>3</v>
      </c>
      <c r="AG234" s="45" t="s">
        <v>658</v>
      </c>
      <c r="AH234" s="45" t="s">
        <v>604</v>
      </c>
    </row>
    <row r="235" spans="1:34" s="4" customFormat="1" x14ac:dyDescent="0.25">
      <c r="A235" s="19">
        <v>12111</v>
      </c>
      <c r="B235" s="19" t="s">
        <v>659</v>
      </c>
      <c r="C235" s="19" t="s">
        <v>590</v>
      </c>
      <c r="D235" s="19" t="s">
        <v>591</v>
      </c>
      <c r="E235" s="19" t="s">
        <v>592</v>
      </c>
      <c r="F235" s="19" t="s">
        <v>593</v>
      </c>
      <c r="G235" s="19">
        <v>2</v>
      </c>
      <c r="H235" s="19">
        <v>1</v>
      </c>
      <c r="I235" s="19">
        <v>2</v>
      </c>
      <c r="J235" s="19">
        <v>11</v>
      </c>
      <c r="K235" s="19">
        <v>1307753</v>
      </c>
      <c r="L235" s="19">
        <v>86400</v>
      </c>
      <c r="M235" s="19">
        <v>2011</v>
      </c>
      <c r="N235" s="49" t="s">
        <v>594</v>
      </c>
      <c r="O235" s="42" t="s">
        <v>595</v>
      </c>
      <c r="P235" s="42" t="s">
        <v>660</v>
      </c>
      <c r="Q235" s="19">
        <v>1001011</v>
      </c>
      <c r="R235" s="19">
        <v>0</v>
      </c>
      <c r="S235" s="19" t="s">
        <v>206</v>
      </c>
      <c r="T235" s="19">
        <v>3</v>
      </c>
      <c r="U235" s="19" t="s">
        <v>597</v>
      </c>
      <c r="V235" s="19" t="s">
        <v>598</v>
      </c>
      <c r="W235" s="19" t="s">
        <v>599</v>
      </c>
      <c r="X235" s="19">
        <v>15</v>
      </c>
      <c r="Y235" s="19" t="s">
        <v>661</v>
      </c>
      <c r="Z235" s="19" t="s">
        <v>662</v>
      </c>
      <c r="AA235" s="19" t="s">
        <v>663</v>
      </c>
      <c r="AB235" s="19">
        <v>2</v>
      </c>
      <c r="AC235" s="43" t="b">
        <v>1</v>
      </c>
      <c r="AD235" s="4" t="b">
        <v>0</v>
      </c>
      <c r="AF235" s="44">
        <v>3</v>
      </c>
      <c r="AG235" s="45" t="s">
        <v>664</v>
      </c>
      <c r="AH235" s="45" t="s">
        <v>604</v>
      </c>
    </row>
    <row r="236" spans="1:34" s="4" customFormat="1" x14ac:dyDescent="0.25">
      <c r="A236" s="19">
        <v>12112</v>
      </c>
      <c r="B236" s="19" t="s">
        <v>665</v>
      </c>
      <c r="C236" s="19" t="s">
        <v>590</v>
      </c>
      <c r="D236" s="19" t="s">
        <v>591</v>
      </c>
      <c r="E236" s="19" t="s">
        <v>592</v>
      </c>
      <c r="F236" s="19" t="s">
        <v>593</v>
      </c>
      <c r="G236" s="19">
        <v>2</v>
      </c>
      <c r="H236" s="19">
        <v>1</v>
      </c>
      <c r="I236" s="19">
        <v>2</v>
      </c>
      <c r="J236" s="19">
        <v>12</v>
      </c>
      <c r="K236" s="19">
        <v>1586378</v>
      </c>
      <c r="L236" s="19">
        <v>86400</v>
      </c>
      <c r="M236" s="19">
        <v>2012</v>
      </c>
      <c r="N236" s="49" t="s">
        <v>594</v>
      </c>
      <c r="O236" s="42" t="s">
        <v>595</v>
      </c>
      <c r="P236" s="42" t="s">
        <v>666</v>
      </c>
      <c r="Q236" s="19">
        <v>1001012</v>
      </c>
      <c r="R236" s="19">
        <v>0</v>
      </c>
      <c r="S236" s="19" t="s">
        <v>206</v>
      </c>
      <c r="T236" s="19">
        <v>3</v>
      </c>
      <c r="U236" s="19" t="s">
        <v>597</v>
      </c>
      <c r="V236" s="19" t="s">
        <v>598</v>
      </c>
      <c r="W236" s="19" t="s">
        <v>599</v>
      </c>
      <c r="X236" s="19">
        <v>15</v>
      </c>
      <c r="Y236" s="19" t="s">
        <v>667</v>
      </c>
      <c r="Z236" s="19" t="s">
        <v>668</v>
      </c>
      <c r="AA236" s="19" t="s">
        <v>669</v>
      </c>
      <c r="AB236" s="19">
        <v>2</v>
      </c>
      <c r="AC236" s="43" t="b">
        <v>1</v>
      </c>
      <c r="AD236" s="4" t="b">
        <v>0</v>
      </c>
      <c r="AF236" s="44">
        <v>3</v>
      </c>
      <c r="AG236" s="45" t="s">
        <v>670</v>
      </c>
      <c r="AH236" s="45" t="s">
        <v>604</v>
      </c>
    </row>
    <row r="237" spans="1:34" s="4" customFormat="1" x14ac:dyDescent="0.25">
      <c r="A237" s="19">
        <v>12113</v>
      </c>
      <c r="B237" s="19" t="s">
        <v>671</v>
      </c>
      <c r="C237" s="19" t="s">
        <v>590</v>
      </c>
      <c r="D237" s="19" t="s">
        <v>591</v>
      </c>
      <c r="E237" s="19" t="s">
        <v>592</v>
      </c>
      <c r="F237" s="19" t="s">
        <v>593</v>
      </c>
      <c r="G237" s="19">
        <v>2</v>
      </c>
      <c r="H237" s="19">
        <v>1</v>
      </c>
      <c r="I237" s="19">
        <v>2</v>
      </c>
      <c r="J237" s="19">
        <v>13</v>
      </c>
      <c r="K237" s="19">
        <v>2008046</v>
      </c>
      <c r="L237" s="19">
        <v>86400</v>
      </c>
      <c r="M237" s="19">
        <v>2013</v>
      </c>
      <c r="N237" s="49" t="s">
        <v>594</v>
      </c>
      <c r="O237" s="42" t="s">
        <v>595</v>
      </c>
      <c r="P237" s="42" t="s">
        <v>672</v>
      </c>
      <c r="Q237" s="19">
        <v>1001013</v>
      </c>
      <c r="R237" s="19">
        <v>0</v>
      </c>
      <c r="S237" s="19" t="s">
        <v>206</v>
      </c>
      <c r="T237" s="19">
        <v>3</v>
      </c>
      <c r="U237" s="19" t="s">
        <v>597</v>
      </c>
      <c r="V237" s="19" t="s">
        <v>598</v>
      </c>
      <c r="W237" s="19" t="s">
        <v>599</v>
      </c>
      <c r="X237" s="19">
        <v>15</v>
      </c>
      <c r="Y237" s="19" t="s">
        <v>673</v>
      </c>
      <c r="Z237" s="19" t="s">
        <v>674</v>
      </c>
      <c r="AA237" s="19" t="s">
        <v>675</v>
      </c>
      <c r="AB237" s="19">
        <v>2</v>
      </c>
      <c r="AC237" s="43" t="b">
        <v>1</v>
      </c>
      <c r="AD237" s="4" t="b">
        <v>0</v>
      </c>
      <c r="AF237" s="44">
        <v>3</v>
      </c>
      <c r="AG237" s="45" t="s">
        <v>676</v>
      </c>
      <c r="AH237" s="45" t="s">
        <v>604</v>
      </c>
    </row>
    <row r="238" spans="1:34" s="4" customFormat="1" x14ac:dyDescent="0.25">
      <c r="A238" s="19">
        <v>12114</v>
      </c>
      <c r="B238" s="19" t="s">
        <v>677</v>
      </c>
      <c r="C238" s="19" t="s">
        <v>590</v>
      </c>
      <c r="D238" s="19" t="s">
        <v>591</v>
      </c>
      <c r="E238" s="19" t="s">
        <v>592</v>
      </c>
      <c r="F238" s="19" t="s">
        <v>593</v>
      </c>
      <c r="G238" s="19">
        <v>2</v>
      </c>
      <c r="H238" s="19">
        <v>1</v>
      </c>
      <c r="I238" s="19">
        <v>2</v>
      </c>
      <c r="J238" s="19">
        <v>14</v>
      </c>
      <c r="K238" s="19">
        <v>2378005</v>
      </c>
      <c r="L238" s="19">
        <v>86400</v>
      </c>
      <c r="M238" s="19">
        <v>2014</v>
      </c>
      <c r="N238" s="49" t="s">
        <v>594</v>
      </c>
      <c r="O238" s="42" t="s">
        <v>595</v>
      </c>
      <c r="P238" s="42" t="s">
        <v>678</v>
      </c>
      <c r="Q238" s="19">
        <v>1001014</v>
      </c>
      <c r="R238" s="19">
        <v>0</v>
      </c>
      <c r="S238" s="19" t="s">
        <v>206</v>
      </c>
      <c r="T238" s="19">
        <v>3</v>
      </c>
      <c r="U238" s="19" t="s">
        <v>597</v>
      </c>
      <c r="V238" s="19" t="s">
        <v>598</v>
      </c>
      <c r="W238" s="19" t="s">
        <v>599</v>
      </c>
      <c r="X238" s="19">
        <v>15</v>
      </c>
      <c r="Y238" s="19" t="s">
        <v>679</v>
      </c>
      <c r="Z238" s="19" t="s">
        <v>680</v>
      </c>
      <c r="AA238" s="19" t="s">
        <v>681</v>
      </c>
      <c r="AB238" s="19">
        <v>2</v>
      </c>
      <c r="AC238" s="43" t="b">
        <v>1</v>
      </c>
      <c r="AD238" s="4" t="b">
        <v>0</v>
      </c>
      <c r="AF238" s="44">
        <v>3</v>
      </c>
      <c r="AG238" s="45" t="s">
        <v>682</v>
      </c>
      <c r="AH238" s="45" t="s">
        <v>604</v>
      </c>
    </row>
    <row r="239" spans="1:34" s="4" customFormat="1" x14ac:dyDescent="0.25">
      <c r="A239" s="19">
        <v>12115</v>
      </c>
      <c r="B239" s="19" t="s">
        <v>683</v>
      </c>
      <c r="C239" s="19" t="s">
        <v>590</v>
      </c>
      <c r="D239" s="19" t="s">
        <v>591</v>
      </c>
      <c r="E239" s="19" t="s">
        <v>592</v>
      </c>
      <c r="F239" s="19" t="s">
        <v>593</v>
      </c>
      <c r="G239" s="19">
        <v>2</v>
      </c>
      <c r="H239" s="19">
        <v>1</v>
      </c>
      <c r="I239" s="19">
        <v>2</v>
      </c>
      <c r="J239" s="19">
        <v>15</v>
      </c>
      <c r="K239" s="19">
        <v>2844706</v>
      </c>
      <c r="L239" s="19">
        <v>86400</v>
      </c>
      <c r="M239" s="19">
        <v>2015</v>
      </c>
      <c r="N239" s="49" t="s">
        <v>594</v>
      </c>
      <c r="O239" s="42" t="s">
        <v>595</v>
      </c>
      <c r="P239" s="42" t="s">
        <v>684</v>
      </c>
      <c r="Q239" s="19">
        <v>1001015</v>
      </c>
      <c r="R239" s="19">
        <v>0</v>
      </c>
      <c r="S239" s="19" t="s">
        <v>206</v>
      </c>
      <c r="T239" s="19">
        <v>3</v>
      </c>
      <c r="U239" s="19" t="s">
        <v>597</v>
      </c>
      <c r="V239" s="19" t="s">
        <v>598</v>
      </c>
      <c r="W239" s="19" t="s">
        <v>599</v>
      </c>
      <c r="X239" s="19">
        <v>15</v>
      </c>
      <c r="Y239" s="19" t="s">
        <v>685</v>
      </c>
      <c r="Z239" s="19" t="s">
        <v>686</v>
      </c>
      <c r="AA239" s="19" t="s">
        <v>687</v>
      </c>
      <c r="AB239" s="19">
        <v>2</v>
      </c>
      <c r="AC239" s="43" t="b">
        <v>1</v>
      </c>
      <c r="AD239" s="4" t="b">
        <v>0</v>
      </c>
      <c r="AF239" s="44">
        <v>3</v>
      </c>
      <c r="AG239" s="45" t="s">
        <v>688</v>
      </c>
      <c r="AH239" s="45" t="s">
        <v>604</v>
      </c>
    </row>
    <row r="240" spans="1:34" s="4" customFormat="1" x14ac:dyDescent="0.25">
      <c r="A240" s="19">
        <v>12116</v>
      </c>
      <c r="B240" s="19" t="s">
        <v>689</v>
      </c>
      <c r="C240" s="19" t="s">
        <v>590</v>
      </c>
      <c r="D240" s="19" t="s">
        <v>591</v>
      </c>
      <c r="E240" s="19" t="s">
        <v>592</v>
      </c>
      <c r="F240" s="19" t="s">
        <v>593</v>
      </c>
      <c r="G240" s="19">
        <v>2</v>
      </c>
      <c r="H240" s="19">
        <v>1</v>
      </c>
      <c r="I240" s="19">
        <v>2</v>
      </c>
      <c r="J240" s="19">
        <v>16</v>
      </c>
      <c r="K240" s="19">
        <v>3460325</v>
      </c>
      <c r="L240" s="19">
        <v>86400</v>
      </c>
      <c r="M240" s="19">
        <v>2016</v>
      </c>
      <c r="N240" s="49" t="s">
        <v>594</v>
      </c>
      <c r="O240" s="42" t="s">
        <v>595</v>
      </c>
      <c r="P240" s="42" t="s">
        <v>690</v>
      </c>
      <c r="Q240" s="19">
        <v>1001016</v>
      </c>
      <c r="R240" s="19">
        <v>0</v>
      </c>
      <c r="S240" s="19" t="s">
        <v>206</v>
      </c>
      <c r="T240" s="19">
        <v>3</v>
      </c>
      <c r="U240" s="19" t="s">
        <v>597</v>
      </c>
      <c r="V240" s="19" t="s">
        <v>598</v>
      </c>
      <c r="W240" s="19" t="s">
        <v>691</v>
      </c>
      <c r="X240" s="19">
        <v>20</v>
      </c>
      <c r="Y240" s="19" t="s">
        <v>692</v>
      </c>
      <c r="Z240" s="19" t="s">
        <v>693</v>
      </c>
      <c r="AA240" s="19" t="s">
        <v>694</v>
      </c>
      <c r="AB240" s="19">
        <v>2</v>
      </c>
      <c r="AC240" s="43" t="b">
        <v>1</v>
      </c>
      <c r="AD240" s="4" t="b">
        <v>0</v>
      </c>
      <c r="AF240" s="44">
        <v>3</v>
      </c>
      <c r="AG240" s="45" t="s">
        <v>695</v>
      </c>
      <c r="AH240" s="45" t="s">
        <v>604</v>
      </c>
    </row>
    <row r="241" spans="1:34" s="4" customFormat="1" x14ac:dyDescent="0.25">
      <c r="A241" s="19">
        <v>12117</v>
      </c>
      <c r="B241" s="19" t="s">
        <v>696</v>
      </c>
      <c r="C241" s="19" t="s">
        <v>590</v>
      </c>
      <c r="D241" s="19" t="s">
        <v>591</v>
      </c>
      <c r="E241" s="19" t="s">
        <v>592</v>
      </c>
      <c r="F241" s="19" t="s">
        <v>593</v>
      </c>
      <c r="G241" s="19">
        <v>2</v>
      </c>
      <c r="H241" s="19">
        <v>1</v>
      </c>
      <c r="I241" s="19">
        <v>2</v>
      </c>
      <c r="J241" s="19">
        <v>17</v>
      </c>
      <c r="K241" s="19">
        <v>4200949</v>
      </c>
      <c r="L241" s="19">
        <v>86400</v>
      </c>
      <c r="M241" s="19">
        <v>2017</v>
      </c>
      <c r="N241" s="49" t="s">
        <v>594</v>
      </c>
      <c r="O241" s="42" t="s">
        <v>595</v>
      </c>
      <c r="P241" s="42" t="s">
        <v>697</v>
      </c>
      <c r="Q241" s="19">
        <v>1001017</v>
      </c>
      <c r="R241" s="19">
        <v>0</v>
      </c>
      <c r="S241" s="19" t="s">
        <v>206</v>
      </c>
      <c r="T241" s="19">
        <v>3</v>
      </c>
      <c r="U241" s="19" t="s">
        <v>597</v>
      </c>
      <c r="V241" s="19" t="s">
        <v>598</v>
      </c>
      <c r="W241" s="19" t="s">
        <v>691</v>
      </c>
      <c r="X241" s="19">
        <v>20</v>
      </c>
      <c r="Y241" s="19" t="s">
        <v>698</v>
      </c>
      <c r="Z241" s="19" t="s">
        <v>699</v>
      </c>
      <c r="AA241" s="19" t="s">
        <v>700</v>
      </c>
      <c r="AB241" s="19">
        <v>2</v>
      </c>
      <c r="AC241" s="43" t="b">
        <v>1</v>
      </c>
      <c r="AD241" s="4" t="b">
        <v>0</v>
      </c>
      <c r="AF241" s="44">
        <v>3</v>
      </c>
      <c r="AG241" s="45" t="s">
        <v>701</v>
      </c>
      <c r="AH241" s="45" t="s">
        <v>604</v>
      </c>
    </row>
    <row r="242" spans="1:34" s="4" customFormat="1" x14ac:dyDescent="0.25">
      <c r="A242" s="19">
        <v>12118</v>
      </c>
      <c r="B242" s="19" t="s">
        <v>702</v>
      </c>
      <c r="C242" s="19" t="s">
        <v>590</v>
      </c>
      <c r="D242" s="19" t="s">
        <v>591</v>
      </c>
      <c r="E242" s="19" t="s">
        <v>592</v>
      </c>
      <c r="F242" s="19" t="s">
        <v>593</v>
      </c>
      <c r="G242" s="19">
        <v>2</v>
      </c>
      <c r="H242" s="19">
        <v>1</v>
      </c>
      <c r="I242" s="19">
        <v>2</v>
      </c>
      <c r="J242" s="19">
        <v>18</v>
      </c>
      <c r="K242" s="19">
        <v>5000516</v>
      </c>
      <c r="L242" s="19">
        <v>86400</v>
      </c>
      <c r="M242" s="19">
        <v>2018</v>
      </c>
      <c r="N242" s="49" t="s">
        <v>594</v>
      </c>
      <c r="O242" s="42" t="s">
        <v>595</v>
      </c>
      <c r="P242" s="42" t="s">
        <v>703</v>
      </c>
      <c r="Q242" s="19">
        <v>1001018</v>
      </c>
      <c r="R242" s="19">
        <v>0</v>
      </c>
      <c r="S242" s="19" t="s">
        <v>206</v>
      </c>
      <c r="T242" s="19">
        <v>3</v>
      </c>
      <c r="U242" s="19" t="s">
        <v>597</v>
      </c>
      <c r="V242" s="19" t="s">
        <v>598</v>
      </c>
      <c r="W242" s="19" t="s">
        <v>691</v>
      </c>
      <c r="X242" s="19">
        <v>20</v>
      </c>
      <c r="Y242" s="19" t="s">
        <v>704</v>
      </c>
      <c r="Z242" s="19" t="s">
        <v>705</v>
      </c>
      <c r="AA242" s="19" t="s">
        <v>706</v>
      </c>
      <c r="AB242" s="19">
        <v>2</v>
      </c>
      <c r="AC242" s="43" t="b">
        <v>1</v>
      </c>
      <c r="AD242" s="4" t="b">
        <v>0</v>
      </c>
      <c r="AF242" s="44">
        <v>3</v>
      </c>
      <c r="AG242" s="45" t="s">
        <v>707</v>
      </c>
      <c r="AH242" s="45" t="s">
        <v>604</v>
      </c>
    </row>
    <row r="243" spans="1:34" s="4" customFormat="1" x14ac:dyDescent="0.25">
      <c r="A243" s="19">
        <v>12119</v>
      </c>
      <c r="B243" s="19" t="s">
        <v>708</v>
      </c>
      <c r="C243" s="19" t="s">
        <v>590</v>
      </c>
      <c r="D243" s="19" t="s">
        <v>591</v>
      </c>
      <c r="E243" s="19" t="s">
        <v>592</v>
      </c>
      <c r="F243" s="19" t="s">
        <v>593</v>
      </c>
      <c r="G243" s="19">
        <v>2</v>
      </c>
      <c r="H243" s="19">
        <v>1</v>
      </c>
      <c r="I243" s="19">
        <v>2</v>
      </c>
      <c r="J243" s="19">
        <v>19</v>
      </c>
      <c r="K243" s="19">
        <v>5920655</v>
      </c>
      <c r="L243" s="19">
        <v>86400</v>
      </c>
      <c r="M243" s="19">
        <v>2019</v>
      </c>
      <c r="N243" s="49" t="s">
        <v>594</v>
      </c>
      <c r="O243" s="42" t="s">
        <v>595</v>
      </c>
      <c r="P243" s="42" t="s">
        <v>709</v>
      </c>
      <c r="Q243" s="19">
        <v>1001019</v>
      </c>
      <c r="R243" s="19">
        <v>0</v>
      </c>
      <c r="S243" s="19" t="s">
        <v>206</v>
      </c>
      <c r="T243" s="19">
        <v>3</v>
      </c>
      <c r="U243" s="19" t="s">
        <v>597</v>
      </c>
      <c r="V243" s="19" t="s">
        <v>598</v>
      </c>
      <c r="W243" s="19" t="s">
        <v>691</v>
      </c>
      <c r="X243" s="19">
        <v>20</v>
      </c>
      <c r="Y243" s="19" t="s">
        <v>710</v>
      </c>
      <c r="Z243" s="19" t="s">
        <v>711</v>
      </c>
      <c r="AA243" s="19" t="s">
        <v>712</v>
      </c>
      <c r="AB243" s="19">
        <v>2</v>
      </c>
      <c r="AC243" s="43" t="b">
        <v>1</v>
      </c>
      <c r="AD243" s="4" t="b">
        <v>0</v>
      </c>
      <c r="AF243" s="44">
        <v>3</v>
      </c>
      <c r="AG243" s="45" t="s">
        <v>713</v>
      </c>
      <c r="AH243" s="45" t="s">
        <v>604</v>
      </c>
    </row>
    <row r="244" spans="1:34" s="4" customFormat="1" x14ac:dyDescent="0.25">
      <c r="A244" s="19">
        <v>12120</v>
      </c>
      <c r="B244" s="19" t="s">
        <v>714</v>
      </c>
      <c r="C244" s="19" t="s">
        <v>590</v>
      </c>
      <c r="D244" s="19" t="s">
        <v>591</v>
      </c>
      <c r="E244" s="19" t="s">
        <v>592</v>
      </c>
      <c r="F244" s="19" t="s">
        <v>593</v>
      </c>
      <c r="G244" s="19">
        <v>2</v>
      </c>
      <c r="H244" s="19">
        <v>1</v>
      </c>
      <c r="I244" s="19">
        <v>2</v>
      </c>
      <c r="J244" s="19">
        <v>20</v>
      </c>
      <c r="K244" s="19">
        <v>7272415</v>
      </c>
      <c r="L244" s="19">
        <v>86400</v>
      </c>
      <c r="M244" s="19">
        <v>2020</v>
      </c>
      <c r="N244" s="49" t="s">
        <v>594</v>
      </c>
      <c r="O244" s="42" t="s">
        <v>595</v>
      </c>
      <c r="P244" s="42" t="s">
        <v>715</v>
      </c>
      <c r="Q244" s="19">
        <v>1001020</v>
      </c>
      <c r="R244" s="19">
        <v>0</v>
      </c>
      <c r="S244" s="19" t="s">
        <v>206</v>
      </c>
      <c r="T244" s="19">
        <v>3</v>
      </c>
      <c r="U244" s="19" t="s">
        <v>597</v>
      </c>
      <c r="V244" s="19" t="s">
        <v>598</v>
      </c>
      <c r="W244" s="19" t="s">
        <v>691</v>
      </c>
      <c r="X244" s="19">
        <v>20</v>
      </c>
      <c r="Y244" s="19" t="s">
        <v>716</v>
      </c>
      <c r="Z244" s="19" t="s">
        <v>717</v>
      </c>
      <c r="AA244" s="19" t="s">
        <v>718</v>
      </c>
      <c r="AB244" s="19">
        <v>2</v>
      </c>
      <c r="AC244" s="43" t="b">
        <v>1</v>
      </c>
      <c r="AD244" s="4" t="b">
        <v>0</v>
      </c>
      <c r="AF244" s="44">
        <v>3</v>
      </c>
      <c r="AG244" s="45" t="s">
        <v>719</v>
      </c>
      <c r="AH244" s="45" t="s">
        <v>604</v>
      </c>
    </row>
    <row r="245" spans="1:34" s="4" customFormat="1" x14ac:dyDescent="0.25">
      <c r="A245" s="19">
        <v>12121</v>
      </c>
      <c r="B245" s="19" t="s">
        <v>720</v>
      </c>
      <c r="C245" s="19" t="s">
        <v>590</v>
      </c>
      <c r="D245" s="19" t="s">
        <v>591</v>
      </c>
      <c r="E245" s="19" t="s">
        <v>592</v>
      </c>
      <c r="F245" s="19" t="s">
        <v>593</v>
      </c>
      <c r="G245" s="19">
        <v>2</v>
      </c>
      <c r="H245" s="19">
        <v>1</v>
      </c>
      <c r="I245" s="19">
        <v>2</v>
      </c>
      <c r="J245" s="19">
        <v>21</v>
      </c>
      <c r="K245" s="19">
        <v>8627463</v>
      </c>
      <c r="L245" s="19">
        <v>86400</v>
      </c>
      <c r="M245" s="19">
        <v>2021</v>
      </c>
      <c r="N245" s="49" t="s">
        <v>594</v>
      </c>
      <c r="O245" s="42" t="s">
        <v>595</v>
      </c>
      <c r="P245" s="42" t="s">
        <v>721</v>
      </c>
      <c r="Q245" s="19">
        <v>1001021</v>
      </c>
      <c r="R245" s="19">
        <v>0</v>
      </c>
      <c r="S245" s="19" t="s">
        <v>206</v>
      </c>
      <c r="T245" s="19">
        <v>3</v>
      </c>
      <c r="U245" s="19" t="s">
        <v>597</v>
      </c>
      <c r="V245" s="19" t="s">
        <v>598</v>
      </c>
      <c r="W245" s="19" t="s">
        <v>691</v>
      </c>
      <c r="X245" s="19">
        <v>25</v>
      </c>
      <c r="Y245" s="19" t="s">
        <v>722</v>
      </c>
      <c r="Z245" s="19" t="s">
        <v>723</v>
      </c>
      <c r="AA245" s="19" t="s">
        <v>724</v>
      </c>
      <c r="AB245" s="19">
        <v>2</v>
      </c>
      <c r="AC245" s="43" t="b">
        <v>1</v>
      </c>
      <c r="AD245" s="4" t="b">
        <v>0</v>
      </c>
      <c r="AF245" s="44">
        <v>3</v>
      </c>
      <c r="AG245" s="45" t="s">
        <v>725</v>
      </c>
      <c r="AH245" s="45" t="s">
        <v>604</v>
      </c>
    </row>
    <row r="246" spans="1:34" s="4" customFormat="1" x14ac:dyDescent="0.25">
      <c r="A246" s="19">
        <v>12122</v>
      </c>
      <c r="B246" s="19" t="s">
        <v>726</v>
      </c>
      <c r="C246" s="19" t="s">
        <v>590</v>
      </c>
      <c r="D246" s="19" t="s">
        <v>591</v>
      </c>
      <c r="E246" s="19" t="s">
        <v>592</v>
      </c>
      <c r="F246" s="19" t="s">
        <v>593</v>
      </c>
      <c r="G246" s="19">
        <v>2</v>
      </c>
      <c r="H246" s="19">
        <v>1</v>
      </c>
      <c r="I246" s="19">
        <v>2</v>
      </c>
      <c r="J246" s="19">
        <v>22</v>
      </c>
      <c r="K246" s="19">
        <v>9536690</v>
      </c>
      <c r="L246" s="19">
        <v>86400</v>
      </c>
      <c r="M246" s="19">
        <v>2022</v>
      </c>
      <c r="N246" s="49" t="s">
        <v>594</v>
      </c>
      <c r="O246" s="42" t="s">
        <v>595</v>
      </c>
      <c r="P246" s="42" t="s">
        <v>727</v>
      </c>
      <c r="Q246" s="19">
        <v>1001022</v>
      </c>
      <c r="R246" s="19">
        <v>0</v>
      </c>
      <c r="S246" s="19" t="s">
        <v>206</v>
      </c>
      <c r="T246" s="19">
        <v>3</v>
      </c>
      <c r="U246" s="19" t="s">
        <v>597</v>
      </c>
      <c r="V246" s="19" t="s">
        <v>598</v>
      </c>
      <c r="W246" s="19" t="s">
        <v>691</v>
      </c>
      <c r="X246" s="19">
        <v>25</v>
      </c>
      <c r="Y246" s="19" t="s">
        <v>728</v>
      </c>
      <c r="Z246" s="19" t="s">
        <v>729</v>
      </c>
      <c r="AA246" s="19" t="s">
        <v>730</v>
      </c>
      <c r="AB246" s="19">
        <v>2</v>
      </c>
      <c r="AC246" s="43" t="b">
        <v>1</v>
      </c>
      <c r="AD246" s="4" t="b">
        <v>0</v>
      </c>
      <c r="AF246" s="44">
        <v>3</v>
      </c>
      <c r="AG246" s="45" t="s">
        <v>731</v>
      </c>
      <c r="AH246" s="45" t="s">
        <v>604</v>
      </c>
    </row>
    <row r="247" spans="1:34" s="4" customFormat="1" x14ac:dyDescent="0.25">
      <c r="A247" s="19">
        <v>12123</v>
      </c>
      <c r="B247" s="19" t="s">
        <v>732</v>
      </c>
      <c r="C247" s="19" t="s">
        <v>590</v>
      </c>
      <c r="D247" s="19" t="s">
        <v>591</v>
      </c>
      <c r="E247" s="19" t="s">
        <v>592</v>
      </c>
      <c r="F247" s="19" t="s">
        <v>593</v>
      </c>
      <c r="G247" s="19">
        <v>2</v>
      </c>
      <c r="H247" s="19">
        <v>1</v>
      </c>
      <c r="I247" s="19">
        <v>2</v>
      </c>
      <c r="J247" s="19">
        <v>23</v>
      </c>
      <c r="K247" s="19">
        <v>10381146</v>
      </c>
      <c r="L247" s="19">
        <v>86400</v>
      </c>
      <c r="M247" s="19">
        <v>2023</v>
      </c>
      <c r="N247" s="49" t="s">
        <v>594</v>
      </c>
      <c r="O247" s="42" t="s">
        <v>595</v>
      </c>
      <c r="P247" s="42" t="s">
        <v>733</v>
      </c>
      <c r="Q247" s="19">
        <v>1001023</v>
      </c>
      <c r="R247" s="19">
        <v>0</v>
      </c>
      <c r="S247" s="19" t="s">
        <v>206</v>
      </c>
      <c r="T247" s="19">
        <v>3</v>
      </c>
      <c r="U247" s="19" t="s">
        <v>597</v>
      </c>
      <c r="V247" s="19" t="s">
        <v>598</v>
      </c>
      <c r="W247" s="19" t="s">
        <v>691</v>
      </c>
      <c r="X247" s="19">
        <v>25</v>
      </c>
      <c r="Y247" s="19" t="s">
        <v>734</v>
      </c>
      <c r="Z247" s="19" t="s">
        <v>735</v>
      </c>
      <c r="AA247" s="19" t="s">
        <v>736</v>
      </c>
      <c r="AB247" s="19">
        <v>2</v>
      </c>
      <c r="AC247" s="43" t="b">
        <v>1</v>
      </c>
      <c r="AD247" s="4" t="b">
        <v>0</v>
      </c>
      <c r="AF247" s="44">
        <v>3</v>
      </c>
      <c r="AG247" s="45" t="s">
        <v>737</v>
      </c>
      <c r="AH247" s="45" t="s">
        <v>604</v>
      </c>
    </row>
    <row r="248" spans="1:34" s="4" customFormat="1" x14ac:dyDescent="0.25">
      <c r="A248" s="19">
        <v>12124</v>
      </c>
      <c r="B248" s="19" t="s">
        <v>738</v>
      </c>
      <c r="C248" s="19" t="s">
        <v>590</v>
      </c>
      <c r="D248" s="19" t="s">
        <v>591</v>
      </c>
      <c r="E248" s="19" t="s">
        <v>592</v>
      </c>
      <c r="F248" s="19" t="s">
        <v>593</v>
      </c>
      <c r="G248" s="19">
        <v>2</v>
      </c>
      <c r="H248" s="19">
        <v>1</v>
      </c>
      <c r="I248" s="19">
        <v>2</v>
      </c>
      <c r="J248" s="19">
        <v>24</v>
      </c>
      <c r="K248" s="19">
        <v>11244542</v>
      </c>
      <c r="L248" s="19">
        <v>86400</v>
      </c>
      <c r="M248" s="19">
        <v>2024</v>
      </c>
      <c r="N248" s="49" t="s">
        <v>594</v>
      </c>
      <c r="O248" s="42" t="s">
        <v>595</v>
      </c>
      <c r="P248" s="42" t="s">
        <v>739</v>
      </c>
      <c r="Q248" s="19">
        <v>1001024</v>
      </c>
      <c r="R248" s="19">
        <v>0</v>
      </c>
      <c r="S248" s="19" t="s">
        <v>206</v>
      </c>
      <c r="T248" s="19">
        <v>3</v>
      </c>
      <c r="U248" s="19" t="s">
        <v>597</v>
      </c>
      <c r="V248" s="19" t="s">
        <v>598</v>
      </c>
      <c r="W248" s="19" t="s">
        <v>691</v>
      </c>
      <c r="X248" s="19">
        <v>25</v>
      </c>
      <c r="Y248" s="19" t="s">
        <v>740</v>
      </c>
      <c r="Z248" s="19" t="s">
        <v>741</v>
      </c>
      <c r="AA248" s="19" t="s">
        <v>742</v>
      </c>
      <c r="AB248" s="19">
        <v>2</v>
      </c>
      <c r="AC248" s="43" t="b">
        <v>1</v>
      </c>
      <c r="AD248" s="4" t="b">
        <v>0</v>
      </c>
      <c r="AF248" s="44">
        <v>3</v>
      </c>
      <c r="AG248" s="45" t="s">
        <v>743</v>
      </c>
      <c r="AH248" s="45" t="s">
        <v>604</v>
      </c>
    </row>
    <row r="249" spans="1:34" s="4" customFormat="1" x14ac:dyDescent="0.25">
      <c r="A249" s="19">
        <v>12125</v>
      </c>
      <c r="B249" s="19" t="s">
        <v>744</v>
      </c>
      <c r="C249" s="19" t="s">
        <v>590</v>
      </c>
      <c r="D249" s="19" t="s">
        <v>591</v>
      </c>
      <c r="E249" s="19" t="s">
        <v>592</v>
      </c>
      <c r="F249" s="19" t="s">
        <v>593</v>
      </c>
      <c r="G249" s="19">
        <v>2</v>
      </c>
      <c r="H249" s="19">
        <v>1</v>
      </c>
      <c r="I249" s="19">
        <v>2</v>
      </c>
      <c r="J249" s="19">
        <v>25</v>
      </c>
      <c r="K249" s="19">
        <v>12560506</v>
      </c>
      <c r="L249" s="19">
        <v>86400</v>
      </c>
      <c r="M249" s="19">
        <v>2025</v>
      </c>
      <c r="N249" s="49" t="s">
        <v>594</v>
      </c>
      <c r="O249" s="42" t="s">
        <v>595</v>
      </c>
      <c r="P249" s="42" t="s">
        <v>745</v>
      </c>
      <c r="Q249" s="19">
        <v>1001025</v>
      </c>
      <c r="R249" s="19">
        <v>0</v>
      </c>
      <c r="S249" s="19" t="s">
        <v>206</v>
      </c>
      <c r="T249" s="19">
        <v>3</v>
      </c>
      <c r="U249" s="19" t="s">
        <v>597</v>
      </c>
      <c r="V249" s="19" t="s">
        <v>598</v>
      </c>
      <c r="W249" s="19" t="s">
        <v>691</v>
      </c>
      <c r="X249" s="19">
        <v>25</v>
      </c>
      <c r="Y249" s="19" t="s">
        <v>746</v>
      </c>
      <c r="Z249" s="19" t="s">
        <v>747</v>
      </c>
      <c r="AA249" s="19" t="s">
        <v>748</v>
      </c>
      <c r="AB249" s="19">
        <v>2</v>
      </c>
      <c r="AC249" s="43" t="b">
        <v>1</v>
      </c>
      <c r="AD249" s="4" t="b">
        <v>0</v>
      </c>
      <c r="AF249" s="44">
        <v>3</v>
      </c>
      <c r="AG249" s="45" t="s">
        <v>749</v>
      </c>
      <c r="AH249" s="45" t="s">
        <v>604</v>
      </c>
    </row>
    <row r="250" spans="1:34" s="4" customFormat="1" x14ac:dyDescent="0.25">
      <c r="A250" s="19">
        <v>12126</v>
      </c>
      <c r="B250" s="19" t="s">
        <v>750</v>
      </c>
      <c r="C250" s="19" t="s">
        <v>590</v>
      </c>
      <c r="D250" s="19" t="s">
        <v>591</v>
      </c>
      <c r="E250" s="19" t="s">
        <v>592</v>
      </c>
      <c r="F250" s="19" t="s">
        <v>593</v>
      </c>
      <c r="G250" s="19">
        <v>2</v>
      </c>
      <c r="H250" s="19">
        <v>1</v>
      </c>
      <c r="I250" s="19">
        <v>2</v>
      </c>
      <c r="J250" s="19">
        <v>26</v>
      </c>
      <c r="K250" s="19">
        <v>13734998</v>
      </c>
      <c r="L250" s="19">
        <v>86400</v>
      </c>
      <c r="M250" s="19">
        <v>2026</v>
      </c>
      <c r="N250" s="49" t="s">
        <v>594</v>
      </c>
      <c r="O250" s="42" t="s">
        <v>595</v>
      </c>
      <c r="P250" s="42" t="s">
        <v>751</v>
      </c>
      <c r="Q250" s="19">
        <v>1001026</v>
      </c>
      <c r="R250" s="19">
        <v>0</v>
      </c>
      <c r="S250" s="19" t="s">
        <v>206</v>
      </c>
      <c r="T250" s="19">
        <v>3</v>
      </c>
      <c r="U250" s="19" t="s">
        <v>597</v>
      </c>
      <c r="V250" s="19" t="s">
        <v>598</v>
      </c>
      <c r="W250" s="19" t="s">
        <v>691</v>
      </c>
      <c r="X250" s="19">
        <v>30</v>
      </c>
      <c r="Y250" s="19" t="s">
        <v>752</v>
      </c>
      <c r="Z250" s="19" t="s">
        <v>753</v>
      </c>
      <c r="AA250" s="19" t="s">
        <v>754</v>
      </c>
      <c r="AB250" s="19">
        <v>2</v>
      </c>
      <c r="AC250" s="43" t="b">
        <v>1</v>
      </c>
      <c r="AD250" s="4" t="b">
        <v>0</v>
      </c>
      <c r="AF250" s="44">
        <v>3</v>
      </c>
      <c r="AG250" s="45" t="s">
        <v>755</v>
      </c>
      <c r="AH250" s="45" t="s">
        <v>604</v>
      </c>
    </row>
    <row r="251" spans="1:34" s="4" customFormat="1" x14ac:dyDescent="0.25">
      <c r="A251" s="19">
        <v>12127</v>
      </c>
      <c r="B251" s="19" t="s">
        <v>756</v>
      </c>
      <c r="C251" s="19" t="s">
        <v>590</v>
      </c>
      <c r="D251" s="19" t="s">
        <v>591</v>
      </c>
      <c r="E251" s="19" t="s">
        <v>592</v>
      </c>
      <c r="F251" s="19" t="s">
        <v>593</v>
      </c>
      <c r="G251" s="19">
        <v>2</v>
      </c>
      <c r="H251" s="19">
        <v>1</v>
      </c>
      <c r="I251" s="19">
        <v>2</v>
      </c>
      <c r="J251" s="19">
        <v>27</v>
      </c>
      <c r="K251" s="19">
        <v>14733195</v>
      </c>
      <c r="L251" s="19">
        <v>86400</v>
      </c>
      <c r="M251" s="19">
        <v>2027</v>
      </c>
      <c r="N251" s="49" t="s">
        <v>594</v>
      </c>
      <c r="O251" s="42" t="s">
        <v>595</v>
      </c>
      <c r="P251" s="42" t="s">
        <v>757</v>
      </c>
      <c r="Q251" s="19">
        <v>1001027</v>
      </c>
      <c r="R251" s="19">
        <v>0</v>
      </c>
      <c r="S251" s="19" t="s">
        <v>206</v>
      </c>
      <c r="T251" s="19">
        <v>3</v>
      </c>
      <c r="U251" s="19" t="s">
        <v>597</v>
      </c>
      <c r="V251" s="19" t="s">
        <v>598</v>
      </c>
      <c r="W251" s="19" t="s">
        <v>691</v>
      </c>
      <c r="X251" s="19">
        <v>30</v>
      </c>
      <c r="Y251" s="19" t="s">
        <v>758</v>
      </c>
      <c r="Z251" s="19" t="s">
        <v>759</v>
      </c>
      <c r="AA251" s="19" t="s">
        <v>760</v>
      </c>
      <c r="AB251" s="19">
        <v>2</v>
      </c>
      <c r="AC251" s="43" t="b">
        <v>1</v>
      </c>
      <c r="AD251" s="4" t="b">
        <v>0</v>
      </c>
      <c r="AF251" s="44">
        <v>3</v>
      </c>
      <c r="AG251" s="45" t="s">
        <v>761</v>
      </c>
      <c r="AH251" s="45" t="s">
        <v>604</v>
      </c>
    </row>
    <row r="252" spans="1:34" s="4" customFormat="1" x14ac:dyDescent="0.25">
      <c r="A252" s="19">
        <v>12128</v>
      </c>
      <c r="B252" s="19" t="s">
        <v>762</v>
      </c>
      <c r="C252" s="19" t="s">
        <v>590</v>
      </c>
      <c r="D252" s="19" t="s">
        <v>591</v>
      </c>
      <c r="E252" s="19" t="s">
        <v>592</v>
      </c>
      <c r="F252" s="19" t="s">
        <v>593</v>
      </c>
      <c r="G252" s="19">
        <v>2</v>
      </c>
      <c r="H252" s="19">
        <v>1</v>
      </c>
      <c r="I252" s="19">
        <v>2</v>
      </c>
      <c r="J252" s="19">
        <v>28</v>
      </c>
      <c r="K252" s="19">
        <v>15616920</v>
      </c>
      <c r="L252" s="19">
        <v>86400</v>
      </c>
      <c r="M252" s="19">
        <v>2028</v>
      </c>
      <c r="N252" s="49" t="s">
        <v>594</v>
      </c>
      <c r="O252" s="42" t="s">
        <v>595</v>
      </c>
      <c r="P252" s="42" t="s">
        <v>763</v>
      </c>
      <c r="Q252" s="19">
        <v>1001028</v>
      </c>
      <c r="R252" s="19">
        <v>0</v>
      </c>
      <c r="S252" s="19" t="s">
        <v>206</v>
      </c>
      <c r="T252" s="19">
        <v>3</v>
      </c>
      <c r="U252" s="19" t="s">
        <v>597</v>
      </c>
      <c r="V252" s="19" t="s">
        <v>598</v>
      </c>
      <c r="W252" s="19" t="s">
        <v>691</v>
      </c>
      <c r="X252" s="19">
        <v>30</v>
      </c>
      <c r="Y252" s="19" t="s">
        <v>764</v>
      </c>
      <c r="Z252" s="19" t="s">
        <v>765</v>
      </c>
      <c r="AA252" s="19" t="s">
        <v>766</v>
      </c>
      <c r="AB252" s="19">
        <v>2</v>
      </c>
      <c r="AC252" s="43" t="b">
        <v>1</v>
      </c>
      <c r="AD252" s="4" t="b">
        <v>0</v>
      </c>
      <c r="AF252" s="44">
        <v>3</v>
      </c>
      <c r="AG252" s="45" t="s">
        <v>767</v>
      </c>
      <c r="AH252" s="45" t="s">
        <v>604</v>
      </c>
    </row>
    <row r="253" spans="1:34" s="4" customFormat="1" x14ac:dyDescent="0.25">
      <c r="A253" s="19">
        <v>12129</v>
      </c>
      <c r="B253" s="19" t="s">
        <v>768</v>
      </c>
      <c r="C253" s="19" t="s">
        <v>590</v>
      </c>
      <c r="D253" s="19" t="s">
        <v>591</v>
      </c>
      <c r="E253" s="19" t="s">
        <v>592</v>
      </c>
      <c r="F253" s="19" t="s">
        <v>593</v>
      </c>
      <c r="G253" s="19">
        <v>2</v>
      </c>
      <c r="H253" s="19">
        <v>1</v>
      </c>
      <c r="I253" s="19">
        <v>2</v>
      </c>
      <c r="J253" s="19">
        <v>29</v>
      </c>
      <c r="K253" s="19">
        <v>17229411</v>
      </c>
      <c r="L253" s="19">
        <v>86400</v>
      </c>
      <c r="M253" s="19">
        <v>2029</v>
      </c>
      <c r="N253" s="49" t="s">
        <v>594</v>
      </c>
      <c r="O253" s="42" t="s">
        <v>595</v>
      </c>
      <c r="P253" s="42" t="s">
        <v>769</v>
      </c>
      <c r="Q253" s="19">
        <v>1001029</v>
      </c>
      <c r="R253" s="19">
        <v>0</v>
      </c>
      <c r="S253" s="19" t="s">
        <v>206</v>
      </c>
      <c r="T253" s="19">
        <v>3</v>
      </c>
      <c r="U253" s="19" t="s">
        <v>597</v>
      </c>
      <c r="V253" s="19" t="s">
        <v>598</v>
      </c>
      <c r="W253" s="19" t="s">
        <v>691</v>
      </c>
      <c r="X253" s="19">
        <v>30</v>
      </c>
      <c r="Y253" s="19" t="s">
        <v>770</v>
      </c>
      <c r="Z253" s="19" t="s">
        <v>771</v>
      </c>
      <c r="AA253" s="19" t="s">
        <v>772</v>
      </c>
      <c r="AB253" s="19">
        <v>2</v>
      </c>
      <c r="AC253" s="43" t="b">
        <v>1</v>
      </c>
      <c r="AD253" s="4" t="b">
        <v>0</v>
      </c>
      <c r="AF253" s="44">
        <v>3</v>
      </c>
      <c r="AG253" s="45" t="s">
        <v>773</v>
      </c>
      <c r="AH253" s="45" t="s">
        <v>604</v>
      </c>
    </row>
    <row r="254" spans="1:34" s="4" customFormat="1" x14ac:dyDescent="0.25">
      <c r="A254" s="19">
        <v>12130</v>
      </c>
      <c r="B254" s="19" t="s">
        <v>774</v>
      </c>
      <c r="C254" s="19" t="s">
        <v>590</v>
      </c>
      <c r="D254" s="19" t="s">
        <v>591</v>
      </c>
      <c r="E254" s="19" t="s">
        <v>592</v>
      </c>
      <c r="F254" s="19" t="s">
        <v>593</v>
      </c>
      <c r="G254" s="19">
        <v>2</v>
      </c>
      <c r="H254" s="19">
        <v>1</v>
      </c>
      <c r="I254" s="19">
        <v>2</v>
      </c>
      <c r="J254" s="19">
        <v>30</v>
      </c>
      <c r="K254" s="19">
        <v>18159314</v>
      </c>
      <c r="L254" s="19">
        <v>86400</v>
      </c>
      <c r="M254" s="19">
        <v>2030</v>
      </c>
      <c r="N254" s="49" t="s">
        <v>594</v>
      </c>
      <c r="O254" s="42" t="s">
        <v>595</v>
      </c>
      <c r="P254" s="42" t="s">
        <v>775</v>
      </c>
      <c r="Q254" s="19">
        <v>1001030</v>
      </c>
      <c r="R254" s="19">
        <v>0</v>
      </c>
      <c r="S254" s="19" t="s">
        <v>206</v>
      </c>
      <c r="T254" s="19">
        <v>3</v>
      </c>
      <c r="U254" s="19" t="s">
        <v>597</v>
      </c>
      <c r="V254" s="19" t="s">
        <v>598</v>
      </c>
      <c r="W254" s="19" t="s">
        <v>691</v>
      </c>
      <c r="X254" s="19">
        <v>30</v>
      </c>
      <c r="Y254" s="19" t="s">
        <v>776</v>
      </c>
      <c r="Z254" s="19" t="s">
        <v>777</v>
      </c>
      <c r="AA254" s="19" t="s">
        <v>778</v>
      </c>
      <c r="AB254" s="19">
        <v>2</v>
      </c>
      <c r="AC254" s="43" t="b">
        <v>1</v>
      </c>
      <c r="AD254" s="4" t="b">
        <v>0</v>
      </c>
      <c r="AF254" s="44">
        <v>3</v>
      </c>
      <c r="AG254" s="45" t="s">
        <v>779</v>
      </c>
      <c r="AH254" s="45" t="s">
        <v>604</v>
      </c>
    </row>
    <row r="255" spans="1:35" s="50" customFormat="1" x14ac:dyDescent="0.25">
      <c r="A255" s="51">
        <v>13101</v>
      </c>
      <c r="B255" s="51" t="s">
        <v>780</v>
      </c>
      <c r="C255" s="51" t="s">
        <v>781</v>
      </c>
      <c r="D255" s="51" t="s">
        <v>782</v>
      </c>
      <c r="E255" s="51" t="s">
        <v>781</v>
      </c>
      <c r="F255" s="51" t="s">
        <v>782</v>
      </c>
      <c r="G255" s="51">
        <v>3</v>
      </c>
      <c r="H255" s="51">
        <v>1</v>
      </c>
      <c r="I255" s="51">
        <v>1</v>
      </c>
      <c r="J255" s="51">
        <v>1</v>
      </c>
      <c r="K255" s="51">
        <v>1740375</v>
      </c>
      <c r="L255" s="51">
        <v>3600</v>
      </c>
      <c r="M255" s="51">
        <v>3001</v>
      </c>
      <c r="N255" s="51" t="s">
        <v>783</v>
      </c>
      <c r="O255" s="52"/>
      <c r="P255" s="52"/>
      <c r="Q255" s="51">
        <v>1000075</v>
      </c>
      <c r="R255" s="51">
        <v>0</v>
      </c>
      <c r="S255" s="51" t="s">
        <v>206</v>
      </c>
      <c r="T255" s="51">
        <v>4</v>
      </c>
      <c r="U255" s="51" t="s">
        <v>784</v>
      </c>
      <c r="V255" s="53" t="s">
        <v>785</v>
      </c>
      <c r="W255" s="51" t="s">
        <v>786</v>
      </c>
      <c r="X255" s="51">
        <v>0</v>
      </c>
      <c r="Y255" s="51" t="s">
        <v>787</v>
      </c>
      <c r="Z255" s="51" t="s">
        <v>788</v>
      </c>
      <c r="AA255" s="51" t="s">
        <v>789</v>
      </c>
      <c r="AB255" s="53">
        <v>1</v>
      </c>
      <c r="AC255" s="54" t="b">
        <v>0</v>
      </c>
      <c r="AD255" s="50" t="b">
        <v>1</v>
      </c>
      <c r="AE255" s="50">
        <v>1</v>
      </c>
      <c r="AF255" s="55">
        <v>5</v>
      </c>
      <c r="AG255" s="56" t="s">
        <v>646</v>
      </c>
      <c r="AH255" s="56" t="s">
        <v>790</v>
      </c>
      <c r="AI255" s="4"/>
    </row>
    <row r="256" spans="1:34" s="4" customFormat="1" x14ac:dyDescent="0.25">
      <c r="A256" s="57">
        <v>12201</v>
      </c>
      <c r="B256" s="57" t="s">
        <v>791</v>
      </c>
      <c r="C256" s="57" t="s">
        <v>792</v>
      </c>
      <c r="D256" s="57" t="s">
        <v>793</v>
      </c>
      <c r="E256" s="57" t="s">
        <v>794</v>
      </c>
      <c r="F256" s="57" t="s">
        <v>795</v>
      </c>
      <c r="G256" s="58">
        <v>2</v>
      </c>
      <c r="H256" s="58">
        <v>2</v>
      </c>
      <c r="I256" s="58">
        <v>2</v>
      </c>
      <c r="J256" s="58">
        <v>1</v>
      </c>
      <c r="K256" s="19">
        <v>136734</v>
      </c>
      <c r="L256" s="58">
        <v>600</v>
      </c>
      <c r="M256" s="58">
        <v>2001</v>
      </c>
      <c r="N256" s="58" t="s">
        <v>594</v>
      </c>
      <c r="O256" s="59" t="s">
        <v>595</v>
      </c>
      <c r="P256" s="58" t="s">
        <v>796</v>
      </c>
      <c r="Q256" s="60">
        <v>1003001</v>
      </c>
      <c r="R256" s="58">
        <v>0</v>
      </c>
      <c r="S256" s="58" t="s">
        <v>206</v>
      </c>
      <c r="T256" s="58">
        <v>3</v>
      </c>
      <c r="U256" s="58" t="s">
        <v>797</v>
      </c>
      <c r="V256" s="19"/>
      <c r="W256" s="58" t="s">
        <v>798</v>
      </c>
      <c r="X256" s="19">
        <v>5</v>
      </c>
      <c r="Y256" s="19" t="s">
        <v>600</v>
      </c>
      <c r="Z256" s="19" t="s">
        <v>601</v>
      </c>
      <c r="AA256" s="19" t="s">
        <v>602</v>
      </c>
      <c r="AB256" s="19">
        <v>2</v>
      </c>
      <c r="AC256" s="43" t="b">
        <v>1</v>
      </c>
      <c r="AD256" s="4" t="b">
        <v>0</v>
      </c>
      <c r="AF256" s="44">
        <v>4</v>
      </c>
      <c r="AG256" s="45" t="s">
        <v>603</v>
      </c>
      <c r="AH256" s="45" t="s">
        <v>604</v>
      </c>
    </row>
    <row r="257" spans="1:34" s="4" customFormat="1" x14ac:dyDescent="0.25">
      <c r="A257" s="57">
        <v>12202</v>
      </c>
      <c r="B257" s="57" t="s">
        <v>799</v>
      </c>
      <c r="C257" s="57" t="s">
        <v>792</v>
      </c>
      <c r="D257" s="57" t="s">
        <v>793</v>
      </c>
      <c r="E257" s="57" t="s">
        <v>794</v>
      </c>
      <c r="F257" s="57" t="s">
        <v>795</v>
      </c>
      <c r="G257" s="58">
        <v>2</v>
      </c>
      <c r="H257" s="58">
        <v>2</v>
      </c>
      <c r="I257" s="58">
        <v>2</v>
      </c>
      <c r="J257" s="58">
        <v>2</v>
      </c>
      <c r="K257" s="19">
        <v>189545</v>
      </c>
      <c r="L257" s="58">
        <v>600</v>
      </c>
      <c r="M257" s="58">
        <v>2002</v>
      </c>
      <c r="N257" s="58" t="s">
        <v>594</v>
      </c>
      <c r="O257" s="59" t="s">
        <v>595</v>
      </c>
      <c r="P257" s="58" t="s">
        <v>800</v>
      </c>
      <c r="Q257" s="60">
        <v>1003002</v>
      </c>
      <c r="R257" s="58">
        <v>0</v>
      </c>
      <c r="S257" s="58" t="s">
        <v>206</v>
      </c>
      <c r="T257" s="58">
        <v>3</v>
      </c>
      <c r="U257" s="58" t="s">
        <v>797</v>
      </c>
      <c r="V257" s="19"/>
      <c r="W257" s="58" t="s">
        <v>798</v>
      </c>
      <c r="X257" s="19">
        <v>5</v>
      </c>
      <c r="Y257" s="19" t="s">
        <v>607</v>
      </c>
      <c r="Z257" s="19" t="s">
        <v>608</v>
      </c>
      <c r="AA257" s="19" t="s">
        <v>609</v>
      </c>
      <c r="AB257" s="19">
        <v>2</v>
      </c>
      <c r="AC257" s="43" t="b">
        <v>1</v>
      </c>
      <c r="AD257" s="4" t="b">
        <v>0</v>
      </c>
      <c r="AF257" s="44">
        <v>4</v>
      </c>
      <c r="AG257" s="45" t="s">
        <v>610</v>
      </c>
      <c r="AH257" s="45" t="s">
        <v>604</v>
      </c>
    </row>
    <row r="258" spans="1:34" s="4" customFormat="1" x14ac:dyDescent="0.25">
      <c r="A258" s="57">
        <v>12203</v>
      </c>
      <c r="B258" s="57" t="s">
        <v>801</v>
      </c>
      <c r="C258" s="57" t="s">
        <v>792</v>
      </c>
      <c r="D258" s="57" t="s">
        <v>793</v>
      </c>
      <c r="E258" s="57" t="s">
        <v>794</v>
      </c>
      <c r="F258" s="57" t="s">
        <v>795</v>
      </c>
      <c r="G258" s="58">
        <v>2</v>
      </c>
      <c r="H258" s="58">
        <v>2</v>
      </c>
      <c r="I258" s="58">
        <v>2</v>
      </c>
      <c r="J258" s="58">
        <v>3</v>
      </c>
      <c r="K258" s="19">
        <v>256027</v>
      </c>
      <c r="L258" s="58">
        <v>600</v>
      </c>
      <c r="M258" s="58">
        <v>2003</v>
      </c>
      <c r="N258" s="58" t="s">
        <v>594</v>
      </c>
      <c r="O258" s="59" t="s">
        <v>595</v>
      </c>
      <c r="P258" s="58" t="s">
        <v>802</v>
      </c>
      <c r="Q258" s="60">
        <v>1003003</v>
      </c>
      <c r="R258" s="58">
        <v>0</v>
      </c>
      <c r="S258" s="58" t="s">
        <v>206</v>
      </c>
      <c r="T258" s="58">
        <v>3</v>
      </c>
      <c r="U258" s="58" t="s">
        <v>797</v>
      </c>
      <c r="V258" s="19"/>
      <c r="W258" s="58" t="s">
        <v>798</v>
      </c>
      <c r="X258" s="19">
        <v>5</v>
      </c>
      <c r="Y258" s="19" t="s">
        <v>613</v>
      </c>
      <c r="Z258" s="19" t="s">
        <v>614</v>
      </c>
      <c r="AA258" s="19" t="s">
        <v>615</v>
      </c>
      <c r="AB258" s="19">
        <v>2</v>
      </c>
      <c r="AC258" s="43" t="b">
        <v>1</v>
      </c>
      <c r="AD258" s="4" t="b">
        <v>0</v>
      </c>
      <c r="AF258" s="44">
        <v>4</v>
      </c>
      <c r="AG258" s="45" t="s">
        <v>616</v>
      </c>
      <c r="AH258" s="45" t="s">
        <v>604</v>
      </c>
    </row>
    <row r="259" spans="1:34" s="4" customFormat="1" x14ac:dyDescent="0.25">
      <c r="A259" s="57">
        <v>12204</v>
      </c>
      <c r="B259" s="57" t="s">
        <v>803</v>
      </c>
      <c r="C259" s="57" t="s">
        <v>792</v>
      </c>
      <c r="D259" s="57" t="s">
        <v>793</v>
      </c>
      <c r="E259" s="57" t="s">
        <v>794</v>
      </c>
      <c r="F259" s="57" t="s">
        <v>795</v>
      </c>
      <c r="G259" s="58">
        <v>2</v>
      </c>
      <c r="H259" s="58">
        <v>2</v>
      </c>
      <c r="I259" s="58">
        <v>2</v>
      </c>
      <c r="J259" s="58">
        <v>4</v>
      </c>
      <c r="K259" s="19">
        <v>322773</v>
      </c>
      <c r="L259" s="58">
        <v>600</v>
      </c>
      <c r="M259" s="58">
        <v>2004</v>
      </c>
      <c r="N259" s="58" t="s">
        <v>594</v>
      </c>
      <c r="O259" s="59" t="s">
        <v>595</v>
      </c>
      <c r="P259" s="58" t="s">
        <v>804</v>
      </c>
      <c r="Q259" s="60">
        <v>1003004</v>
      </c>
      <c r="R259" s="58">
        <v>0</v>
      </c>
      <c r="S259" s="58" t="s">
        <v>206</v>
      </c>
      <c r="T259" s="58">
        <v>3</v>
      </c>
      <c r="U259" s="58" t="s">
        <v>797</v>
      </c>
      <c r="V259" s="19"/>
      <c r="W259" s="58" t="s">
        <v>798</v>
      </c>
      <c r="X259" s="19">
        <v>5</v>
      </c>
      <c r="Y259" s="19" t="s">
        <v>619</v>
      </c>
      <c r="Z259" s="19" t="s">
        <v>620</v>
      </c>
      <c r="AA259" s="19" t="s">
        <v>621</v>
      </c>
      <c r="AB259" s="19">
        <v>2</v>
      </c>
      <c r="AC259" s="43" t="b">
        <v>1</v>
      </c>
      <c r="AD259" s="4" t="b">
        <v>0</v>
      </c>
      <c r="AF259" s="44">
        <v>4</v>
      </c>
      <c r="AG259" s="45" t="s">
        <v>622</v>
      </c>
      <c r="AH259" s="45" t="s">
        <v>604</v>
      </c>
    </row>
    <row r="260" spans="1:34" s="4" customFormat="1" x14ac:dyDescent="0.25">
      <c r="A260" s="57">
        <v>12205</v>
      </c>
      <c r="B260" s="57" t="s">
        <v>805</v>
      </c>
      <c r="C260" s="57" t="s">
        <v>792</v>
      </c>
      <c r="D260" s="57" t="s">
        <v>793</v>
      </c>
      <c r="E260" s="57" t="s">
        <v>794</v>
      </c>
      <c r="F260" s="57" t="s">
        <v>795</v>
      </c>
      <c r="G260" s="58">
        <v>2</v>
      </c>
      <c r="H260" s="58">
        <v>2</v>
      </c>
      <c r="I260" s="58">
        <v>2</v>
      </c>
      <c r="J260" s="58">
        <v>5</v>
      </c>
      <c r="K260" s="19">
        <v>425920</v>
      </c>
      <c r="L260" s="58">
        <v>600</v>
      </c>
      <c r="M260" s="58">
        <v>2005</v>
      </c>
      <c r="N260" s="58" t="s">
        <v>594</v>
      </c>
      <c r="O260" s="59" t="s">
        <v>595</v>
      </c>
      <c r="P260" s="58" t="s">
        <v>806</v>
      </c>
      <c r="Q260" s="60">
        <v>1003005</v>
      </c>
      <c r="R260" s="58">
        <v>0</v>
      </c>
      <c r="S260" s="58" t="s">
        <v>206</v>
      </c>
      <c r="T260" s="58">
        <v>3</v>
      </c>
      <c r="U260" s="58" t="s">
        <v>797</v>
      </c>
      <c r="V260" s="19"/>
      <c r="W260" s="58" t="s">
        <v>798</v>
      </c>
      <c r="X260" s="19">
        <v>5</v>
      </c>
      <c r="Y260" s="19" t="s">
        <v>625</v>
      </c>
      <c r="Z260" s="19" t="s">
        <v>626</v>
      </c>
      <c r="AA260" s="19" t="s">
        <v>627</v>
      </c>
      <c r="AB260" s="19">
        <v>2</v>
      </c>
      <c r="AC260" s="43" t="b">
        <v>1</v>
      </c>
      <c r="AD260" s="4" t="b">
        <v>0</v>
      </c>
      <c r="AF260" s="44">
        <v>4</v>
      </c>
      <c r="AG260" s="45" t="s">
        <v>628</v>
      </c>
      <c r="AH260" s="45" t="s">
        <v>604</v>
      </c>
    </row>
    <row r="261" spans="1:34" s="4" customFormat="1" x14ac:dyDescent="0.25">
      <c r="A261" s="57">
        <v>12206</v>
      </c>
      <c r="B261" s="57" t="s">
        <v>807</v>
      </c>
      <c r="C261" s="57" t="s">
        <v>792</v>
      </c>
      <c r="D261" s="57" t="s">
        <v>793</v>
      </c>
      <c r="E261" s="57" t="s">
        <v>794</v>
      </c>
      <c r="F261" s="57" t="s">
        <v>795</v>
      </c>
      <c r="G261" s="58">
        <v>2</v>
      </c>
      <c r="H261" s="58">
        <v>2</v>
      </c>
      <c r="I261" s="58">
        <v>2</v>
      </c>
      <c r="J261" s="58">
        <v>6</v>
      </c>
      <c r="K261" s="19">
        <v>554320</v>
      </c>
      <c r="L261" s="58">
        <v>600</v>
      </c>
      <c r="M261" s="58">
        <v>2006</v>
      </c>
      <c r="N261" s="58" t="s">
        <v>594</v>
      </c>
      <c r="O261" s="59" t="s">
        <v>595</v>
      </c>
      <c r="P261" s="58" t="s">
        <v>808</v>
      </c>
      <c r="Q261" s="60">
        <v>1003006</v>
      </c>
      <c r="R261" s="58">
        <v>0</v>
      </c>
      <c r="S261" s="58" t="s">
        <v>206</v>
      </c>
      <c r="T261" s="58">
        <v>3</v>
      </c>
      <c r="U261" s="58" t="s">
        <v>797</v>
      </c>
      <c r="V261" s="19"/>
      <c r="W261" s="58" t="s">
        <v>798</v>
      </c>
      <c r="X261" s="19">
        <v>10</v>
      </c>
      <c r="Y261" s="19" t="s">
        <v>631</v>
      </c>
      <c r="Z261" s="19" t="s">
        <v>632</v>
      </c>
      <c r="AA261" s="19" t="s">
        <v>633</v>
      </c>
      <c r="AB261" s="19">
        <v>2</v>
      </c>
      <c r="AC261" s="43" t="b">
        <v>1</v>
      </c>
      <c r="AD261" s="4" t="b">
        <v>0</v>
      </c>
      <c r="AF261" s="44">
        <v>4</v>
      </c>
      <c r="AG261" s="45" t="s">
        <v>634</v>
      </c>
      <c r="AH261" s="45" t="s">
        <v>604</v>
      </c>
    </row>
    <row r="262" spans="1:34" s="4" customFormat="1" x14ac:dyDescent="0.25">
      <c r="A262" s="57">
        <v>12207</v>
      </c>
      <c r="B262" s="57" t="s">
        <v>809</v>
      </c>
      <c r="C262" s="57" t="s">
        <v>792</v>
      </c>
      <c r="D262" s="57" t="s">
        <v>793</v>
      </c>
      <c r="E262" s="57" t="s">
        <v>794</v>
      </c>
      <c r="F262" s="57" t="s">
        <v>795</v>
      </c>
      <c r="G262" s="58">
        <v>2</v>
      </c>
      <c r="H262" s="58">
        <v>2</v>
      </c>
      <c r="I262" s="58">
        <v>2</v>
      </c>
      <c r="J262" s="58">
        <v>7</v>
      </c>
      <c r="K262" s="19">
        <v>662362</v>
      </c>
      <c r="L262" s="58">
        <v>600</v>
      </c>
      <c r="M262" s="58">
        <v>2007</v>
      </c>
      <c r="N262" s="58" t="s">
        <v>594</v>
      </c>
      <c r="O262" s="59" t="s">
        <v>595</v>
      </c>
      <c r="P262" s="58" t="s">
        <v>810</v>
      </c>
      <c r="Q262" s="60">
        <v>1003007</v>
      </c>
      <c r="R262" s="58">
        <v>0</v>
      </c>
      <c r="S262" s="58" t="s">
        <v>206</v>
      </c>
      <c r="T262" s="58">
        <v>3</v>
      </c>
      <c r="U262" s="58" t="s">
        <v>797</v>
      </c>
      <c r="V262" s="19"/>
      <c r="W262" s="58" t="s">
        <v>798</v>
      </c>
      <c r="X262" s="19">
        <v>10</v>
      </c>
      <c r="Y262" s="19" t="s">
        <v>637</v>
      </c>
      <c r="Z262" s="19" t="s">
        <v>638</v>
      </c>
      <c r="AA262" s="19" t="s">
        <v>639</v>
      </c>
      <c r="AB262" s="19">
        <v>2</v>
      </c>
      <c r="AC262" s="43" t="b">
        <v>1</v>
      </c>
      <c r="AD262" s="4" t="b">
        <v>0</v>
      </c>
      <c r="AF262" s="44">
        <v>4</v>
      </c>
      <c r="AG262" s="45" t="s">
        <v>640</v>
      </c>
      <c r="AH262" s="45" t="s">
        <v>604</v>
      </c>
    </row>
    <row r="263" spans="1:34" s="4" customFormat="1" x14ac:dyDescent="0.25">
      <c r="A263" s="57">
        <v>12208</v>
      </c>
      <c r="B263" s="57" t="s">
        <v>811</v>
      </c>
      <c r="C263" s="57" t="s">
        <v>792</v>
      </c>
      <c r="D263" s="57" t="s">
        <v>793</v>
      </c>
      <c r="E263" s="57" t="s">
        <v>794</v>
      </c>
      <c r="F263" s="57" t="s">
        <v>795</v>
      </c>
      <c r="G263" s="58">
        <v>2</v>
      </c>
      <c r="H263" s="58">
        <v>2</v>
      </c>
      <c r="I263" s="58">
        <v>2</v>
      </c>
      <c r="J263" s="58">
        <v>8</v>
      </c>
      <c r="K263" s="19">
        <v>862125</v>
      </c>
      <c r="L263" s="58">
        <v>600</v>
      </c>
      <c r="M263" s="58">
        <v>2008</v>
      </c>
      <c r="N263" s="58" t="s">
        <v>594</v>
      </c>
      <c r="O263" s="59" t="s">
        <v>595</v>
      </c>
      <c r="P263" s="58" t="s">
        <v>812</v>
      </c>
      <c r="Q263" s="60">
        <v>1003008</v>
      </c>
      <c r="R263" s="58">
        <v>0</v>
      </c>
      <c r="S263" s="58" t="s">
        <v>206</v>
      </c>
      <c r="T263" s="58">
        <v>3</v>
      </c>
      <c r="U263" s="58" t="s">
        <v>797</v>
      </c>
      <c r="V263" s="19"/>
      <c r="W263" s="58" t="s">
        <v>798</v>
      </c>
      <c r="X263" s="19">
        <v>10</v>
      </c>
      <c r="Y263" s="19" t="s">
        <v>643</v>
      </c>
      <c r="Z263" s="19" t="s">
        <v>644</v>
      </c>
      <c r="AA263" s="19" t="s">
        <v>645</v>
      </c>
      <c r="AB263" s="19">
        <v>2</v>
      </c>
      <c r="AC263" s="43" t="b">
        <v>1</v>
      </c>
      <c r="AD263" s="4" t="b">
        <v>0</v>
      </c>
      <c r="AF263" s="44">
        <v>4</v>
      </c>
      <c r="AG263" s="45" t="s">
        <v>646</v>
      </c>
      <c r="AH263" s="45" t="s">
        <v>604</v>
      </c>
    </row>
    <row r="264" spans="1:34" s="4" customFormat="1" x14ac:dyDescent="0.25">
      <c r="A264" s="57">
        <v>12209</v>
      </c>
      <c r="B264" s="57" t="s">
        <v>813</v>
      </c>
      <c r="C264" s="57" t="s">
        <v>792</v>
      </c>
      <c r="D264" s="57" t="s">
        <v>793</v>
      </c>
      <c r="E264" s="57" t="s">
        <v>794</v>
      </c>
      <c r="F264" s="57" t="s">
        <v>795</v>
      </c>
      <c r="G264" s="58">
        <v>2</v>
      </c>
      <c r="H264" s="58">
        <v>2</v>
      </c>
      <c r="I264" s="58">
        <v>2</v>
      </c>
      <c r="J264" s="58">
        <v>9</v>
      </c>
      <c r="K264" s="19">
        <v>996081</v>
      </c>
      <c r="L264" s="58">
        <v>600</v>
      </c>
      <c r="M264" s="58">
        <v>2009</v>
      </c>
      <c r="N264" s="58" t="s">
        <v>594</v>
      </c>
      <c r="O264" s="59" t="s">
        <v>595</v>
      </c>
      <c r="P264" s="58" t="s">
        <v>814</v>
      </c>
      <c r="Q264" s="60">
        <v>1003009</v>
      </c>
      <c r="R264" s="58">
        <v>0</v>
      </c>
      <c r="S264" s="58" t="s">
        <v>206</v>
      </c>
      <c r="T264" s="58">
        <v>3</v>
      </c>
      <c r="U264" s="58" t="s">
        <v>797</v>
      </c>
      <c r="V264" s="19"/>
      <c r="W264" s="58" t="s">
        <v>798</v>
      </c>
      <c r="X264" s="19">
        <v>10</v>
      </c>
      <c r="Y264" s="19" t="s">
        <v>649</v>
      </c>
      <c r="Z264" s="19" t="s">
        <v>650</v>
      </c>
      <c r="AA264" s="19" t="s">
        <v>651</v>
      </c>
      <c r="AB264" s="19">
        <v>2</v>
      </c>
      <c r="AC264" s="43" t="b">
        <v>1</v>
      </c>
      <c r="AD264" s="4" t="b">
        <v>0</v>
      </c>
      <c r="AF264" s="44">
        <v>4</v>
      </c>
      <c r="AG264" s="45" t="s">
        <v>652</v>
      </c>
      <c r="AH264" s="45" t="s">
        <v>604</v>
      </c>
    </row>
    <row r="265" spans="1:34" s="4" customFormat="1" x14ac:dyDescent="0.25">
      <c r="A265" s="57">
        <v>12210</v>
      </c>
      <c r="B265" s="57" t="s">
        <v>815</v>
      </c>
      <c r="C265" s="57" t="s">
        <v>792</v>
      </c>
      <c r="D265" s="57" t="s">
        <v>793</v>
      </c>
      <c r="E265" s="57" t="s">
        <v>794</v>
      </c>
      <c r="F265" s="57" t="s">
        <v>795</v>
      </c>
      <c r="G265" s="58">
        <v>2</v>
      </c>
      <c r="H265" s="58">
        <v>2</v>
      </c>
      <c r="I265" s="58">
        <v>2</v>
      </c>
      <c r="J265" s="58">
        <v>10</v>
      </c>
      <c r="K265" s="19">
        <v>1132640</v>
      </c>
      <c r="L265" s="58">
        <v>600</v>
      </c>
      <c r="M265" s="58">
        <v>2010</v>
      </c>
      <c r="N265" s="58" t="s">
        <v>594</v>
      </c>
      <c r="O265" s="59" t="s">
        <v>595</v>
      </c>
      <c r="P265" s="58" t="s">
        <v>816</v>
      </c>
      <c r="Q265" s="60">
        <v>1003010</v>
      </c>
      <c r="R265" s="58">
        <v>0</v>
      </c>
      <c r="S265" s="58" t="s">
        <v>206</v>
      </c>
      <c r="T265" s="58">
        <v>3</v>
      </c>
      <c r="U265" s="58" t="s">
        <v>797</v>
      </c>
      <c r="V265" s="58"/>
      <c r="W265" s="58" t="s">
        <v>798</v>
      </c>
      <c r="X265" s="19">
        <v>10</v>
      </c>
      <c r="Y265" s="19" t="s">
        <v>655</v>
      </c>
      <c r="Z265" s="19" t="s">
        <v>656</v>
      </c>
      <c r="AA265" s="19" t="s">
        <v>657</v>
      </c>
      <c r="AB265" s="19">
        <v>2</v>
      </c>
      <c r="AC265" s="43" t="b">
        <v>1</v>
      </c>
      <c r="AD265" s="4" t="b">
        <v>0</v>
      </c>
      <c r="AF265" s="44">
        <v>4</v>
      </c>
      <c r="AG265" s="45" t="s">
        <v>658</v>
      </c>
      <c r="AH265" s="45" t="s">
        <v>604</v>
      </c>
    </row>
    <row r="266" spans="1:34" s="4" customFormat="1" x14ac:dyDescent="0.25">
      <c r="A266" s="57">
        <v>12211</v>
      </c>
      <c r="B266" s="57" t="s">
        <v>817</v>
      </c>
      <c r="C266" s="57" t="s">
        <v>792</v>
      </c>
      <c r="D266" s="57" t="s">
        <v>793</v>
      </c>
      <c r="E266" s="57" t="s">
        <v>794</v>
      </c>
      <c r="F266" s="57" t="s">
        <v>795</v>
      </c>
      <c r="G266" s="58">
        <v>2</v>
      </c>
      <c r="H266" s="58">
        <v>2</v>
      </c>
      <c r="I266" s="58">
        <v>2</v>
      </c>
      <c r="J266" s="58">
        <v>11</v>
      </c>
      <c r="K266" s="19">
        <v>1307753</v>
      </c>
      <c r="L266" s="58">
        <v>600</v>
      </c>
      <c r="M266" s="58">
        <v>2011</v>
      </c>
      <c r="N266" s="58" t="s">
        <v>594</v>
      </c>
      <c r="O266" s="59" t="s">
        <v>595</v>
      </c>
      <c r="P266" s="58" t="s">
        <v>818</v>
      </c>
      <c r="Q266" s="60">
        <v>1003011</v>
      </c>
      <c r="R266" s="58">
        <v>0</v>
      </c>
      <c r="S266" s="58" t="s">
        <v>206</v>
      </c>
      <c r="T266" s="58">
        <v>3</v>
      </c>
      <c r="U266" s="58" t="s">
        <v>797</v>
      </c>
      <c r="V266" s="19"/>
      <c r="W266" s="58" t="s">
        <v>798</v>
      </c>
      <c r="X266" s="19">
        <v>15</v>
      </c>
      <c r="Y266" s="19" t="s">
        <v>661</v>
      </c>
      <c r="Z266" s="19" t="s">
        <v>662</v>
      </c>
      <c r="AA266" s="19" t="s">
        <v>663</v>
      </c>
      <c r="AB266" s="19">
        <v>2</v>
      </c>
      <c r="AC266" s="43" t="b">
        <v>1</v>
      </c>
      <c r="AD266" s="4" t="b">
        <v>0</v>
      </c>
      <c r="AF266" s="44">
        <v>4</v>
      </c>
      <c r="AG266" s="45" t="s">
        <v>664</v>
      </c>
      <c r="AH266" s="45" t="s">
        <v>604</v>
      </c>
    </row>
    <row r="267" spans="1:34" s="4" customFormat="1" x14ac:dyDescent="0.25">
      <c r="A267" s="57">
        <v>12212</v>
      </c>
      <c r="B267" s="57" t="s">
        <v>819</v>
      </c>
      <c r="C267" s="57" t="s">
        <v>792</v>
      </c>
      <c r="D267" s="57" t="s">
        <v>793</v>
      </c>
      <c r="E267" s="57" t="s">
        <v>794</v>
      </c>
      <c r="F267" s="57" t="s">
        <v>795</v>
      </c>
      <c r="G267" s="58">
        <v>2</v>
      </c>
      <c r="H267" s="58">
        <v>2</v>
      </c>
      <c r="I267" s="58">
        <v>2</v>
      </c>
      <c r="J267" s="58">
        <v>12</v>
      </c>
      <c r="K267" s="19">
        <v>1586378</v>
      </c>
      <c r="L267" s="58">
        <v>600</v>
      </c>
      <c r="M267" s="58">
        <v>2012</v>
      </c>
      <c r="N267" s="58" t="s">
        <v>594</v>
      </c>
      <c r="O267" s="59" t="s">
        <v>595</v>
      </c>
      <c r="P267" s="58" t="s">
        <v>820</v>
      </c>
      <c r="Q267" s="60">
        <v>1003012</v>
      </c>
      <c r="R267" s="58">
        <v>0</v>
      </c>
      <c r="S267" s="58" t="s">
        <v>206</v>
      </c>
      <c r="T267" s="58">
        <v>3</v>
      </c>
      <c r="U267" s="58" t="s">
        <v>797</v>
      </c>
      <c r="V267" s="19"/>
      <c r="W267" s="58" t="s">
        <v>798</v>
      </c>
      <c r="X267" s="19">
        <v>15</v>
      </c>
      <c r="Y267" s="19" t="s">
        <v>667</v>
      </c>
      <c r="Z267" s="19" t="s">
        <v>668</v>
      </c>
      <c r="AA267" s="19" t="s">
        <v>669</v>
      </c>
      <c r="AB267" s="19">
        <v>2</v>
      </c>
      <c r="AC267" s="43" t="b">
        <v>1</v>
      </c>
      <c r="AD267" s="4" t="b">
        <v>0</v>
      </c>
      <c r="AF267" s="44">
        <v>4</v>
      </c>
      <c r="AG267" s="45" t="s">
        <v>670</v>
      </c>
      <c r="AH267" s="45" t="s">
        <v>604</v>
      </c>
    </row>
    <row r="268" spans="1:34" s="4" customFormat="1" x14ac:dyDescent="0.25">
      <c r="A268" s="57">
        <v>12213</v>
      </c>
      <c r="B268" s="57" t="s">
        <v>821</v>
      </c>
      <c r="C268" s="57" t="s">
        <v>792</v>
      </c>
      <c r="D268" s="57" t="s">
        <v>793</v>
      </c>
      <c r="E268" s="57" t="s">
        <v>794</v>
      </c>
      <c r="F268" s="57" t="s">
        <v>795</v>
      </c>
      <c r="G268" s="58">
        <v>2</v>
      </c>
      <c r="H268" s="58">
        <v>2</v>
      </c>
      <c r="I268" s="58">
        <v>2</v>
      </c>
      <c r="J268" s="58">
        <v>13</v>
      </c>
      <c r="K268" s="19">
        <v>2008046</v>
      </c>
      <c r="L268" s="58">
        <v>600</v>
      </c>
      <c r="M268" s="58">
        <v>2013</v>
      </c>
      <c r="N268" s="58" t="s">
        <v>594</v>
      </c>
      <c r="O268" s="59" t="s">
        <v>595</v>
      </c>
      <c r="P268" s="58" t="s">
        <v>822</v>
      </c>
      <c r="Q268" s="60">
        <v>1003013</v>
      </c>
      <c r="R268" s="58">
        <v>0</v>
      </c>
      <c r="S268" s="58" t="s">
        <v>206</v>
      </c>
      <c r="T268" s="58">
        <v>3</v>
      </c>
      <c r="U268" s="58" t="s">
        <v>797</v>
      </c>
      <c r="V268" s="19"/>
      <c r="W268" s="58" t="s">
        <v>798</v>
      </c>
      <c r="X268" s="19">
        <v>15</v>
      </c>
      <c r="Y268" s="19" t="s">
        <v>673</v>
      </c>
      <c r="Z268" s="19" t="s">
        <v>674</v>
      </c>
      <c r="AA268" s="19" t="s">
        <v>675</v>
      </c>
      <c r="AB268" s="19">
        <v>2</v>
      </c>
      <c r="AC268" s="43" t="b">
        <v>1</v>
      </c>
      <c r="AD268" s="4" t="b">
        <v>0</v>
      </c>
      <c r="AF268" s="44">
        <v>4</v>
      </c>
      <c r="AG268" s="45" t="s">
        <v>676</v>
      </c>
      <c r="AH268" s="45" t="s">
        <v>604</v>
      </c>
    </row>
    <row r="269" spans="1:34" s="4" customFormat="1" x14ac:dyDescent="0.25">
      <c r="A269" s="57">
        <v>12214</v>
      </c>
      <c r="B269" s="57" t="s">
        <v>823</v>
      </c>
      <c r="C269" s="57" t="s">
        <v>792</v>
      </c>
      <c r="D269" s="57" t="s">
        <v>793</v>
      </c>
      <c r="E269" s="57" t="s">
        <v>794</v>
      </c>
      <c r="F269" s="57" t="s">
        <v>795</v>
      </c>
      <c r="G269" s="58">
        <v>2</v>
      </c>
      <c r="H269" s="58">
        <v>2</v>
      </c>
      <c r="I269" s="58">
        <v>2</v>
      </c>
      <c r="J269" s="58">
        <v>14</v>
      </c>
      <c r="K269" s="19">
        <v>2378005</v>
      </c>
      <c r="L269" s="58">
        <v>600</v>
      </c>
      <c r="M269" s="58">
        <v>2014</v>
      </c>
      <c r="N269" s="58" t="s">
        <v>594</v>
      </c>
      <c r="O269" s="59" t="s">
        <v>595</v>
      </c>
      <c r="P269" s="58" t="s">
        <v>824</v>
      </c>
      <c r="Q269" s="60">
        <v>1003014</v>
      </c>
      <c r="R269" s="58">
        <v>0</v>
      </c>
      <c r="S269" s="58" t="s">
        <v>206</v>
      </c>
      <c r="T269" s="58">
        <v>3</v>
      </c>
      <c r="U269" s="58" t="s">
        <v>797</v>
      </c>
      <c r="V269" s="19"/>
      <c r="W269" s="58" t="s">
        <v>798</v>
      </c>
      <c r="X269" s="19">
        <v>15</v>
      </c>
      <c r="Y269" s="19" t="s">
        <v>679</v>
      </c>
      <c r="Z269" s="19" t="s">
        <v>680</v>
      </c>
      <c r="AA269" s="19" t="s">
        <v>681</v>
      </c>
      <c r="AB269" s="19">
        <v>2</v>
      </c>
      <c r="AC269" s="43" t="b">
        <v>1</v>
      </c>
      <c r="AD269" s="4" t="b">
        <v>0</v>
      </c>
      <c r="AF269" s="44">
        <v>4</v>
      </c>
      <c r="AG269" s="45" t="s">
        <v>682</v>
      </c>
      <c r="AH269" s="45" t="s">
        <v>604</v>
      </c>
    </row>
    <row r="270" spans="1:34" s="4" customFormat="1" x14ac:dyDescent="0.25">
      <c r="A270" s="57">
        <v>12215</v>
      </c>
      <c r="B270" s="57" t="s">
        <v>825</v>
      </c>
      <c r="C270" s="57" t="s">
        <v>792</v>
      </c>
      <c r="D270" s="57" t="s">
        <v>793</v>
      </c>
      <c r="E270" s="57" t="s">
        <v>794</v>
      </c>
      <c r="F270" s="57" t="s">
        <v>795</v>
      </c>
      <c r="G270" s="58">
        <v>2</v>
      </c>
      <c r="H270" s="58">
        <v>2</v>
      </c>
      <c r="I270" s="58">
        <v>2</v>
      </c>
      <c r="J270" s="58">
        <v>15</v>
      </c>
      <c r="K270" s="19">
        <v>2844706</v>
      </c>
      <c r="L270" s="58">
        <v>600</v>
      </c>
      <c r="M270" s="58">
        <v>2015</v>
      </c>
      <c r="N270" s="58" t="s">
        <v>594</v>
      </c>
      <c r="O270" s="59" t="s">
        <v>595</v>
      </c>
      <c r="P270" s="58" t="s">
        <v>826</v>
      </c>
      <c r="Q270" s="60">
        <v>1003015</v>
      </c>
      <c r="R270" s="58">
        <v>0</v>
      </c>
      <c r="S270" s="58" t="s">
        <v>206</v>
      </c>
      <c r="T270" s="58">
        <v>3</v>
      </c>
      <c r="U270" s="58" t="s">
        <v>797</v>
      </c>
      <c r="V270" s="19"/>
      <c r="W270" s="58" t="s">
        <v>798</v>
      </c>
      <c r="X270" s="19">
        <v>15</v>
      </c>
      <c r="Y270" s="19" t="s">
        <v>685</v>
      </c>
      <c r="Z270" s="19" t="s">
        <v>686</v>
      </c>
      <c r="AA270" s="19" t="s">
        <v>687</v>
      </c>
      <c r="AB270" s="19">
        <v>2</v>
      </c>
      <c r="AC270" s="43" t="b">
        <v>1</v>
      </c>
      <c r="AD270" s="4" t="b">
        <v>0</v>
      </c>
      <c r="AF270" s="44">
        <v>4</v>
      </c>
      <c r="AG270" s="45" t="s">
        <v>688</v>
      </c>
      <c r="AH270" s="45" t="s">
        <v>604</v>
      </c>
    </row>
    <row r="271" spans="1:34" s="4" customFormat="1" x14ac:dyDescent="0.25">
      <c r="A271" s="57">
        <v>12216</v>
      </c>
      <c r="B271" s="57" t="s">
        <v>827</v>
      </c>
      <c r="C271" s="57" t="s">
        <v>792</v>
      </c>
      <c r="D271" s="57" t="s">
        <v>793</v>
      </c>
      <c r="E271" s="57" t="s">
        <v>794</v>
      </c>
      <c r="F271" s="57" t="s">
        <v>795</v>
      </c>
      <c r="G271" s="58">
        <v>2</v>
      </c>
      <c r="H271" s="58">
        <v>2</v>
      </c>
      <c r="I271" s="58">
        <v>2</v>
      </c>
      <c r="J271" s="58">
        <v>16</v>
      </c>
      <c r="K271" s="19">
        <v>3460325</v>
      </c>
      <c r="L271" s="58">
        <v>600</v>
      </c>
      <c r="M271" s="58">
        <v>2016</v>
      </c>
      <c r="N271" s="58" t="s">
        <v>594</v>
      </c>
      <c r="O271" s="59" t="s">
        <v>595</v>
      </c>
      <c r="P271" s="58" t="s">
        <v>828</v>
      </c>
      <c r="Q271" s="60">
        <v>1003016</v>
      </c>
      <c r="R271" s="58">
        <v>0</v>
      </c>
      <c r="S271" s="58" t="s">
        <v>206</v>
      </c>
      <c r="T271" s="58">
        <v>3</v>
      </c>
      <c r="U271" s="58" t="s">
        <v>797</v>
      </c>
      <c r="V271" s="19"/>
      <c r="W271" s="58" t="s">
        <v>829</v>
      </c>
      <c r="X271" s="19">
        <v>20</v>
      </c>
      <c r="Y271" s="19" t="s">
        <v>692</v>
      </c>
      <c r="Z271" s="19" t="s">
        <v>693</v>
      </c>
      <c r="AA271" s="19" t="s">
        <v>694</v>
      </c>
      <c r="AB271" s="19">
        <v>2</v>
      </c>
      <c r="AC271" s="43" t="b">
        <v>1</v>
      </c>
      <c r="AD271" s="4" t="b">
        <v>0</v>
      </c>
      <c r="AF271" s="44">
        <v>4</v>
      </c>
      <c r="AG271" s="45" t="s">
        <v>695</v>
      </c>
      <c r="AH271" s="45" t="s">
        <v>604</v>
      </c>
    </row>
    <row r="272" spans="1:34" s="4" customFormat="1" x14ac:dyDescent="0.25">
      <c r="A272" s="57">
        <v>12217</v>
      </c>
      <c r="B272" s="57" t="s">
        <v>830</v>
      </c>
      <c r="C272" s="57" t="s">
        <v>792</v>
      </c>
      <c r="D272" s="57" t="s">
        <v>793</v>
      </c>
      <c r="E272" s="57" t="s">
        <v>794</v>
      </c>
      <c r="F272" s="57" t="s">
        <v>795</v>
      </c>
      <c r="G272" s="58">
        <v>2</v>
      </c>
      <c r="H272" s="58">
        <v>2</v>
      </c>
      <c r="I272" s="58">
        <v>2</v>
      </c>
      <c r="J272" s="58">
        <v>17</v>
      </c>
      <c r="K272" s="19">
        <v>4200949</v>
      </c>
      <c r="L272" s="58">
        <v>600</v>
      </c>
      <c r="M272" s="58">
        <v>2017</v>
      </c>
      <c r="N272" s="58" t="s">
        <v>594</v>
      </c>
      <c r="O272" s="59" t="s">
        <v>595</v>
      </c>
      <c r="P272" s="58" t="s">
        <v>831</v>
      </c>
      <c r="Q272" s="60">
        <v>1003017</v>
      </c>
      <c r="R272" s="58">
        <v>0</v>
      </c>
      <c r="S272" s="58" t="s">
        <v>206</v>
      </c>
      <c r="T272" s="58">
        <v>3</v>
      </c>
      <c r="U272" s="58" t="s">
        <v>797</v>
      </c>
      <c r="V272" s="19"/>
      <c r="W272" s="58" t="s">
        <v>829</v>
      </c>
      <c r="X272" s="19">
        <v>20</v>
      </c>
      <c r="Y272" s="19" t="s">
        <v>698</v>
      </c>
      <c r="Z272" s="19" t="s">
        <v>699</v>
      </c>
      <c r="AA272" s="19" t="s">
        <v>700</v>
      </c>
      <c r="AB272" s="19">
        <v>2</v>
      </c>
      <c r="AC272" s="43" t="b">
        <v>1</v>
      </c>
      <c r="AD272" s="4" t="b">
        <v>0</v>
      </c>
      <c r="AF272" s="44">
        <v>4</v>
      </c>
      <c r="AG272" s="45" t="s">
        <v>701</v>
      </c>
      <c r="AH272" s="45" t="s">
        <v>604</v>
      </c>
    </row>
    <row r="273" spans="1:34" s="4" customFormat="1" x14ac:dyDescent="0.25">
      <c r="A273" s="57">
        <v>12218</v>
      </c>
      <c r="B273" s="57" t="s">
        <v>832</v>
      </c>
      <c r="C273" s="57" t="s">
        <v>792</v>
      </c>
      <c r="D273" s="57" t="s">
        <v>793</v>
      </c>
      <c r="E273" s="57" t="s">
        <v>794</v>
      </c>
      <c r="F273" s="57" t="s">
        <v>795</v>
      </c>
      <c r="G273" s="58">
        <v>2</v>
      </c>
      <c r="H273" s="58">
        <v>2</v>
      </c>
      <c r="I273" s="58">
        <v>2</v>
      </c>
      <c r="J273" s="58">
        <v>18</v>
      </c>
      <c r="K273" s="19">
        <v>5000516</v>
      </c>
      <c r="L273" s="58">
        <v>600</v>
      </c>
      <c r="M273" s="58">
        <v>2018</v>
      </c>
      <c r="N273" s="58" t="s">
        <v>594</v>
      </c>
      <c r="O273" s="59" t="s">
        <v>595</v>
      </c>
      <c r="P273" s="58" t="s">
        <v>833</v>
      </c>
      <c r="Q273" s="60">
        <v>1003018</v>
      </c>
      <c r="R273" s="58">
        <v>0</v>
      </c>
      <c r="S273" s="58" t="s">
        <v>206</v>
      </c>
      <c r="T273" s="58">
        <v>3</v>
      </c>
      <c r="U273" s="58" t="s">
        <v>797</v>
      </c>
      <c r="V273" s="19"/>
      <c r="W273" s="58" t="s">
        <v>829</v>
      </c>
      <c r="X273" s="19">
        <v>20</v>
      </c>
      <c r="Y273" s="19" t="s">
        <v>704</v>
      </c>
      <c r="Z273" s="19" t="s">
        <v>705</v>
      </c>
      <c r="AA273" s="19" t="s">
        <v>706</v>
      </c>
      <c r="AB273" s="19">
        <v>2</v>
      </c>
      <c r="AC273" s="43" t="b">
        <v>1</v>
      </c>
      <c r="AD273" s="4" t="b">
        <v>0</v>
      </c>
      <c r="AF273" s="44">
        <v>4</v>
      </c>
      <c r="AG273" s="45" t="s">
        <v>707</v>
      </c>
      <c r="AH273" s="45" t="s">
        <v>604</v>
      </c>
    </row>
    <row r="274" spans="1:34" s="4" customFormat="1" x14ac:dyDescent="0.25">
      <c r="A274" s="57">
        <v>12219</v>
      </c>
      <c r="B274" s="57" t="s">
        <v>834</v>
      </c>
      <c r="C274" s="57" t="s">
        <v>792</v>
      </c>
      <c r="D274" s="57" t="s">
        <v>793</v>
      </c>
      <c r="E274" s="57" t="s">
        <v>794</v>
      </c>
      <c r="F274" s="57" t="s">
        <v>795</v>
      </c>
      <c r="G274" s="58">
        <v>2</v>
      </c>
      <c r="H274" s="58">
        <v>2</v>
      </c>
      <c r="I274" s="58">
        <v>2</v>
      </c>
      <c r="J274" s="58">
        <v>19</v>
      </c>
      <c r="K274" s="19">
        <v>5920655</v>
      </c>
      <c r="L274" s="58">
        <v>600</v>
      </c>
      <c r="M274" s="58">
        <v>2019</v>
      </c>
      <c r="N274" s="58" t="s">
        <v>594</v>
      </c>
      <c r="O274" s="59" t="s">
        <v>595</v>
      </c>
      <c r="P274" s="58" t="s">
        <v>835</v>
      </c>
      <c r="Q274" s="60">
        <v>1003019</v>
      </c>
      <c r="R274" s="58">
        <v>0</v>
      </c>
      <c r="S274" s="58" t="s">
        <v>206</v>
      </c>
      <c r="T274" s="58">
        <v>3</v>
      </c>
      <c r="U274" s="58" t="s">
        <v>797</v>
      </c>
      <c r="V274" s="19"/>
      <c r="W274" s="58" t="s">
        <v>829</v>
      </c>
      <c r="X274" s="19">
        <v>20</v>
      </c>
      <c r="Y274" s="19" t="s">
        <v>710</v>
      </c>
      <c r="Z274" s="19" t="s">
        <v>711</v>
      </c>
      <c r="AA274" s="19" t="s">
        <v>712</v>
      </c>
      <c r="AB274" s="19">
        <v>2</v>
      </c>
      <c r="AC274" s="43" t="b">
        <v>1</v>
      </c>
      <c r="AD274" s="4" t="b">
        <v>0</v>
      </c>
      <c r="AF274" s="44">
        <v>4</v>
      </c>
      <c r="AG274" s="45" t="s">
        <v>713</v>
      </c>
      <c r="AH274" s="45" t="s">
        <v>604</v>
      </c>
    </row>
    <row r="275" spans="1:34" s="4" customFormat="1" x14ac:dyDescent="0.25">
      <c r="A275" s="57">
        <v>12220</v>
      </c>
      <c r="B275" s="57" t="s">
        <v>836</v>
      </c>
      <c r="C275" s="57" t="s">
        <v>792</v>
      </c>
      <c r="D275" s="57" t="s">
        <v>793</v>
      </c>
      <c r="E275" s="57" t="s">
        <v>794</v>
      </c>
      <c r="F275" s="57" t="s">
        <v>795</v>
      </c>
      <c r="G275" s="58">
        <v>2</v>
      </c>
      <c r="H275" s="58">
        <v>2</v>
      </c>
      <c r="I275" s="58">
        <v>2</v>
      </c>
      <c r="J275" s="58">
        <v>20</v>
      </c>
      <c r="K275" s="19">
        <v>7272415</v>
      </c>
      <c r="L275" s="58">
        <v>600</v>
      </c>
      <c r="M275" s="58">
        <v>2020</v>
      </c>
      <c r="N275" s="58" t="s">
        <v>594</v>
      </c>
      <c r="O275" s="59" t="s">
        <v>595</v>
      </c>
      <c r="P275" s="58" t="s">
        <v>837</v>
      </c>
      <c r="Q275" s="60">
        <v>1003020</v>
      </c>
      <c r="R275" s="58">
        <v>0</v>
      </c>
      <c r="S275" s="58" t="s">
        <v>206</v>
      </c>
      <c r="T275" s="58">
        <v>3</v>
      </c>
      <c r="U275" s="58" t="s">
        <v>797</v>
      </c>
      <c r="V275" s="58"/>
      <c r="W275" s="58" t="s">
        <v>829</v>
      </c>
      <c r="X275" s="19">
        <v>20</v>
      </c>
      <c r="Y275" s="19" t="s">
        <v>716</v>
      </c>
      <c r="Z275" s="19" t="s">
        <v>717</v>
      </c>
      <c r="AA275" s="19" t="s">
        <v>718</v>
      </c>
      <c r="AB275" s="19">
        <v>2</v>
      </c>
      <c r="AC275" s="43" t="b">
        <v>1</v>
      </c>
      <c r="AD275" s="4" t="b">
        <v>0</v>
      </c>
      <c r="AF275" s="44">
        <v>4</v>
      </c>
      <c r="AG275" s="45" t="s">
        <v>719</v>
      </c>
      <c r="AH275" s="45" t="s">
        <v>604</v>
      </c>
    </row>
    <row r="276" spans="1:34" s="4" customFormat="1" x14ac:dyDescent="0.25">
      <c r="A276" s="57">
        <v>12221</v>
      </c>
      <c r="B276" s="57" t="s">
        <v>838</v>
      </c>
      <c r="C276" s="57" t="s">
        <v>792</v>
      </c>
      <c r="D276" s="57" t="s">
        <v>793</v>
      </c>
      <c r="E276" s="57" t="s">
        <v>794</v>
      </c>
      <c r="F276" s="57" t="s">
        <v>795</v>
      </c>
      <c r="G276" s="58">
        <v>2</v>
      </c>
      <c r="H276" s="58">
        <v>2</v>
      </c>
      <c r="I276" s="58">
        <v>2</v>
      </c>
      <c r="J276" s="58">
        <v>21</v>
      </c>
      <c r="K276" s="19">
        <v>8627463</v>
      </c>
      <c r="L276" s="58">
        <v>600</v>
      </c>
      <c r="M276" s="58">
        <v>2021</v>
      </c>
      <c r="N276" s="58" t="s">
        <v>594</v>
      </c>
      <c r="O276" s="59" t="s">
        <v>595</v>
      </c>
      <c r="P276" s="58" t="s">
        <v>839</v>
      </c>
      <c r="Q276" s="60">
        <v>1003021</v>
      </c>
      <c r="R276" s="58">
        <v>0</v>
      </c>
      <c r="S276" s="58" t="s">
        <v>206</v>
      </c>
      <c r="T276" s="58">
        <v>3</v>
      </c>
      <c r="U276" s="58" t="s">
        <v>797</v>
      </c>
      <c r="V276" s="19"/>
      <c r="W276" s="58" t="s">
        <v>829</v>
      </c>
      <c r="X276" s="19">
        <v>25</v>
      </c>
      <c r="Y276" s="19" t="s">
        <v>722</v>
      </c>
      <c r="Z276" s="19" t="s">
        <v>723</v>
      </c>
      <c r="AA276" s="19" t="s">
        <v>724</v>
      </c>
      <c r="AB276" s="19">
        <v>2</v>
      </c>
      <c r="AC276" s="43" t="b">
        <v>1</v>
      </c>
      <c r="AD276" s="4" t="b">
        <v>0</v>
      </c>
      <c r="AF276" s="44">
        <v>4</v>
      </c>
      <c r="AG276" s="45" t="s">
        <v>725</v>
      </c>
      <c r="AH276" s="45" t="s">
        <v>604</v>
      </c>
    </row>
    <row r="277" spans="1:34" s="4" customFormat="1" x14ac:dyDescent="0.25">
      <c r="A277" s="57">
        <v>12222</v>
      </c>
      <c r="B277" s="57" t="s">
        <v>840</v>
      </c>
      <c r="C277" s="57" t="s">
        <v>792</v>
      </c>
      <c r="D277" s="57" t="s">
        <v>793</v>
      </c>
      <c r="E277" s="57" t="s">
        <v>794</v>
      </c>
      <c r="F277" s="57" t="s">
        <v>795</v>
      </c>
      <c r="G277" s="58">
        <v>2</v>
      </c>
      <c r="H277" s="58">
        <v>2</v>
      </c>
      <c r="I277" s="58">
        <v>2</v>
      </c>
      <c r="J277" s="58">
        <v>22</v>
      </c>
      <c r="K277" s="19">
        <v>9536690</v>
      </c>
      <c r="L277" s="58">
        <v>600</v>
      </c>
      <c r="M277" s="58">
        <v>2022</v>
      </c>
      <c r="N277" s="58" t="s">
        <v>594</v>
      </c>
      <c r="O277" s="59" t="s">
        <v>595</v>
      </c>
      <c r="P277" s="58" t="s">
        <v>841</v>
      </c>
      <c r="Q277" s="60">
        <v>1003022</v>
      </c>
      <c r="R277" s="58">
        <v>0</v>
      </c>
      <c r="S277" s="58" t="s">
        <v>206</v>
      </c>
      <c r="T277" s="58">
        <v>3</v>
      </c>
      <c r="U277" s="58" t="s">
        <v>797</v>
      </c>
      <c r="V277" s="19"/>
      <c r="W277" s="58" t="s">
        <v>829</v>
      </c>
      <c r="X277" s="19">
        <v>25</v>
      </c>
      <c r="Y277" s="19" t="s">
        <v>728</v>
      </c>
      <c r="Z277" s="19" t="s">
        <v>729</v>
      </c>
      <c r="AA277" s="19" t="s">
        <v>730</v>
      </c>
      <c r="AB277" s="19">
        <v>2</v>
      </c>
      <c r="AC277" s="43" t="b">
        <v>1</v>
      </c>
      <c r="AD277" s="4" t="b">
        <v>0</v>
      </c>
      <c r="AF277" s="44">
        <v>4</v>
      </c>
      <c r="AG277" s="45" t="s">
        <v>731</v>
      </c>
      <c r="AH277" s="45" t="s">
        <v>604</v>
      </c>
    </row>
    <row r="278" spans="1:34" s="4" customFormat="1" x14ac:dyDescent="0.25">
      <c r="A278" s="57">
        <v>12223</v>
      </c>
      <c r="B278" s="57" t="s">
        <v>842</v>
      </c>
      <c r="C278" s="57" t="s">
        <v>792</v>
      </c>
      <c r="D278" s="57" t="s">
        <v>793</v>
      </c>
      <c r="E278" s="57" t="s">
        <v>794</v>
      </c>
      <c r="F278" s="57" t="s">
        <v>795</v>
      </c>
      <c r="G278" s="58">
        <v>2</v>
      </c>
      <c r="H278" s="58">
        <v>2</v>
      </c>
      <c r="I278" s="58">
        <v>2</v>
      </c>
      <c r="J278" s="58">
        <v>23</v>
      </c>
      <c r="K278" s="19">
        <v>10381146</v>
      </c>
      <c r="L278" s="58">
        <v>600</v>
      </c>
      <c r="M278" s="58">
        <v>2023</v>
      </c>
      <c r="N278" s="58" t="s">
        <v>594</v>
      </c>
      <c r="O278" s="59" t="s">
        <v>595</v>
      </c>
      <c r="P278" s="58" t="s">
        <v>843</v>
      </c>
      <c r="Q278" s="60">
        <v>1003023</v>
      </c>
      <c r="R278" s="58">
        <v>0</v>
      </c>
      <c r="S278" s="58" t="s">
        <v>206</v>
      </c>
      <c r="T278" s="58">
        <v>3</v>
      </c>
      <c r="U278" s="58" t="s">
        <v>797</v>
      </c>
      <c r="V278" s="19"/>
      <c r="W278" s="58" t="s">
        <v>829</v>
      </c>
      <c r="X278" s="19">
        <v>25</v>
      </c>
      <c r="Y278" s="19" t="s">
        <v>734</v>
      </c>
      <c r="Z278" s="19" t="s">
        <v>735</v>
      </c>
      <c r="AA278" s="19" t="s">
        <v>736</v>
      </c>
      <c r="AB278" s="19">
        <v>2</v>
      </c>
      <c r="AC278" s="43" t="b">
        <v>1</v>
      </c>
      <c r="AD278" s="4" t="b">
        <v>0</v>
      </c>
      <c r="AF278" s="44">
        <v>4</v>
      </c>
      <c r="AG278" s="45" t="s">
        <v>737</v>
      </c>
      <c r="AH278" s="45" t="s">
        <v>604</v>
      </c>
    </row>
    <row r="279" spans="1:34" s="4" customFormat="1" x14ac:dyDescent="0.25">
      <c r="A279" s="57">
        <v>12224</v>
      </c>
      <c r="B279" s="57" t="s">
        <v>844</v>
      </c>
      <c r="C279" s="57" t="s">
        <v>792</v>
      </c>
      <c r="D279" s="57" t="s">
        <v>793</v>
      </c>
      <c r="E279" s="57" t="s">
        <v>794</v>
      </c>
      <c r="F279" s="57" t="s">
        <v>795</v>
      </c>
      <c r="G279" s="58">
        <v>2</v>
      </c>
      <c r="H279" s="58">
        <v>2</v>
      </c>
      <c r="I279" s="58">
        <v>2</v>
      </c>
      <c r="J279" s="58">
        <v>24</v>
      </c>
      <c r="K279" s="19">
        <v>11244542</v>
      </c>
      <c r="L279" s="58">
        <v>600</v>
      </c>
      <c r="M279" s="58">
        <v>2024</v>
      </c>
      <c r="N279" s="58" t="s">
        <v>594</v>
      </c>
      <c r="O279" s="59" t="s">
        <v>595</v>
      </c>
      <c r="P279" s="58" t="s">
        <v>845</v>
      </c>
      <c r="Q279" s="60">
        <v>1003024</v>
      </c>
      <c r="R279" s="58">
        <v>0</v>
      </c>
      <c r="S279" s="58" t="s">
        <v>206</v>
      </c>
      <c r="T279" s="58">
        <v>3</v>
      </c>
      <c r="U279" s="58" t="s">
        <v>797</v>
      </c>
      <c r="V279" s="19"/>
      <c r="W279" s="58" t="s">
        <v>829</v>
      </c>
      <c r="X279" s="19">
        <v>25</v>
      </c>
      <c r="Y279" s="19" t="s">
        <v>740</v>
      </c>
      <c r="Z279" s="19" t="s">
        <v>741</v>
      </c>
      <c r="AA279" s="19" t="s">
        <v>742</v>
      </c>
      <c r="AB279" s="19">
        <v>2</v>
      </c>
      <c r="AC279" s="43" t="b">
        <v>1</v>
      </c>
      <c r="AD279" s="4" t="b">
        <v>0</v>
      </c>
      <c r="AF279" s="44">
        <v>4</v>
      </c>
      <c r="AG279" s="45" t="s">
        <v>743</v>
      </c>
      <c r="AH279" s="45" t="s">
        <v>604</v>
      </c>
    </row>
    <row r="280" spans="1:34" s="4" customFormat="1" x14ac:dyDescent="0.25">
      <c r="A280" s="57">
        <v>12225</v>
      </c>
      <c r="B280" s="57" t="s">
        <v>846</v>
      </c>
      <c r="C280" s="57" t="s">
        <v>792</v>
      </c>
      <c r="D280" s="57" t="s">
        <v>793</v>
      </c>
      <c r="E280" s="57" t="s">
        <v>794</v>
      </c>
      <c r="F280" s="57" t="s">
        <v>795</v>
      </c>
      <c r="G280" s="58">
        <v>2</v>
      </c>
      <c r="H280" s="58">
        <v>2</v>
      </c>
      <c r="I280" s="58">
        <v>2</v>
      </c>
      <c r="J280" s="58">
        <v>25</v>
      </c>
      <c r="K280" s="19">
        <v>12560506</v>
      </c>
      <c r="L280" s="58">
        <v>600</v>
      </c>
      <c r="M280" s="58">
        <v>2025</v>
      </c>
      <c r="N280" s="58" t="s">
        <v>594</v>
      </c>
      <c r="O280" s="59" t="s">
        <v>595</v>
      </c>
      <c r="P280" s="58" t="s">
        <v>847</v>
      </c>
      <c r="Q280" s="60">
        <v>1003025</v>
      </c>
      <c r="R280" s="58">
        <v>0</v>
      </c>
      <c r="S280" s="58" t="s">
        <v>206</v>
      </c>
      <c r="T280" s="58">
        <v>3</v>
      </c>
      <c r="U280" s="58" t="s">
        <v>797</v>
      </c>
      <c r="V280" s="19"/>
      <c r="W280" s="58" t="s">
        <v>829</v>
      </c>
      <c r="X280" s="19">
        <v>25</v>
      </c>
      <c r="Y280" s="19" t="s">
        <v>746</v>
      </c>
      <c r="Z280" s="19" t="s">
        <v>747</v>
      </c>
      <c r="AA280" s="19" t="s">
        <v>748</v>
      </c>
      <c r="AB280" s="19">
        <v>2</v>
      </c>
      <c r="AC280" s="43" t="b">
        <v>1</v>
      </c>
      <c r="AD280" s="4" t="b">
        <v>0</v>
      </c>
      <c r="AF280" s="44">
        <v>4</v>
      </c>
      <c r="AG280" s="45" t="s">
        <v>749</v>
      </c>
      <c r="AH280" s="45" t="s">
        <v>604</v>
      </c>
    </row>
    <row r="281" spans="1:34" s="4" customFormat="1" x14ac:dyDescent="0.25">
      <c r="A281" s="57">
        <v>12226</v>
      </c>
      <c r="B281" s="57" t="s">
        <v>848</v>
      </c>
      <c r="C281" s="57" t="s">
        <v>792</v>
      </c>
      <c r="D281" s="57" t="s">
        <v>793</v>
      </c>
      <c r="E281" s="57" t="s">
        <v>794</v>
      </c>
      <c r="F281" s="57" t="s">
        <v>795</v>
      </c>
      <c r="G281" s="58">
        <v>2</v>
      </c>
      <c r="H281" s="58">
        <v>2</v>
      </c>
      <c r="I281" s="58">
        <v>2</v>
      </c>
      <c r="J281" s="58">
        <v>26</v>
      </c>
      <c r="K281" s="19">
        <v>13734998</v>
      </c>
      <c r="L281" s="58">
        <v>600</v>
      </c>
      <c r="M281" s="58">
        <v>2026</v>
      </c>
      <c r="N281" s="58" t="s">
        <v>594</v>
      </c>
      <c r="O281" s="59" t="s">
        <v>595</v>
      </c>
      <c r="P281" s="58" t="s">
        <v>849</v>
      </c>
      <c r="Q281" s="60">
        <v>1003026</v>
      </c>
      <c r="R281" s="58">
        <v>0</v>
      </c>
      <c r="S281" s="58" t="s">
        <v>206</v>
      </c>
      <c r="T281" s="58">
        <v>3</v>
      </c>
      <c r="U281" s="58" t="s">
        <v>797</v>
      </c>
      <c r="V281" s="19"/>
      <c r="W281" s="58" t="s">
        <v>829</v>
      </c>
      <c r="X281" s="19">
        <v>30</v>
      </c>
      <c r="Y281" s="19" t="s">
        <v>752</v>
      </c>
      <c r="Z281" s="19" t="s">
        <v>753</v>
      </c>
      <c r="AA281" s="19" t="s">
        <v>754</v>
      </c>
      <c r="AB281" s="19">
        <v>2</v>
      </c>
      <c r="AC281" s="43" t="b">
        <v>1</v>
      </c>
      <c r="AD281" s="4" t="b">
        <v>0</v>
      </c>
      <c r="AF281" s="44">
        <v>4</v>
      </c>
      <c r="AG281" s="45" t="s">
        <v>755</v>
      </c>
      <c r="AH281" s="45" t="s">
        <v>604</v>
      </c>
    </row>
    <row r="282" spans="1:34" s="4" customFormat="1" x14ac:dyDescent="0.25">
      <c r="A282" s="57">
        <v>12227</v>
      </c>
      <c r="B282" s="57" t="s">
        <v>850</v>
      </c>
      <c r="C282" s="57" t="s">
        <v>792</v>
      </c>
      <c r="D282" s="57" t="s">
        <v>793</v>
      </c>
      <c r="E282" s="57" t="s">
        <v>794</v>
      </c>
      <c r="F282" s="57" t="s">
        <v>795</v>
      </c>
      <c r="G282" s="58">
        <v>2</v>
      </c>
      <c r="H282" s="58">
        <v>2</v>
      </c>
      <c r="I282" s="58">
        <v>2</v>
      </c>
      <c r="J282" s="58">
        <v>27</v>
      </c>
      <c r="K282" s="19">
        <v>14733195</v>
      </c>
      <c r="L282" s="58">
        <v>600</v>
      </c>
      <c r="M282" s="58">
        <v>2027</v>
      </c>
      <c r="N282" s="58" t="s">
        <v>594</v>
      </c>
      <c r="O282" s="59" t="s">
        <v>595</v>
      </c>
      <c r="P282" s="58" t="s">
        <v>851</v>
      </c>
      <c r="Q282" s="60">
        <v>1003027</v>
      </c>
      <c r="R282" s="58">
        <v>0</v>
      </c>
      <c r="S282" s="58" t="s">
        <v>206</v>
      </c>
      <c r="T282" s="58">
        <v>3</v>
      </c>
      <c r="U282" s="58" t="s">
        <v>797</v>
      </c>
      <c r="V282" s="19"/>
      <c r="W282" s="58" t="s">
        <v>829</v>
      </c>
      <c r="X282" s="19">
        <v>30</v>
      </c>
      <c r="Y282" s="19" t="s">
        <v>758</v>
      </c>
      <c r="Z282" s="19" t="s">
        <v>759</v>
      </c>
      <c r="AA282" s="19" t="s">
        <v>760</v>
      </c>
      <c r="AB282" s="19">
        <v>2</v>
      </c>
      <c r="AC282" s="43" t="b">
        <v>1</v>
      </c>
      <c r="AD282" s="4" t="b">
        <v>0</v>
      </c>
      <c r="AF282" s="44">
        <v>4</v>
      </c>
      <c r="AG282" s="45" t="s">
        <v>761</v>
      </c>
      <c r="AH282" s="45" t="s">
        <v>604</v>
      </c>
    </row>
    <row r="283" spans="1:34" s="4" customFormat="1" x14ac:dyDescent="0.25">
      <c r="A283" s="57">
        <v>12228</v>
      </c>
      <c r="B283" s="57" t="s">
        <v>852</v>
      </c>
      <c r="C283" s="57" t="s">
        <v>792</v>
      </c>
      <c r="D283" s="57" t="s">
        <v>793</v>
      </c>
      <c r="E283" s="57" t="s">
        <v>794</v>
      </c>
      <c r="F283" s="57" t="s">
        <v>795</v>
      </c>
      <c r="G283" s="58">
        <v>2</v>
      </c>
      <c r="H283" s="58">
        <v>2</v>
      </c>
      <c r="I283" s="58">
        <v>2</v>
      </c>
      <c r="J283" s="58">
        <v>28</v>
      </c>
      <c r="K283" s="19">
        <v>15616920</v>
      </c>
      <c r="L283" s="58">
        <v>600</v>
      </c>
      <c r="M283" s="58">
        <v>2028</v>
      </c>
      <c r="N283" s="58" t="s">
        <v>594</v>
      </c>
      <c r="O283" s="59" t="s">
        <v>595</v>
      </c>
      <c r="P283" s="58" t="s">
        <v>853</v>
      </c>
      <c r="Q283" s="60">
        <v>1003028</v>
      </c>
      <c r="R283" s="58">
        <v>0</v>
      </c>
      <c r="S283" s="58" t="s">
        <v>206</v>
      </c>
      <c r="T283" s="58">
        <v>3</v>
      </c>
      <c r="U283" s="58" t="s">
        <v>797</v>
      </c>
      <c r="V283" s="19"/>
      <c r="W283" s="58" t="s">
        <v>829</v>
      </c>
      <c r="X283" s="19">
        <v>30</v>
      </c>
      <c r="Y283" s="19" t="s">
        <v>764</v>
      </c>
      <c r="Z283" s="19" t="s">
        <v>765</v>
      </c>
      <c r="AA283" s="19" t="s">
        <v>766</v>
      </c>
      <c r="AB283" s="19">
        <v>2</v>
      </c>
      <c r="AC283" s="43" t="b">
        <v>1</v>
      </c>
      <c r="AD283" s="4" t="b">
        <v>0</v>
      </c>
      <c r="AF283" s="44">
        <v>4</v>
      </c>
      <c r="AG283" s="45" t="s">
        <v>767</v>
      </c>
      <c r="AH283" s="45" t="s">
        <v>604</v>
      </c>
    </row>
    <row r="284" spans="1:34" s="4" customFormat="1" x14ac:dyDescent="0.25">
      <c r="A284" s="57">
        <v>12229</v>
      </c>
      <c r="B284" s="57" t="s">
        <v>854</v>
      </c>
      <c r="C284" s="57" t="s">
        <v>792</v>
      </c>
      <c r="D284" s="57" t="s">
        <v>793</v>
      </c>
      <c r="E284" s="57" t="s">
        <v>794</v>
      </c>
      <c r="F284" s="57" t="s">
        <v>795</v>
      </c>
      <c r="G284" s="58">
        <v>2</v>
      </c>
      <c r="H284" s="58">
        <v>2</v>
      </c>
      <c r="I284" s="58">
        <v>2</v>
      </c>
      <c r="J284" s="58">
        <v>29</v>
      </c>
      <c r="K284" s="19">
        <v>17229411</v>
      </c>
      <c r="L284" s="58">
        <v>600</v>
      </c>
      <c r="M284" s="58">
        <v>2029</v>
      </c>
      <c r="N284" s="58" t="s">
        <v>594</v>
      </c>
      <c r="O284" s="59" t="s">
        <v>595</v>
      </c>
      <c r="P284" s="58" t="s">
        <v>855</v>
      </c>
      <c r="Q284" s="60">
        <v>1003029</v>
      </c>
      <c r="R284" s="58">
        <v>0</v>
      </c>
      <c r="S284" s="58" t="s">
        <v>206</v>
      </c>
      <c r="T284" s="58">
        <v>3</v>
      </c>
      <c r="U284" s="58" t="s">
        <v>797</v>
      </c>
      <c r="V284" s="19"/>
      <c r="W284" s="58" t="s">
        <v>829</v>
      </c>
      <c r="X284" s="19">
        <v>30</v>
      </c>
      <c r="Y284" s="19" t="s">
        <v>770</v>
      </c>
      <c r="Z284" s="19" t="s">
        <v>771</v>
      </c>
      <c r="AA284" s="19" t="s">
        <v>772</v>
      </c>
      <c r="AB284" s="19">
        <v>2</v>
      </c>
      <c r="AC284" s="43" t="b">
        <v>1</v>
      </c>
      <c r="AD284" s="4" t="b">
        <v>0</v>
      </c>
      <c r="AF284" s="44">
        <v>4</v>
      </c>
      <c r="AG284" s="45" t="s">
        <v>773</v>
      </c>
      <c r="AH284" s="45" t="s">
        <v>604</v>
      </c>
    </row>
    <row r="285" spans="1:34" s="4" customFormat="1" x14ac:dyDescent="0.25">
      <c r="A285" s="57">
        <v>12230</v>
      </c>
      <c r="B285" s="57" t="s">
        <v>856</v>
      </c>
      <c r="C285" s="57" t="s">
        <v>792</v>
      </c>
      <c r="D285" s="57" t="s">
        <v>793</v>
      </c>
      <c r="E285" s="57" t="s">
        <v>794</v>
      </c>
      <c r="F285" s="57" t="s">
        <v>795</v>
      </c>
      <c r="G285" s="58">
        <v>2</v>
      </c>
      <c r="H285" s="58">
        <v>2</v>
      </c>
      <c r="I285" s="58">
        <v>2</v>
      </c>
      <c r="J285" s="58">
        <v>30</v>
      </c>
      <c r="K285" s="19">
        <v>18159314</v>
      </c>
      <c r="L285" s="58">
        <v>600</v>
      </c>
      <c r="M285" s="58">
        <v>2030</v>
      </c>
      <c r="N285" s="58" t="s">
        <v>594</v>
      </c>
      <c r="O285" s="59" t="s">
        <v>595</v>
      </c>
      <c r="P285" s="58" t="s">
        <v>857</v>
      </c>
      <c r="Q285" s="60">
        <v>1003030</v>
      </c>
      <c r="R285" s="58">
        <v>0</v>
      </c>
      <c r="S285" s="58" t="s">
        <v>206</v>
      </c>
      <c r="T285" s="58">
        <v>3</v>
      </c>
      <c r="U285" s="58" t="s">
        <v>797</v>
      </c>
      <c r="V285" s="58"/>
      <c r="W285" s="58" t="s">
        <v>829</v>
      </c>
      <c r="X285" s="19">
        <v>30</v>
      </c>
      <c r="Y285" s="19" t="s">
        <v>776</v>
      </c>
      <c r="Z285" s="19" t="s">
        <v>777</v>
      </c>
      <c r="AA285" s="19" t="s">
        <v>778</v>
      </c>
      <c r="AB285" s="19">
        <v>2</v>
      </c>
      <c r="AC285" s="43" t="b">
        <v>1</v>
      </c>
      <c r="AD285" s="4" t="b">
        <v>0</v>
      </c>
      <c r="AF285" s="44">
        <v>4</v>
      </c>
      <c r="AG285" s="45" t="s">
        <v>779</v>
      </c>
      <c r="AH285" s="45" t="s">
        <v>604</v>
      </c>
    </row>
    <row r="286" spans="1:35" s="4" customFormat="1" x14ac:dyDescent="0.25">
      <c r="A286" s="57">
        <v>13301</v>
      </c>
      <c r="B286" s="57" t="s">
        <v>858</v>
      </c>
      <c r="C286" s="57" t="s">
        <v>859</v>
      </c>
      <c r="D286" s="57" t="s">
        <v>860</v>
      </c>
      <c r="E286" s="57" t="s">
        <v>859</v>
      </c>
      <c r="F286" s="57" t="s">
        <v>860</v>
      </c>
      <c r="G286" s="58">
        <v>3</v>
      </c>
      <c r="H286" s="58">
        <v>3</v>
      </c>
      <c r="I286" s="58">
        <v>2</v>
      </c>
      <c r="J286" s="58">
        <v>1</v>
      </c>
      <c r="K286" s="58">
        <v>20000000</v>
      </c>
      <c r="L286" s="58">
        <v>3600</v>
      </c>
      <c r="M286" s="58">
        <v>4001</v>
      </c>
      <c r="N286" s="58" t="s">
        <v>783</v>
      </c>
      <c r="O286" s="59"/>
      <c r="P286" s="58"/>
      <c r="Q286" s="60">
        <v>1000075</v>
      </c>
      <c r="R286" s="58">
        <v>0</v>
      </c>
      <c r="S286" s="58" t="s">
        <v>206</v>
      </c>
      <c r="T286" s="58">
        <v>4</v>
      </c>
      <c r="U286" s="58" t="s">
        <v>861</v>
      </c>
      <c r="V286" s="19" t="s">
        <v>785</v>
      </c>
      <c r="W286" s="58" t="s">
        <v>862</v>
      </c>
      <c r="X286" s="57">
        <v>5</v>
      </c>
      <c r="Y286" s="19" t="s">
        <v>787</v>
      </c>
      <c r="Z286" s="19" t="s">
        <v>863</v>
      </c>
      <c r="AA286" s="19" t="s">
        <v>864</v>
      </c>
      <c r="AB286" s="19">
        <v>6</v>
      </c>
      <c r="AC286" s="43" t="b">
        <v>1</v>
      </c>
      <c r="AD286" s="4" t="b">
        <v>1</v>
      </c>
      <c r="AE286" s="4">
        <v>2</v>
      </c>
      <c r="AF286" s="45"/>
      <c r="AG286" s="4"/>
      <c r="AI286" s="4">
        <v>40</v>
      </c>
    </row>
    <row r="287" spans="1:35" s="4" customFormat="1" x14ac:dyDescent="0.25">
      <c r="A287" s="57">
        <v>13302</v>
      </c>
      <c r="B287" s="57" t="s">
        <v>865</v>
      </c>
      <c r="C287" s="57" t="s">
        <v>859</v>
      </c>
      <c r="D287" s="57" t="s">
        <v>860</v>
      </c>
      <c r="E287" s="57" t="s">
        <v>859</v>
      </c>
      <c r="F287" s="57" t="s">
        <v>860</v>
      </c>
      <c r="G287" s="58">
        <v>3</v>
      </c>
      <c r="H287" s="58">
        <v>3</v>
      </c>
      <c r="I287" s="58">
        <v>2</v>
      </c>
      <c r="J287" s="58">
        <v>1</v>
      </c>
      <c r="K287" s="58">
        <v>20000000</v>
      </c>
      <c r="L287" s="58">
        <v>3600</v>
      </c>
      <c r="M287" s="58">
        <v>4002</v>
      </c>
      <c r="N287" s="58" t="s">
        <v>783</v>
      </c>
      <c r="O287" s="59"/>
      <c r="P287" s="58"/>
      <c r="Q287" s="60">
        <v>1000075</v>
      </c>
      <c r="R287" s="58">
        <v>0</v>
      </c>
      <c r="S287" s="58" t="s">
        <v>206</v>
      </c>
      <c r="T287" s="58">
        <v>4</v>
      </c>
      <c r="U287" s="58" t="s">
        <v>861</v>
      </c>
      <c r="V287" s="19" t="s">
        <v>785</v>
      </c>
      <c r="W287" s="58" t="s">
        <v>862</v>
      </c>
      <c r="X287" s="57">
        <v>5</v>
      </c>
      <c r="Y287" s="19" t="s">
        <v>787</v>
      </c>
      <c r="Z287" s="19" t="s">
        <v>863</v>
      </c>
      <c r="AA287" s="19" t="s">
        <v>864</v>
      </c>
      <c r="AB287" s="19">
        <v>6</v>
      </c>
      <c r="AC287" s="43" t="b">
        <v>1</v>
      </c>
      <c r="AD287" s="4" t="b">
        <v>1</v>
      </c>
      <c r="AE287" s="4">
        <v>2</v>
      </c>
      <c r="AF287" s="45"/>
      <c r="AG287" s="4"/>
      <c r="AI287" s="4">
        <v>40</v>
      </c>
    </row>
    <row r="288" spans="1:35" s="4" customFormat="1" x14ac:dyDescent="0.25">
      <c r="A288" s="57">
        <v>13303</v>
      </c>
      <c r="B288" s="57" t="s">
        <v>866</v>
      </c>
      <c r="C288" s="57" t="s">
        <v>859</v>
      </c>
      <c r="D288" s="57" t="s">
        <v>860</v>
      </c>
      <c r="E288" s="57" t="s">
        <v>859</v>
      </c>
      <c r="F288" s="57" t="s">
        <v>860</v>
      </c>
      <c r="G288" s="58">
        <v>3</v>
      </c>
      <c r="H288" s="58">
        <v>3</v>
      </c>
      <c r="I288" s="58">
        <v>2</v>
      </c>
      <c r="J288" s="58">
        <v>1</v>
      </c>
      <c r="K288" s="58">
        <v>20000000</v>
      </c>
      <c r="L288" s="58">
        <v>3600</v>
      </c>
      <c r="M288" s="58">
        <v>4003</v>
      </c>
      <c r="N288" s="58" t="s">
        <v>783</v>
      </c>
      <c r="O288" s="59"/>
      <c r="P288" s="58"/>
      <c r="Q288" s="60">
        <v>1000075</v>
      </c>
      <c r="R288" s="58">
        <v>0</v>
      </c>
      <c r="S288" s="58" t="s">
        <v>206</v>
      </c>
      <c r="T288" s="58">
        <v>4</v>
      </c>
      <c r="U288" s="58" t="s">
        <v>861</v>
      </c>
      <c r="V288" s="19" t="s">
        <v>785</v>
      </c>
      <c r="W288" s="58" t="s">
        <v>862</v>
      </c>
      <c r="X288" s="57">
        <v>5</v>
      </c>
      <c r="Y288" s="19" t="s">
        <v>787</v>
      </c>
      <c r="Z288" s="19" t="s">
        <v>863</v>
      </c>
      <c r="AA288" s="19" t="s">
        <v>864</v>
      </c>
      <c r="AB288" s="19">
        <v>6</v>
      </c>
      <c r="AC288" s="43" t="b">
        <v>1</v>
      </c>
      <c r="AD288" s="4" t="b">
        <v>1</v>
      </c>
      <c r="AE288" s="4">
        <v>2</v>
      </c>
      <c r="AF288" s="45"/>
      <c r="AG288" s="4"/>
      <c r="AI288" s="4">
        <v>40</v>
      </c>
    </row>
    <row r="289" spans="1:35" s="4" customFormat="1" x14ac:dyDescent="0.25">
      <c r="A289" s="57">
        <v>13304</v>
      </c>
      <c r="B289" s="57" t="s">
        <v>867</v>
      </c>
      <c r="C289" s="57" t="s">
        <v>859</v>
      </c>
      <c r="D289" s="57" t="s">
        <v>860</v>
      </c>
      <c r="E289" s="57" t="s">
        <v>859</v>
      </c>
      <c r="F289" s="57" t="s">
        <v>860</v>
      </c>
      <c r="G289" s="58">
        <v>3</v>
      </c>
      <c r="H289" s="58">
        <v>3</v>
      </c>
      <c r="I289" s="58">
        <v>2</v>
      </c>
      <c r="J289" s="58">
        <v>1</v>
      </c>
      <c r="K289" s="58">
        <v>20000000</v>
      </c>
      <c r="L289" s="58">
        <v>3600</v>
      </c>
      <c r="M289" s="58">
        <v>4004</v>
      </c>
      <c r="N289" s="58" t="s">
        <v>783</v>
      </c>
      <c r="O289" s="59"/>
      <c r="P289" s="58"/>
      <c r="Q289" s="60">
        <v>1000075</v>
      </c>
      <c r="R289" s="58">
        <v>0</v>
      </c>
      <c r="S289" s="58" t="s">
        <v>206</v>
      </c>
      <c r="T289" s="58">
        <v>4</v>
      </c>
      <c r="U289" s="58" t="s">
        <v>861</v>
      </c>
      <c r="V289" s="19" t="s">
        <v>785</v>
      </c>
      <c r="W289" s="58" t="s">
        <v>862</v>
      </c>
      <c r="X289" s="57">
        <v>5</v>
      </c>
      <c r="Y289" s="19" t="s">
        <v>787</v>
      </c>
      <c r="Z289" s="19" t="s">
        <v>863</v>
      </c>
      <c r="AA289" s="19" t="s">
        <v>864</v>
      </c>
      <c r="AB289" s="19">
        <v>6</v>
      </c>
      <c r="AC289" s="43" t="b">
        <v>1</v>
      </c>
      <c r="AD289" s="4" t="b">
        <v>1</v>
      </c>
      <c r="AE289" s="4">
        <v>2</v>
      </c>
      <c r="AF289" s="45"/>
      <c r="AG289" s="4"/>
      <c r="AI289" s="4">
        <v>40</v>
      </c>
    </row>
    <row r="290" spans="1:35" s="4" customFormat="1" x14ac:dyDescent="0.25">
      <c r="A290" s="57">
        <v>13305</v>
      </c>
      <c r="B290" s="57" t="s">
        <v>868</v>
      </c>
      <c r="C290" s="57" t="s">
        <v>859</v>
      </c>
      <c r="D290" s="57" t="s">
        <v>860</v>
      </c>
      <c r="E290" s="57" t="s">
        <v>859</v>
      </c>
      <c r="F290" s="57" t="s">
        <v>860</v>
      </c>
      <c r="G290" s="58">
        <v>3</v>
      </c>
      <c r="H290" s="58">
        <v>3</v>
      </c>
      <c r="I290" s="58">
        <v>2</v>
      </c>
      <c r="J290" s="58">
        <v>1</v>
      </c>
      <c r="K290" s="58">
        <v>20000000</v>
      </c>
      <c r="L290" s="58">
        <v>3600</v>
      </c>
      <c r="M290" s="58">
        <v>4005</v>
      </c>
      <c r="N290" s="58" t="s">
        <v>783</v>
      </c>
      <c r="O290" s="59"/>
      <c r="P290" s="58"/>
      <c r="Q290" s="60">
        <v>1000075</v>
      </c>
      <c r="R290" s="58">
        <v>0</v>
      </c>
      <c r="S290" s="58" t="s">
        <v>206</v>
      </c>
      <c r="T290" s="58">
        <v>4</v>
      </c>
      <c r="U290" s="58" t="s">
        <v>861</v>
      </c>
      <c r="V290" s="19" t="s">
        <v>785</v>
      </c>
      <c r="W290" s="58" t="s">
        <v>862</v>
      </c>
      <c r="X290" s="57">
        <v>5</v>
      </c>
      <c r="Y290" s="19" t="s">
        <v>787</v>
      </c>
      <c r="Z290" s="19" t="s">
        <v>863</v>
      </c>
      <c r="AA290" s="19" t="s">
        <v>864</v>
      </c>
      <c r="AB290" s="19">
        <v>6</v>
      </c>
      <c r="AC290" s="43" t="b">
        <v>1</v>
      </c>
      <c r="AD290" s="4" t="b">
        <v>1</v>
      </c>
      <c r="AE290" s="4">
        <v>2</v>
      </c>
      <c r="AF290" s="45"/>
      <c r="AG290" s="4"/>
      <c r="AI290" s="4">
        <v>40</v>
      </c>
    </row>
    <row r="291" spans="1:35" s="4" customFormat="1" x14ac:dyDescent="0.25">
      <c r="A291" s="57">
        <v>130401</v>
      </c>
      <c r="B291" s="57" t="s">
        <v>869</v>
      </c>
      <c r="C291" s="57" t="s">
        <v>870</v>
      </c>
      <c r="D291" s="57" t="s">
        <v>871</v>
      </c>
      <c r="E291" s="57" t="s">
        <v>872</v>
      </c>
      <c r="F291" s="57" t="s">
        <v>873</v>
      </c>
      <c r="G291" s="58">
        <v>3</v>
      </c>
      <c r="H291" s="58">
        <v>4</v>
      </c>
      <c r="I291" s="58">
        <v>3</v>
      </c>
      <c r="J291" s="58">
        <v>1</v>
      </c>
      <c r="K291" s="58">
        <v>317844</v>
      </c>
      <c r="L291" s="58">
        <v>600</v>
      </c>
      <c r="M291" s="58">
        <v>6001</v>
      </c>
      <c r="N291" s="58" t="s">
        <v>874</v>
      </c>
      <c r="O291" s="59" t="s">
        <v>875</v>
      </c>
      <c r="P291" s="58" t="s">
        <v>876</v>
      </c>
      <c r="Q291" s="61">
        <v>1100001</v>
      </c>
      <c r="R291" s="58">
        <v>0</v>
      </c>
      <c r="S291" s="58" t="s">
        <v>206</v>
      </c>
      <c r="T291" s="58">
        <v>1</v>
      </c>
      <c r="U291" s="58" t="s">
        <v>877</v>
      </c>
      <c r="V291" s="19" t="s">
        <v>785</v>
      </c>
      <c r="W291" s="58" t="s">
        <v>878</v>
      </c>
      <c r="X291" s="57">
        <v>15</v>
      </c>
      <c r="Y291" s="19" t="s">
        <v>879</v>
      </c>
      <c r="Z291" s="19" t="s">
        <v>880</v>
      </c>
      <c r="AA291" s="19" t="s">
        <v>881</v>
      </c>
      <c r="AB291" s="19">
        <v>8</v>
      </c>
      <c r="AC291" s="43" t="b">
        <v>0</v>
      </c>
      <c r="AD291" s="44"/>
      <c r="AE291" s="44">
        <v>5</v>
      </c>
      <c r="AF291" s="44"/>
      <c r="AG291" s="45" t="s">
        <v>646</v>
      </c>
      <c r="AH291" s="45" t="s">
        <v>604</v>
      </c>
      <c r="AI291" s="44"/>
    </row>
    <row r="292" spans="1:35" s="4" customFormat="1" x14ac:dyDescent="0.25">
      <c r="A292" s="57">
        <v>130402</v>
      </c>
      <c r="B292" s="57" t="s">
        <v>882</v>
      </c>
      <c r="C292" s="57" t="s">
        <v>870</v>
      </c>
      <c r="D292" s="57" t="s">
        <v>871</v>
      </c>
      <c r="E292" s="57" t="s">
        <v>872</v>
      </c>
      <c r="F292" s="57" t="s">
        <v>873</v>
      </c>
      <c r="G292" s="58">
        <v>3</v>
      </c>
      <c r="H292" s="58">
        <v>4</v>
      </c>
      <c r="I292" s="58">
        <v>3</v>
      </c>
      <c r="J292" s="58">
        <v>2</v>
      </c>
      <c r="K292" s="58">
        <v>333788</v>
      </c>
      <c r="L292" s="58">
        <v>600</v>
      </c>
      <c r="M292" s="58">
        <v>6002</v>
      </c>
      <c r="N292" s="58" t="s">
        <v>874</v>
      </c>
      <c r="O292" s="59" t="s">
        <v>875</v>
      </c>
      <c r="P292" s="58" t="s">
        <v>876</v>
      </c>
      <c r="Q292" s="61">
        <v>1100001</v>
      </c>
      <c r="R292" s="58">
        <v>0</v>
      </c>
      <c r="S292" s="58" t="s">
        <v>206</v>
      </c>
      <c r="T292" s="58">
        <v>1</v>
      </c>
      <c r="U292" s="58" t="s">
        <v>877</v>
      </c>
      <c r="V292" s="19" t="s">
        <v>785</v>
      </c>
      <c r="W292" s="58" t="s">
        <v>878</v>
      </c>
      <c r="X292" s="57">
        <v>15</v>
      </c>
      <c r="Y292" s="19" t="s">
        <v>883</v>
      </c>
      <c r="Z292" s="19" t="s">
        <v>884</v>
      </c>
      <c r="AA292" s="19" t="s">
        <v>885</v>
      </c>
      <c r="AB292" s="19">
        <v>8</v>
      </c>
      <c r="AC292" s="43" t="b">
        <v>0</v>
      </c>
      <c r="AD292" s="44"/>
      <c r="AE292" s="44">
        <v>5</v>
      </c>
      <c r="AF292" s="44"/>
      <c r="AG292" s="45" t="s">
        <v>646</v>
      </c>
      <c r="AH292" s="45" t="s">
        <v>604</v>
      </c>
      <c r="AI292" s="44"/>
    </row>
    <row r="293" spans="1:35" s="4" customFormat="1" x14ac:dyDescent="0.25">
      <c r="A293" s="57">
        <v>130403</v>
      </c>
      <c r="B293" s="57" t="s">
        <v>886</v>
      </c>
      <c r="C293" s="57" t="s">
        <v>870</v>
      </c>
      <c r="D293" s="57" t="s">
        <v>871</v>
      </c>
      <c r="E293" s="57" t="s">
        <v>872</v>
      </c>
      <c r="F293" s="57" t="s">
        <v>873</v>
      </c>
      <c r="G293" s="58">
        <v>3</v>
      </c>
      <c r="H293" s="58">
        <v>4</v>
      </c>
      <c r="I293" s="58">
        <v>3</v>
      </c>
      <c r="J293" s="58">
        <v>3</v>
      </c>
      <c r="K293" s="58">
        <v>349638</v>
      </c>
      <c r="L293" s="58">
        <v>600</v>
      </c>
      <c r="M293" s="58">
        <v>6003</v>
      </c>
      <c r="N293" s="58" t="s">
        <v>874</v>
      </c>
      <c r="O293" s="59" t="s">
        <v>875</v>
      </c>
      <c r="P293" s="58" t="s">
        <v>876</v>
      </c>
      <c r="Q293" s="61">
        <v>1100001</v>
      </c>
      <c r="R293" s="58">
        <v>0</v>
      </c>
      <c r="S293" s="58" t="s">
        <v>206</v>
      </c>
      <c r="T293" s="58">
        <v>1</v>
      </c>
      <c r="U293" s="58" t="s">
        <v>877</v>
      </c>
      <c r="V293" s="19" t="s">
        <v>785</v>
      </c>
      <c r="W293" s="58" t="s">
        <v>878</v>
      </c>
      <c r="X293" s="57">
        <v>15</v>
      </c>
      <c r="Y293" s="19" t="s">
        <v>887</v>
      </c>
      <c r="Z293" s="19" t="s">
        <v>888</v>
      </c>
      <c r="AA293" s="19" t="s">
        <v>889</v>
      </c>
      <c r="AB293" s="19">
        <v>8</v>
      </c>
      <c r="AC293" s="43" t="b">
        <v>0</v>
      </c>
      <c r="AD293" s="44"/>
      <c r="AE293" s="44">
        <v>5</v>
      </c>
      <c r="AF293" s="44"/>
      <c r="AG293" s="45" t="s">
        <v>646</v>
      </c>
      <c r="AH293" s="45" t="s">
        <v>604</v>
      </c>
      <c r="AI293" s="44"/>
    </row>
    <row r="294" spans="1:35" s="4" customFormat="1" x14ac:dyDescent="0.25">
      <c r="A294" s="57">
        <v>130404</v>
      </c>
      <c r="B294" s="57" t="s">
        <v>890</v>
      </c>
      <c r="C294" s="57" t="s">
        <v>870</v>
      </c>
      <c r="D294" s="57" t="s">
        <v>871</v>
      </c>
      <c r="E294" s="57" t="s">
        <v>872</v>
      </c>
      <c r="F294" s="57" t="s">
        <v>873</v>
      </c>
      <c r="G294" s="58">
        <v>3</v>
      </c>
      <c r="H294" s="58">
        <v>4</v>
      </c>
      <c r="I294" s="58">
        <v>3</v>
      </c>
      <c r="J294" s="58">
        <v>4</v>
      </c>
      <c r="K294" s="58">
        <v>365524</v>
      </c>
      <c r="L294" s="58">
        <v>600</v>
      </c>
      <c r="M294" s="58">
        <v>6004</v>
      </c>
      <c r="N294" s="58" t="s">
        <v>874</v>
      </c>
      <c r="O294" s="59" t="s">
        <v>875</v>
      </c>
      <c r="P294" s="58" t="s">
        <v>876</v>
      </c>
      <c r="Q294" s="61">
        <v>1100001</v>
      </c>
      <c r="R294" s="58">
        <v>0</v>
      </c>
      <c r="S294" s="58" t="s">
        <v>206</v>
      </c>
      <c r="T294" s="58">
        <v>1</v>
      </c>
      <c r="U294" s="58" t="s">
        <v>877</v>
      </c>
      <c r="V294" s="19" t="s">
        <v>785</v>
      </c>
      <c r="W294" s="58" t="s">
        <v>878</v>
      </c>
      <c r="X294" s="57">
        <v>15</v>
      </c>
      <c r="Y294" s="19" t="s">
        <v>891</v>
      </c>
      <c r="Z294" s="19" t="s">
        <v>892</v>
      </c>
      <c r="AA294" s="19" t="s">
        <v>893</v>
      </c>
      <c r="AB294" s="19">
        <v>8</v>
      </c>
      <c r="AC294" s="43" t="b">
        <v>0</v>
      </c>
      <c r="AD294" s="44"/>
      <c r="AE294" s="44">
        <v>5</v>
      </c>
      <c r="AF294" s="44"/>
      <c r="AG294" s="45" t="s">
        <v>646</v>
      </c>
      <c r="AH294" s="45" t="s">
        <v>604</v>
      </c>
      <c r="AI294" s="44"/>
    </row>
    <row r="295" spans="1:35" s="4" customFormat="1" x14ac:dyDescent="0.25">
      <c r="A295" s="57">
        <v>130405</v>
      </c>
      <c r="B295" s="57" t="s">
        <v>894</v>
      </c>
      <c r="C295" s="57" t="s">
        <v>870</v>
      </c>
      <c r="D295" s="57" t="s">
        <v>871</v>
      </c>
      <c r="E295" s="57" t="s">
        <v>872</v>
      </c>
      <c r="F295" s="57" t="s">
        <v>873</v>
      </c>
      <c r="G295" s="58">
        <v>3</v>
      </c>
      <c r="H295" s="58">
        <v>4</v>
      </c>
      <c r="I295" s="58">
        <v>3</v>
      </c>
      <c r="J295" s="58">
        <v>5</v>
      </c>
      <c r="K295" s="58">
        <v>381357</v>
      </c>
      <c r="L295" s="58">
        <v>600</v>
      </c>
      <c r="M295" s="58">
        <v>6005</v>
      </c>
      <c r="N295" s="58" t="s">
        <v>874</v>
      </c>
      <c r="O295" s="59" t="s">
        <v>875</v>
      </c>
      <c r="P295" s="58" t="s">
        <v>876</v>
      </c>
      <c r="Q295" s="61">
        <v>1100001</v>
      </c>
      <c r="R295" s="58">
        <v>0</v>
      </c>
      <c r="S295" s="58" t="s">
        <v>206</v>
      </c>
      <c r="T295" s="58">
        <v>1</v>
      </c>
      <c r="U295" s="58" t="s">
        <v>877</v>
      </c>
      <c r="V295" s="19" t="s">
        <v>785</v>
      </c>
      <c r="W295" s="58" t="s">
        <v>878</v>
      </c>
      <c r="X295" s="57">
        <v>15</v>
      </c>
      <c r="Y295" s="19" t="s">
        <v>895</v>
      </c>
      <c r="Z295" s="19" t="s">
        <v>896</v>
      </c>
      <c r="AA295" s="19" t="s">
        <v>897</v>
      </c>
      <c r="AB295" s="19">
        <v>8</v>
      </c>
      <c r="AC295" s="43" t="b">
        <v>0</v>
      </c>
      <c r="AD295" s="44"/>
      <c r="AE295" s="44">
        <v>5</v>
      </c>
      <c r="AF295" s="44"/>
      <c r="AG295" s="45" t="s">
        <v>646</v>
      </c>
      <c r="AH295" s="45" t="s">
        <v>604</v>
      </c>
      <c r="AI295" s="44"/>
    </row>
    <row r="296" spans="1:35" s="4" customFormat="1" x14ac:dyDescent="0.25">
      <c r="A296" s="57">
        <v>130406</v>
      </c>
      <c r="B296" s="57" t="s">
        <v>898</v>
      </c>
      <c r="C296" s="57" t="s">
        <v>870</v>
      </c>
      <c r="D296" s="57" t="s">
        <v>871</v>
      </c>
      <c r="E296" s="57" t="s">
        <v>872</v>
      </c>
      <c r="F296" s="57" t="s">
        <v>873</v>
      </c>
      <c r="G296" s="58">
        <v>3</v>
      </c>
      <c r="H296" s="58">
        <v>4</v>
      </c>
      <c r="I296" s="58">
        <v>3</v>
      </c>
      <c r="J296" s="58">
        <v>6</v>
      </c>
      <c r="K296" s="58">
        <v>397388</v>
      </c>
      <c r="L296" s="58">
        <v>600</v>
      </c>
      <c r="M296" s="58">
        <v>6006</v>
      </c>
      <c r="N296" s="58" t="s">
        <v>874</v>
      </c>
      <c r="O296" s="59" t="s">
        <v>875</v>
      </c>
      <c r="P296" s="58" t="s">
        <v>876</v>
      </c>
      <c r="Q296" s="61">
        <v>1100001</v>
      </c>
      <c r="R296" s="58">
        <v>0</v>
      </c>
      <c r="S296" s="58" t="s">
        <v>206</v>
      </c>
      <c r="T296" s="58">
        <v>1</v>
      </c>
      <c r="U296" s="58" t="s">
        <v>877</v>
      </c>
      <c r="V296" s="19" t="s">
        <v>785</v>
      </c>
      <c r="W296" s="58" t="s">
        <v>878</v>
      </c>
      <c r="X296" s="57">
        <v>15</v>
      </c>
      <c r="Y296" s="19" t="s">
        <v>899</v>
      </c>
      <c r="Z296" s="19" t="s">
        <v>900</v>
      </c>
      <c r="AA296" s="19" t="s">
        <v>901</v>
      </c>
      <c r="AB296" s="19">
        <v>8</v>
      </c>
      <c r="AC296" s="43" t="b">
        <v>0</v>
      </c>
      <c r="AD296" s="44"/>
      <c r="AE296" s="44">
        <v>5</v>
      </c>
      <c r="AF296" s="44"/>
      <c r="AG296" s="45" t="s">
        <v>646</v>
      </c>
      <c r="AH296" s="45" t="s">
        <v>604</v>
      </c>
      <c r="AI296" s="44"/>
    </row>
    <row r="297" spans="1:35" s="4" customFormat="1" x14ac:dyDescent="0.25">
      <c r="A297" s="57">
        <v>130407</v>
      </c>
      <c r="B297" s="57" t="s">
        <v>902</v>
      </c>
      <c r="C297" s="57" t="s">
        <v>870</v>
      </c>
      <c r="D297" s="57" t="s">
        <v>871</v>
      </c>
      <c r="E297" s="57" t="s">
        <v>872</v>
      </c>
      <c r="F297" s="57" t="s">
        <v>873</v>
      </c>
      <c r="G297" s="58">
        <v>3</v>
      </c>
      <c r="H297" s="58">
        <v>4</v>
      </c>
      <c r="I297" s="58">
        <v>3</v>
      </c>
      <c r="J297" s="58">
        <v>7</v>
      </c>
      <c r="K297" s="58">
        <v>413157</v>
      </c>
      <c r="L297" s="58">
        <v>600</v>
      </c>
      <c r="M297" s="58">
        <v>6007</v>
      </c>
      <c r="N297" s="58" t="s">
        <v>874</v>
      </c>
      <c r="O297" s="59" t="s">
        <v>875</v>
      </c>
      <c r="P297" s="58" t="s">
        <v>876</v>
      </c>
      <c r="Q297" s="61">
        <v>1100001</v>
      </c>
      <c r="R297" s="58">
        <v>0</v>
      </c>
      <c r="S297" s="58" t="s">
        <v>206</v>
      </c>
      <c r="T297" s="58">
        <v>1</v>
      </c>
      <c r="U297" s="58" t="s">
        <v>877</v>
      </c>
      <c r="V297" s="19" t="s">
        <v>785</v>
      </c>
      <c r="W297" s="58" t="s">
        <v>878</v>
      </c>
      <c r="X297" s="57">
        <v>15</v>
      </c>
      <c r="Y297" s="19" t="s">
        <v>903</v>
      </c>
      <c r="Z297" s="19" t="s">
        <v>904</v>
      </c>
      <c r="AA297" s="19" t="s">
        <v>905</v>
      </c>
      <c r="AB297" s="19">
        <v>8</v>
      </c>
      <c r="AC297" s="43" t="b">
        <v>0</v>
      </c>
      <c r="AD297" s="44"/>
      <c r="AE297" s="44">
        <v>5</v>
      </c>
      <c r="AF297" s="44"/>
      <c r="AG297" s="45" t="s">
        <v>646</v>
      </c>
      <c r="AH297" s="45" t="s">
        <v>604</v>
      </c>
      <c r="AI297" s="44"/>
    </row>
    <row r="298" spans="1:35" s="4" customFormat="1" x14ac:dyDescent="0.25">
      <c r="A298" s="57">
        <v>130408</v>
      </c>
      <c r="B298" s="57" t="s">
        <v>906</v>
      </c>
      <c r="C298" s="57" t="s">
        <v>870</v>
      </c>
      <c r="D298" s="57" t="s">
        <v>871</v>
      </c>
      <c r="E298" s="57" t="s">
        <v>872</v>
      </c>
      <c r="F298" s="57" t="s">
        <v>873</v>
      </c>
      <c r="G298" s="58">
        <v>3</v>
      </c>
      <c r="H298" s="58">
        <v>4</v>
      </c>
      <c r="I298" s="58">
        <v>3</v>
      </c>
      <c r="J298" s="58">
        <v>8</v>
      </c>
      <c r="K298" s="58">
        <v>429095</v>
      </c>
      <c r="L298" s="58">
        <v>600</v>
      </c>
      <c r="M298" s="58">
        <v>6008</v>
      </c>
      <c r="N298" s="58" t="s">
        <v>874</v>
      </c>
      <c r="O298" s="59" t="s">
        <v>875</v>
      </c>
      <c r="P298" s="58" t="s">
        <v>876</v>
      </c>
      <c r="Q298" s="61">
        <v>1100001</v>
      </c>
      <c r="R298" s="58">
        <v>0</v>
      </c>
      <c r="S298" s="58" t="s">
        <v>206</v>
      </c>
      <c r="T298" s="58">
        <v>1</v>
      </c>
      <c r="U298" s="58" t="s">
        <v>877</v>
      </c>
      <c r="V298" s="19" t="s">
        <v>785</v>
      </c>
      <c r="W298" s="58" t="s">
        <v>878</v>
      </c>
      <c r="X298" s="57">
        <v>15</v>
      </c>
      <c r="Y298" s="19" t="s">
        <v>907</v>
      </c>
      <c r="Z298" s="19" t="s">
        <v>908</v>
      </c>
      <c r="AA298" s="19" t="s">
        <v>909</v>
      </c>
      <c r="AB298" s="19">
        <v>8</v>
      </c>
      <c r="AC298" s="43" t="b">
        <v>0</v>
      </c>
      <c r="AD298" s="44"/>
      <c r="AE298" s="44">
        <v>5</v>
      </c>
      <c r="AF298" s="44"/>
      <c r="AG298" s="45" t="s">
        <v>646</v>
      </c>
      <c r="AH298" s="45" t="s">
        <v>604</v>
      </c>
      <c r="AI298" s="44"/>
    </row>
    <row r="299" spans="1:35" s="4" customFormat="1" x14ac:dyDescent="0.25">
      <c r="A299" s="57">
        <v>130409</v>
      </c>
      <c r="B299" s="57" t="s">
        <v>910</v>
      </c>
      <c r="C299" s="57" t="s">
        <v>870</v>
      </c>
      <c r="D299" s="57" t="s">
        <v>871</v>
      </c>
      <c r="E299" s="57" t="s">
        <v>872</v>
      </c>
      <c r="F299" s="57" t="s">
        <v>873</v>
      </c>
      <c r="G299" s="58">
        <v>3</v>
      </c>
      <c r="H299" s="58">
        <v>4</v>
      </c>
      <c r="I299" s="58">
        <v>3</v>
      </c>
      <c r="J299" s="58">
        <v>9</v>
      </c>
      <c r="K299" s="58">
        <v>444963</v>
      </c>
      <c r="L299" s="58">
        <v>600</v>
      </c>
      <c r="M299" s="58">
        <v>6009</v>
      </c>
      <c r="N299" s="58" t="s">
        <v>874</v>
      </c>
      <c r="O299" s="59" t="s">
        <v>875</v>
      </c>
      <c r="P299" s="58" t="s">
        <v>876</v>
      </c>
      <c r="Q299" s="61">
        <v>1100001</v>
      </c>
      <c r="R299" s="58">
        <v>0</v>
      </c>
      <c r="S299" s="58" t="s">
        <v>206</v>
      </c>
      <c r="T299" s="58">
        <v>1</v>
      </c>
      <c r="U299" s="58" t="s">
        <v>877</v>
      </c>
      <c r="V299" s="19" t="s">
        <v>785</v>
      </c>
      <c r="W299" s="58" t="s">
        <v>878</v>
      </c>
      <c r="X299" s="57">
        <v>15</v>
      </c>
      <c r="Y299" s="19" t="s">
        <v>911</v>
      </c>
      <c r="Z299" s="19" t="s">
        <v>912</v>
      </c>
      <c r="AA299" s="19" t="s">
        <v>913</v>
      </c>
      <c r="AB299" s="19">
        <v>8</v>
      </c>
      <c r="AC299" s="43" t="b">
        <v>0</v>
      </c>
      <c r="AD299" s="44"/>
      <c r="AE299" s="44">
        <v>5</v>
      </c>
      <c r="AF299" s="44"/>
      <c r="AG299" s="45" t="s">
        <v>646</v>
      </c>
      <c r="AH299" s="45" t="s">
        <v>604</v>
      </c>
      <c r="AI299" s="44"/>
    </row>
    <row r="300" spans="1:35" s="4" customFormat="1" x14ac:dyDescent="0.25">
      <c r="A300" s="57">
        <v>130410</v>
      </c>
      <c r="B300" s="57" t="s">
        <v>914</v>
      </c>
      <c r="C300" s="57" t="s">
        <v>870</v>
      </c>
      <c r="D300" s="57" t="s">
        <v>871</v>
      </c>
      <c r="E300" s="57" t="s">
        <v>872</v>
      </c>
      <c r="F300" s="57" t="s">
        <v>873</v>
      </c>
      <c r="G300" s="58">
        <v>3</v>
      </c>
      <c r="H300" s="58">
        <v>4</v>
      </c>
      <c r="I300" s="58">
        <v>3</v>
      </c>
      <c r="J300" s="58">
        <v>10</v>
      </c>
      <c r="K300" s="58">
        <v>460831</v>
      </c>
      <c r="L300" s="58">
        <v>600</v>
      </c>
      <c r="M300" s="58">
        <v>6010</v>
      </c>
      <c r="N300" s="58" t="s">
        <v>874</v>
      </c>
      <c r="O300" s="59" t="s">
        <v>875</v>
      </c>
      <c r="P300" s="58" t="s">
        <v>876</v>
      </c>
      <c r="Q300" s="61">
        <v>1100001</v>
      </c>
      <c r="R300" s="58">
        <v>0</v>
      </c>
      <c r="S300" s="58" t="s">
        <v>206</v>
      </c>
      <c r="T300" s="58">
        <v>1</v>
      </c>
      <c r="U300" s="58" t="s">
        <v>877</v>
      </c>
      <c r="V300" s="19" t="s">
        <v>785</v>
      </c>
      <c r="W300" s="58" t="s">
        <v>878</v>
      </c>
      <c r="X300" s="57">
        <v>15</v>
      </c>
      <c r="Y300" s="19" t="s">
        <v>915</v>
      </c>
      <c r="Z300" s="19" t="s">
        <v>916</v>
      </c>
      <c r="AA300" s="19" t="s">
        <v>917</v>
      </c>
      <c r="AB300" s="19">
        <v>8</v>
      </c>
      <c r="AC300" s="43" t="b">
        <v>0</v>
      </c>
      <c r="AD300" s="44"/>
      <c r="AE300" s="44">
        <v>5</v>
      </c>
      <c r="AF300" s="44"/>
      <c r="AG300" s="45" t="s">
        <v>646</v>
      </c>
      <c r="AH300" s="45" t="s">
        <v>604</v>
      </c>
      <c r="AI300" s="44"/>
    </row>
    <row r="301" spans="1:35" s="4" customFormat="1" x14ac:dyDescent="0.25">
      <c r="A301" s="57">
        <v>130411</v>
      </c>
      <c r="B301" s="57" t="s">
        <v>918</v>
      </c>
      <c r="C301" s="57" t="s">
        <v>870</v>
      </c>
      <c r="D301" s="57" t="s">
        <v>871</v>
      </c>
      <c r="E301" s="57" t="s">
        <v>872</v>
      </c>
      <c r="F301" s="57" t="s">
        <v>873</v>
      </c>
      <c r="G301" s="58">
        <v>3</v>
      </c>
      <c r="H301" s="58">
        <v>4</v>
      </c>
      <c r="I301" s="58">
        <v>3</v>
      </c>
      <c r="J301" s="58">
        <v>11</v>
      </c>
      <c r="K301" s="58">
        <v>476862</v>
      </c>
      <c r="L301" s="58">
        <v>600</v>
      </c>
      <c r="M301" s="58">
        <v>6011</v>
      </c>
      <c r="N301" s="58" t="s">
        <v>874</v>
      </c>
      <c r="O301" s="59" t="s">
        <v>875</v>
      </c>
      <c r="P301" s="58" t="s">
        <v>876</v>
      </c>
      <c r="Q301" s="61">
        <v>1100001</v>
      </c>
      <c r="R301" s="58">
        <v>0</v>
      </c>
      <c r="S301" s="58" t="s">
        <v>206</v>
      </c>
      <c r="T301" s="58">
        <v>1</v>
      </c>
      <c r="U301" s="58" t="s">
        <v>877</v>
      </c>
      <c r="V301" s="19" t="s">
        <v>785</v>
      </c>
      <c r="W301" s="58" t="s">
        <v>878</v>
      </c>
      <c r="X301" s="57">
        <v>15</v>
      </c>
      <c r="Y301" s="19" t="s">
        <v>919</v>
      </c>
      <c r="Z301" s="19" t="s">
        <v>920</v>
      </c>
      <c r="AA301" s="19" t="s">
        <v>921</v>
      </c>
      <c r="AB301" s="19">
        <v>8</v>
      </c>
      <c r="AC301" s="43" t="b">
        <v>0</v>
      </c>
      <c r="AD301" s="44"/>
      <c r="AE301" s="44">
        <v>5</v>
      </c>
      <c r="AF301" s="44"/>
      <c r="AG301" s="45" t="s">
        <v>646</v>
      </c>
      <c r="AH301" s="45" t="s">
        <v>604</v>
      </c>
      <c r="AI301" s="44"/>
    </row>
    <row r="302" spans="1:35" s="4" customFormat="1" x14ac:dyDescent="0.25">
      <c r="A302" s="57">
        <v>130412</v>
      </c>
      <c r="B302" s="57" t="s">
        <v>922</v>
      </c>
      <c r="C302" s="57" t="s">
        <v>870</v>
      </c>
      <c r="D302" s="57" t="s">
        <v>871</v>
      </c>
      <c r="E302" s="57" t="s">
        <v>872</v>
      </c>
      <c r="F302" s="57" t="s">
        <v>873</v>
      </c>
      <c r="G302" s="58">
        <v>3</v>
      </c>
      <c r="H302" s="58">
        <v>4</v>
      </c>
      <c r="I302" s="58">
        <v>3</v>
      </c>
      <c r="J302" s="58">
        <v>12</v>
      </c>
      <c r="K302" s="58">
        <v>492701</v>
      </c>
      <c r="L302" s="58">
        <v>600</v>
      </c>
      <c r="M302" s="58">
        <v>6012</v>
      </c>
      <c r="N302" s="58" t="s">
        <v>874</v>
      </c>
      <c r="O302" s="59" t="s">
        <v>875</v>
      </c>
      <c r="P302" s="58" t="s">
        <v>876</v>
      </c>
      <c r="Q302" s="61">
        <v>1100001</v>
      </c>
      <c r="R302" s="58">
        <v>0</v>
      </c>
      <c r="S302" s="58" t="s">
        <v>206</v>
      </c>
      <c r="T302" s="58">
        <v>1</v>
      </c>
      <c r="U302" s="58" t="s">
        <v>877</v>
      </c>
      <c r="V302" s="19" t="s">
        <v>785</v>
      </c>
      <c r="W302" s="58" t="s">
        <v>878</v>
      </c>
      <c r="X302" s="57">
        <v>15</v>
      </c>
      <c r="Y302" s="19" t="s">
        <v>923</v>
      </c>
      <c r="Z302" s="19" t="s">
        <v>924</v>
      </c>
      <c r="AA302" s="19" t="s">
        <v>925</v>
      </c>
      <c r="AB302" s="19">
        <v>8</v>
      </c>
      <c r="AC302" s="43" t="b">
        <v>0</v>
      </c>
      <c r="AD302" s="44"/>
      <c r="AE302" s="44">
        <v>5</v>
      </c>
      <c r="AF302" s="44"/>
      <c r="AG302" s="45" t="s">
        <v>646</v>
      </c>
      <c r="AH302" s="45" t="s">
        <v>604</v>
      </c>
      <c r="AI302" s="44"/>
    </row>
    <row r="303" spans="1:35" s="4" customFormat="1" x14ac:dyDescent="0.25">
      <c r="A303" s="57">
        <v>130413</v>
      </c>
      <c r="B303" s="57" t="s">
        <v>926</v>
      </c>
      <c r="C303" s="57" t="s">
        <v>870</v>
      </c>
      <c r="D303" s="57" t="s">
        <v>871</v>
      </c>
      <c r="E303" s="57" t="s">
        <v>872</v>
      </c>
      <c r="F303" s="57" t="s">
        <v>873</v>
      </c>
      <c r="G303" s="58">
        <v>3</v>
      </c>
      <c r="H303" s="58">
        <v>4</v>
      </c>
      <c r="I303" s="58">
        <v>3</v>
      </c>
      <c r="J303" s="58">
        <v>13</v>
      </c>
      <c r="K303" s="58">
        <v>508569</v>
      </c>
      <c r="L303" s="58">
        <v>600</v>
      </c>
      <c r="M303" s="58">
        <v>6013</v>
      </c>
      <c r="N303" s="58" t="s">
        <v>874</v>
      </c>
      <c r="O303" s="59" t="s">
        <v>875</v>
      </c>
      <c r="P303" s="58" t="s">
        <v>876</v>
      </c>
      <c r="Q303" s="61">
        <v>1100001</v>
      </c>
      <c r="R303" s="58">
        <v>0</v>
      </c>
      <c r="S303" s="58" t="s">
        <v>206</v>
      </c>
      <c r="T303" s="58">
        <v>1</v>
      </c>
      <c r="U303" s="58" t="s">
        <v>877</v>
      </c>
      <c r="V303" s="19" t="s">
        <v>785</v>
      </c>
      <c r="W303" s="58" t="s">
        <v>878</v>
      </c>
      <c r="X303" s="57">
        <v>15</v>
      </c>
      <c r="Y303" s="19" t="s">
        <v>927</v>
      </c>
      <c r="Z303" s="19" t="s">
        <v>928</v>
      </c>
      <c r="AA303" s="19" t="s">
        <v>929</v>
      </c>
      <c r="AB303" s="19">
        <v>8</v>
      </c>
      <c r="AC303" s="43" t="b">
        <v>0</v>
      </c>
      <c r="AD303" s="44"/>
      <c r="AE303" s="44">
        <v>5</v>
      </c>
      <c r="AF303" s="44"/>
      <c r="AG303" s="45" t="s">
        <v>646</v>
      </c>
      <c r="AH303" s="45" t="s">
        <v>604</v>
      </c>
      <c r="AI303" s="44"/>
    </row>
    <row r="304" spans="1:35" s="4" customFormat="1" x14ac:dyDescent="0.25">
      <c r="A304" s="57">
        <v>130414</v>
      </c>
      <c r="B304" s="57" t="s">
        <v>930</v>
      </c>
      <c r="C304" s="57" t="s">
        <v>870</v>
      </c>
      <c r="D304" s="57" t="s">
        <v>871</v>
      </c>
      <c r="E304" s="57" t="s">
        <v>872</v>
      </c>
      <c r="F304" s="57" t="s">
        <v>873</v>
      </c>
      <c r="G304" s="58">
        <v>3</v>
      </c>
      <c r="H304" s="58">
        <v>4</v>
      </c>
      <c r="I304" s="58">
        <v>3</v>
      </c>
      <c r="J304" s="58">
        <v>14</v>
      </c>
      <c r="K304" s="58">
        <v>524437</v>
      </c>
      <c r="L304" s="58">
        <v>600</v>
      </c>
      <c r="M304" s="58">
        <v>6014</v>
      </c>
      <c r="N304" s="58" t="s">
        <v>874</v>
      </c>
      <c r="O304" s="59" t="s">
        <v>875</v>
      </c>
      <c r="P304" s="58" t="s">
        <v>876</v>
      </c>
      <c r="Q304" s="61">
        <v>1100001</v>
      </c>
      <c r="R304" s="58">
        <v>0</v>
      </c>
      <c r="S304" s="58" t="s">
        <v>206</v>
      </c>
      <c r="T304" s="58">
        <v>1</v>
      </c>
      <c r="U304" s="58" t="s">
        <v>877</v>
      </c>
      <c r="V304" s="19" t="s">
        <v>785</v>
      </c>
      <c r="W304" s="58" t="s">
        <v>878</v>
      </c>
      <c r="X304" s="57">
        <v>15</v>
      </c>
      <c r="Y304" s="19" t="s">
        <v>931</v>
      </c>
      <c r="Z304" s="19" t="s">
        <v>932</v>
      </c>
      <c r="AA304" s="19" t="s">
        <v>933</v>
      </c>
      <c r="AB304" s="19">
        <v>8</v>
      </c>
      <c r="AC304" s="43" t="b">
        <v>0</v>
      </c>
      <c r="AD304" s="44"/>
      <c r="AE304" s="44">
        <v>5</v>
      </c>
      <c r="AF304" s="44"/>
      <c r="AG304" s="45" t="s">
        <v>646</v>
      </c>
      <c r="AH304" s="45" t="s">
        <v>604</v>
      </c>
      <c r="AI304" s="44"/>
    </row>
    <row r="305" spans="1:35" s="4" customFormat="1" x14ac:dyDescent="0.25">
      <c r="A305" s="57">
        <v>130415</v>
      </c>
      <c r="B305" s="57" t="s">
        <v>934</v>
      </c>
      <c r="C305" s="57" t="s">
        <v>870</v>
      </c>
      <c r="D305" s="57" t="s">
        <v>871</v>
      </c>
      <c r="E305" s="57" t="s">
        <v>872</v>
      </c>
      <c r="F305" s="57" t="s">
        <v>873</v>
      </c>
      <c r="G305" s="58">
        <v>3</v>
      </c>
      <c r="H305" s="58">
        <v>4</v>
      </c>
      <c r="I305" s="58">
        <v>3</v>
      </c>
      <c r="J305" s="58">
        <v>15</v>
      </c>
      <c r="K305" s="58">
        <v>540375</v>
      </c>
      <c r="L305" s="58">
        <v>600</v>
      </c>
      <c r="M305" s="58">
        <v>6015</v>
      </c>
      <c r="N305" s="58" t="s">
        <v>874</v>
      </c>
      <c r="O305" s="59" t="s">
        <v>875</v>
      </c>
      <c r="P305" s="58" t="s">
        <v>876</v>
      </c>
      <c r="Q305" s="61">
        <v>1100001</v>
      </c>
      <c r="R305" s="58">
        <v>0</v>
      </c>
      <c r="S305" s="58" t="s">
        <v>206</v>
      </c>
      <c r="T305" s="58">
        <v>1</v>
      </c>
      <c r="U305" s="58" t="s">
        <v>877</v>
      </c>
      <c r="V305" s="19" t="s">
        <v>785</v>
      </c>
      <c r="W305" s="58" t="s">
        <v>878</v>
      </c>
      <c r="X305" s="57">
        <v>15</v>
      </c>
      <c r="Y305" s="19" t="s">
        <v>935</v>
      </c>
      <c r="Z305" s="19" t="s">
        <v>936</v>
      </c>
      <c r="AA305" s="19" t="s">
        <v>937</v>
      </c>
      <c r="AB305" s="19">
        <v>8</v>
      </c>
      <c r="AC305" s="43" t="b">
        <v>0</v>
      </c>
      <c r="AD305" s="44"/>
      <c r="AE305" s="44">
        <v>5</v>
      </c>
      <c r="AF305" s="44"/>
      <c r="AG305" s="45" t="s">
        <v>646</v>
      </c>
      <c r="AH305" s="45" t="s">
        <v>604</v>
      </c>
      <c r="AI305" s="44"/>
    </row>
    <row r="306" spans="1:35" s="4" customFormat="1" x14ac:dyDescent="0.25">
      <c r="A306" s="57">
        <v>130416</v>
      </c>
      <c r="B306" s="57" t="s">
        <v>938</v>
      </c>
      <c r="C306" s="57" t="s">
        <v>870</v>
      </c>
      <c r="D306" s="57" t="s">
        <v>871</v>
      </c>
      <c r="E306" s="57" t="s">
        <v>872</v>
      </c>
      <c r="F306" s="57" t="s">
        <v>873</v>
      </c>
      <c r="G306" s="58">
        <v>3</v>
      </c>
      <c r="H306" s="58">
        <v>4</v>
      </c>
      <c r="I306" s="58">
        <v>3</v>
      </c>
      <c r="J306" s="58">
        <v>16</v>
      </c>
      <c r="K306" s="58">
        <v>556214</v>
      </c>
      <c r="L306" s="58">
        <v>600</v>
      </c>
      <c r="M306" s="58">
        <v>6016</v>
      </c>
      <c r="N306" s="58" t="s">
        <v>874</v>
      </c>
      <c r="O306" s="59" t="s">
        <v>875</v>
      </c>
      <c r="P306" s="58" t="s">
        <v>876</v>
      </c>
      <c r="Q306" s="61">
        <v>1100001</v>
      </c>
      <c r="R306" s="58">
        <v>0</v>
      </c>
      <c r="S306" s="58" t="s">
        <v>206</v>
      </c>
      <c r="T306" s="58">
        <v>1</v>
      </c>
      <c r="U306" s="58" t="s">
        <v>877</v>
      </c>
      <c r="V306" s="19" t="s">
        <v>785</v>
      </c>
      <c r="W306" s="58" t="s">
        <v>878</v>
      </c>
      <c r="X306" s="57">
        <v>15</v>
      </c>
      <c r="Y306" s="19" t="s">
        <v>939</v>
      </c>
      <c r="Z306" s="19" t="s">
        <v>940</v>
      </c>
      <c r="AA306" s="19" t="s">
        <v>941</v>
      </c>
      <c r="AB306" s="19">
        <v>8</v>
      </c>
      <c r="AC306" s="43" t="b">
        <v>0</v>
      </c>
      <c r="AD306" s="44"/>
      <c r="AE306" s="44">
        <v>5</v>
      </c>
      <c r="AF306" s="44"/>
      <c r="AG306" s="45" t="s">
        <v>646</v>
      </c>
      <c r="AH306" s="45" t="s">
        <v>604</v>
      </c>
      <c r="AI306" s="44"/>
    </row>
    <row r="307" spans="1:35" s="4" customFormat="1" x14ac:dyDescent="0.25">
      <c r="A307" s="57">
        <v>130417</v>
      </c>
      <c r="B307" s="57" t="s">
        <v>942</v>
      </c>
      <c r="C307" s="57" t="s">
        <v>870</v>
      </c>
      <c r="D307" s="57" t="s">
        <v>871</v>
      </c>
      <c r="E307" s="57" t="s">
        <v>872</v>
      </c>
      <c r="F307" s="57" t="s">
        <v>873</v>
      </c>
      <c r="G307" s="58">
        <v>3</v>
      </c>
      <c r="H307" s="58">
        <v>4</v>
      </c>
      <c r="I307" s="58">
        <v>3</v>
      </c>
      <c r="J307" s="58">
        <v>17</v>
      </c>
      <c r="K307" s="58">
        <v>572175</v>
      </c>
      <c r="L307" s="58">
        <v>600</v>
      </c>
      <c r="M307" s="58">
        <v>6017</v>
      </c>
      <c r="N307" s="58" t="s">
        <v>874</v>
      </c>
      <c r="O307" s="59" t="s">
        <v>875</v>
      </c>
      <c r="P307" s="58" t="s">
        <v>876</v>
      </c>
      <c r="Q307" s="61">
        <v>1100001</v>
      </c>
      <c r="R307" s="58">
        <v>0</v>
      </c>
      <c r="S307" s="58" t="s">
        <v>206</v>
      </c>
      <c r="T307" s="58">
        <v>1</v>
      </c>
      <c r="U307" s="58" t="s">
        <v>877</v>
      </c>
      <c r="V307" s="19" t="s">
        <v>785</v>
      </c>
      <c r="W307" s="58" t="s">
        <v>878</v>
      </c>
      <c r="X307" s="57">
        <v>15</v>
      </c>
      <c r="Y307" s="19" t="s">
        <v>943</v>
      </c>
      <c r="Z307" s="19" t="s">
        <v>944</v>
      </c>
      <c r="AA307" s="19" t="s">
        <v>945</v>
      </c>
      <c r="AB307" s="19">
        <v>8</v>
      </c>
      <c r="AC307" s="43" t="b">
        <v>0</v>
      </c>
      <c r="AD307" s="44"/>
      <c r="AE307" s="44">
        <v>5</v>
      </c>
      <c r="AF307" s="44"/>
      <c r="AG307" s="45" t="s">
        <v>646</v>
      </c>
      <c r="AH307" s="45" t="s">
        <v>604</v>
      </c>
      <c r="AI307" s="44"/>
    </row>
    <row r="308" spans="1:35" s="4" customFormat="1" x14ac:dyDescent="0.25">
      <c r="A308" s="57">
        <v>130418</v>
      </c>
      <c r="B308" s="57" t="s">
        <v>946</v>
      </c>
      <c r="C308" s="57" t="s">
        <v>870</v>
      </c>
      <c r="D308" s="57" t="s">
        <v>871</v>
      </c>
      <c r="E308" s="57" t="s">
        <v>872</v>
      </c>
      <c r="F308" s="57" t="s">
        <v>873</v>
      </c>
      <c r="G308" s="58">
        <v>3</v>
      </c>
      <c r="H308" s="58">
        <v>4</v>
      </c>
      <c r="I308" s="58">
        <v>3</v>
      </c>
      <c r="J308" s="58">
        <v>18</v>
      </c>
      <c r="K308" s="58">
        <v>588008</v>
      </c>
      <c r="L308" s="58">
        <v>600</v>
      </c>
      <c r="M308" s="58">
        <v>6018</v>
      </c>
      <c r="N308" s="58" t="s">
        <v>874</v>
      </c>
      <c r="O308" s="59" t="s">
        <v>875</v>
      </c>
      <c r="P308" s="58" t="s">
        <v>876</v>
      </c>
      <c r="Q308" s="61">
        <v>1100001</v>
      </c>
      <c r="R308" s="58">
        <v>0</v>
      </c>
      <c r="S308" s="58" t="s">
        <v>206</v>
      </c>
      <c r="T308" s="58">
        <v>1</v>
      </c>
      <c r="U308" s="58" t="s">
        <v>877</v>
      </c>
      <c r="V308" s="19" t="s">
        <v>785</v>
      </c>
      <c r="W308" s="58" t="s">
        <v>878</v>
      </c>
      <c r="X308" s="57">
        <v>15</v>
      </c>
      <c r="Y308" s="19" t="s">
        <v>947</v>
      </c>
      <c r="Z308" s="19" t="s">
        <v>948</v>
      </c>
      <c r="AA308" s="19" t="s">
        <v>949</v>
      </c>
      <c r="AB308" s="19">
        <v>8</v>
      </c>
      <c r="AC308" s="43" t="b">
        <v>0</v>
      </c>
      <c r="AD308" s="44"/>
      <c r="AE308" s="44">
        <v>5</v>
      </c>
      <c r="AF308" s="44"/>
      <c r="AG308" s="45" t="s">
        <v>646</v>
      </c>
      <c r="AH308" s="45" t="s">
        <v>604</v>
      </c>
      <c r="AI308" s="44"/>
    </row>
    <row r="309" spans="1:35" s="4" customFormat="1" x14ac:dyDescent="0.25">
      <c r="A309" s="57">
        <v>130419</v>
      </c>
      <c r="B309" s="57" t="s">
        <v>950</v>
      </c>
      <c r="C309" s="57" t="s">
        <v>870</v>
      </c>
      <c r="D309" s="57" t="s">
        <v>871</v>
      </c>
      <c r="E309" s="57" t="s">
        <v>872</v>
      </c>
      <c r="F309" s="57" t="s">
        <v>873</v>
      </c>
      <c r="G309" s="58">
        <v>3</v>
      </c>
      <c r="H309" s="58">
        <v>4</v>
      </c>
      <c r="I309" s="58">
        <v>3</v>
      </c>
      <c r="J309" s="58">
        <v>19</v>
      </c>
      <c r="K309" s="58">
        <v>603894</v>
      </c>
      <c r="L309" s="58">
        <v>600</v>
      </c>
      <c r="M309" s="58">
        <v>6019</v>
      </c>
      <c r="N309" s="58" t="s">
        <v>874</v>
      </c>
      <c r="O309" s="59" t="s">
        <v>875</v>
      </c>
      <c r="P309" s="58" t="s">
        <v>876</v>
      </c>
      <c r="Q309" s="61">
        <v>1100001</v>
      </c>
      <c r="R309" s="58">
        <v>0</v>
      </c>
      <c r="S309" s="58" t="s">
        <v>206</v>
      </c>
      <c r="T309" s="58">
        <v>1</v>
      </c>
      <c r="U309" s="58" t="s">
        <v>877</v>
      </c>
      <c r="V309" s="19" t="s">
        <v>785</v>
      </c>
      <c r="W309" s="58" t="s">
        <v>878</v>
      </c>
      <c r="X309" s="57">
        <v>15</v>
      </c>
      <c r="Y309" s="19" t="s">
        <v>951</v>
      </c>
      <c r="Z309" s="19" t="s">
        <v>952</v>
      </c>
      <c r="AA309" s="19" t="s">
        <v>953</v>
      </c>
      <c r="AB309" s="19">
        <v>8</v>
      </c>
      <c r="AC309" s="43" t="b">
        <v>0</v>
      </c>
      <c r="AD309" s="44"/>
      <c r="AE309" s="44">
        <v>5</v>
      </c>
      <c r="AF309" s="44"/>
      <c r="AG309" s="45" t="s">
        <v>646</v>
      </c>
      <c r="AH309" s="45" t="s">
        <v>604</v>
      </c>
      <c r="AI309" s="44"/>
    </row>
    <row r="310" spans="1:35" s="4" customFormat="1" x14ac:dyDescent="0.25">
      <c r="A310" s="57">
        <v>130420</v>
      </c>
      <c r="B310" s="57" t="s">
        <v>954</v>
      </c>
      <c r="C310" s="57" t="s">
        <v>870</v>
      </c>
      <c r="D310" s="57" t="s">
        <v>871</v>
      </c>
      <c r="E310" s="57" t="s">
        <v>872</v>
      </c>
      <c r="F310" s="57" t="s">
        <v>873</v>
      </c>
      <c r="G310" s="58">
        <v>3</v>
      </c>
      <c r="H310" s="58">
        <v>4</v>
      </c>
      <c r="I310" s="58">
        <v>3</v>
      </c>
      <c r="J310" s="58">
        <v>20</v>
      </c>
      <c r="K310" s="58">
        <v>619744</v>
      </c>
      <c r="L310" s="58">
        <v>600</v>
      </c>
      <c r="M310" s="58">
        <v>6020</v>
      </c>
      <c r="N310" s="58" t="s">
        <v>874</v>
      </c>
      <c r="O310" s="59" t="s">
        <v>875</v>
      </c>
      <c r="P310" s="58" t="s">
        <v>876</v>
      </c>
      <c r="Q310" s="61">
        <v>1100001</v>
      </c>
      <c r="R310" s="58">
        <v>0</v>
      </c>
      <c r="S310" s="58" t="s">
        <v>206</v>
      </c>
      <c r="T310" s="58">
        <v>1</v>
      </c>
      <c r="U310" s="58" t="s">
        <v>877</v>
      </c>
      <c r="V310" s="19" t="s">
        <v>785</v>
      </c>
      <c r="W310" s="58" t="s">
        <v>878</v>
      </c>
      <c r="X310" s="57">
        <v>15</v>
      </c>
      <c r="Y310" s="19" t="s">
        <v>955</v>
      </c>
      <c r="Z310" s="19" t="s">
        <v>956</v>
      </c>
      <c r="AA310" s="19" t="s">
        <v>957</v>
      </c>
      <c r="AB310" s="19">
        <v>8</v>
      </c>
      <c r="AC310" s="43" t="b">
        <v>0</v>
      </c>
      <c r="AD310" s="44"/>
      <c r="AE310" s="44">
        <v>5</v>
      </c>
      <c r="AF310" s="44"/>
      <c r="AG310" s="45" t="s">
        <v>646</v>
      </c>
      <c r="AH310" s="45" t="s">
        <v>604</v>
      </c>
      <c r="AI310" s="44"/>
    </row>
    <row r="311" spans="1:35" s="4" customFormat="1" x14ac:dyDescent="0.25">
      <c r="A311" s="57">
        <v>130421</v>
      </c>
      <c r="B311" s="57" t="s">
        <v>958</v>
      </c>
      <c r="C311" s="57" t="s">
        <v>870</v>
      </c>
      <c r="D311" s="57" t="s">
        <v>871</v>
      </c>
      <c r="E311" s="57" t="s">
        <v>872</v>
      </c>
      <c r="F311" s="57" t="s">
        <v>873</v>
      </c>
      <c r="G311" s="58">
        <v>3</v>
      </c>
      <c r="H311" s="58">
        <v>4</v>
      </c>
      <c r="I311" s="58">
        <v>3</v>
      </c>
      <c r="J311" s="58">
        <v>21</v>
      </c>
      <c r="K311" s="58">
        <v>635688</v>
      </c>
      <c r="L311" s="58">
        <v>600</v>
      </c>
      <c r="M311" s="58">
        <v>6021</v>
      </c>
      <c r="N311" s="58" t="s">
        <v>874</v>
      </c>
      <c r="O311" s="59" t="s">
        <v>875</v>
      </c>
      <c r="P311" s="58" t="s">
        <v>876</v>
      </c>
      <c r="Q311" s="61">
        <v>1100001</v>
      </c>
      <c r="R311" s="58">
        <v>0</v>
      </c>
      <c r="S311" s="58" t="s">
        <v>206</v>
      </c>
      <c r="T311" s="58">
        <v>1</v>
      </c>
      <c r="U311" s="58" t="s">
        <v>877</v>
      </c>
      <c r="V311" s="19" t="s">
        <v>785</v>
      </c>
      <c r="W311" s="58" t="s">
        <v>878</v>
      </c>
      <c r="X311" s="57">
        <v>15</v>
      </c>
      <c r="Y311" s="19" t="s">
        <v>959</v>
      </c>
      <c r="Z311" s="19" t="s">
        <v>960</v>
      </c>
      <c r="AA311" s="19" t="s">
        <v>961</v>
      </c>
      <c r="AB311" s="19">
        <v>8</v>
      </c>
      <c r="AC311" s="43" t="b">
        <v>0</v>
      </c>
      <c r="AD311" s="44"/>
      <c r="AE311" s="44">
        <v>5</v>
      </c>
      <c r="AF311" s="44"/>
      <c r="AG311" s="45" t="s">
        <v>646</v>
      </c>
      <c r="AH311" s="45" t="s">
        <v>604</v>
      </c>
      <c r="AI311" s="44"/>
    </row>
    <row r="312" spans="1:35" s="4" customFormat="1" x14ac:dyDescent="0.25">
      <c r="A312" s="57">
        <v>130422</v>
      </c>
      <c r="B312" s="57" t="s">
        <v>962</v>
      </c>
      <c r="C312" s="57" t="s">
        <v>870</v>
      </c>
      <c r="D312" s="57" t="s">
        <v>871</v>
      </c>
      <c r="E312" s="57" t="s">
        <v>872</v>
      </c>
      <c r="F312" s="57" t="s">
        <v>873</v>
      </c>
      <c r="G312" s="58">
        <v>3</v>
      </c>
      <c r="H312" s="58">
        <v>4</v>
      </c>
      <c r="I312" s="58">
        <v>3</v>
      </c>
      <c r="J312" s="58">
        <v>22</v>
      </c>
      <c r="K312" s="58">
        <v>756553</v>
      </c>
      <c r="L312" s="58">
        <v>600</v>
      </c>
      <c r="M312" s="58">
        <v>6022</v>
      </c>
      <c r="N312" s="58" t="s">
        <v>874</v>
      </c>
      <c r="O312" s="59" t="s">
        <v>875</v>
      </c>
      <c r="P312" s="58" t="s">
        <v>876</v>
      </c>
      <c r="Q312" s="61">
        <v>1100001</v>
      </c>
      <c r="R312" s="58">
        <v>0</v>
      </c>
      <c r="S312" s="58" t="s">
        <v>206</v>
      </c>
      <c r="T312" s="58">
        <v>1</v>
      </c>
      <c r="U312" s="58" t="s">
        <v>877</v>
      </c>
      <c r="V312" s="19" t="s">
        <v>785</v>
      </c>
      <c r="W312" s="58" t="s">
        <v>878</v>
      </c>
      <c r="X312" s="57">
        <v>15</v>
      </c>
      <c r="Y312" s="19" t="s">
        <v>963</v>
      </c>
      <c r="Z312" s="19" t="s">
        <v>964</v>
      </c>
      <c r="AA312" s="19" t="s">
        <v>965</v>
      </c>
      <c r="AB312" s="19">
        <v>8</v>
      </c>
      <c r="AC312" s="43" t="b">
        <v>0</v>
      </c>
      <c r="AD312" s="44"/>
      <c r="AE312" s="44">
        <v>5</v>
      </c>
      <c r="AF312" s="44"/>
      <c r="AG312" s="45" t="s">
        <v>646</v>
      </c>
      <c r="AH312" s="45" t="s">
        <v>604</v>
      </c>
      <c r="AI312" s="44"/>
    </row>
    <row r="313" spans="1:35" s="4" customFormat="1" x14ac:dyDescent="0.25">
      <c r="A313" s="57">
        <v>130423</v>
      </c>
      <c r="B313" s="57" t="s">
        <v>966</v>
      </c>
      <c r="C313" s="57" t="s">
        <v>870</v>
      </c>
      <c r="D313" s="57" t="s">
        <v>871</v>
      </c>
      <c r="E313" s="57" t="s">
        <v>872</v>
      </c>
      <c r="F313" s="57" t="s">
        <v>873</v>
      </c>
      <c r="G313" s="58">
        <v>3</v>
      </c>
      <c r="H313" s="58">
        <v>4</v>
      </c>
      <c r="I313" s="58">
        <v>3</v>
      </c>
      <c r="J313" s="58">
        <v>23</v>
      </c>
      <c r="K313" s="58">
        <v>877418</v>
      </c>
      <c r="L313" s="58">
        <v>600</v>
      </c>
      <c r="M313" s="58">
        <v>6023</v>
      </c>
      <c r="N313" s="58" t="s">
        <v>874</v>
      </c>
      <c r="O313" s="59" t="s">
        <v>875</v>
      </c>
      <c r="P313" s="58" t="s">
        <v>876</v>
      </c>
      <c r="Q313" s="61">
        <v>1100001</v>
      </c>
      <c r="R313" s="58">
        <v>0</v>
      </c>
      <c r="S313" s="58" t="s">
        <v>206</v>
      </c>
      <c r="T313" s="58">
        <v>1</v>
      </c>
      <c r="U313" s="58" t="s">
        <v>877</v>
      </c>
      <c r="V313" s="19" t="s">
        <v>785</v>
      </c>
      <c r="W313" s="58" t="s">
        <v>878</v>
      </c>
      <c r="X313" s="57">
        <v>15</v>
      </c>
      <c r="Y313" s="19" t="s">
        <v>967</v>
      </c>
      <c r="Z313" s="19" t="s">
        <v>968</v>
      </c>
      <c r="AA313" s="19" t="s">
        <v>969</v>
      </c>
      <c r="AB313" s="19">
        <v>8</v>
      </c>
      <c r="AC313" s="43" t="b">
        <v>0</v>
      </c>
      <c r="AD313" s="44"/>
      <c r="AE313" s="44">
        <v>5</v>
      </c>
      <c r="AF313" s="44"/>
      <c r="AG313" s="45" t="s">
        <v>646</v>
      </c>
      <c r="AH313" s="45" t="s">
        <v>604</v>
      </c>
      <c r="AI313" s="44"/>
    </row>
    <row r="314" spans="1:35" s="4" customFormat="1" x14ac:dyDescent="0.25">
      <c r="A314" s="57">
        <v>130424</v>
      </c>
      <c r="B314" s="57" t="s">
        <v>970</v>
      </c>
      <c r="C314" s="57" t="s">
        <v>870</v>
      </c>
      <c r="D314" s="57" t="s">
        <v>871</v>
      </c>
      <c r="E314" s="57" t="s">
        <v>872</v>
      </c>
      <c r="F314" s="57" t="s">
        <v>873</v>
      </c>
      <c r="G314" s="58">
        <v>3</v>
      </c>
      <c r="H314" s="58">
        <v>4</v>
      </c>
      <c r="I314" s="58">
        <v>3</v>
      </c>
      <c r="J314" s="58">
        <v>24</v>
      </c>
      <c r="K314" s="58">
        <v>998283</v>
      </c>
      <c r="L314" s="58">
        <v>600</v>
      </c>
      <c r="M314" s="58">
        <v>6024</v>
      </c>
      <c r="N314" s="58" t="s">
        <v>874</v>
      </c>
      <c r="O314" s="59" t="s">
        <v>875</v>
      </c>
      <c r="P314" s="58" t="s">
        <v>876</v>
      </c>
      <c r="Q314" s="61">
        <v>1100001</v>
      </c>
      <c r="R314" s="58">
        <v>0</v>
      </c>
      <c r="S314" s="58" t="s">
        <v>206</v>
      </c>
      <c r="T314" s="58">
        <v>1</v>
      </c>
      <c r="U314" s="58" t="s">
        <v>877</v>
      </c>
      <c r="V314" s="19" t="s">
        <v>785</v>
      </c>
      <c r="W314" s="58" t="s">
        <v>878</v>
      </c>
      <c r="X314" s="57">
        <v>15</v>
      </c>
      <c r="Y314" s="19" t="s">
        <v>971</v>
      </c>
      <c r="Z314" s="19" t="s">
        <v>972</v>
      </c>
      <c r="AA314" s="19" t="s">
        <v>973</v>
      </c>
      <c r="AB314" s="19">
        <v>8</v>
      </c>
      <c r="AC314" s="43" t="b">
        <v>0</v>
      </c>
      <c r="AD314" s="44"/>
      <c r="AE314" s="44">
        <v>5</v>
      </c>
      <c r="AF314" s="44"/>
      <c r="AG314" s="45" t="s">
        <v>646</v>
      </c>
      <c r="AH314" s="45" t="s">
        <v>604</v>
      </c>
      <c r="AI314" s="44"/>
    </row>
    <row r="315" spans="1:35" s="4" customFormat="1" x14ac:dyDescent="0.25">
      <c r="A315" s="57">
        <v>130425</v>
      </c>
      <c r="B315" s="57" t="s">
        <v>974</v>
      </c>
      <c r="C315" s="57" t="s">
        <v>870</v>
      </c>
      <c r="D315" s="57" t="s">
        <v>871</v>
      </c>
      <c r="E315" s="57" t="s">
        <v>872</v>
      </c>
      <c r="F315" s="57" t="s">
        <v>873</v>
      </c>
      <c r="G315" s="58">
        <v>3</v>
      </c>
      <c r="H315" s="58">
        <v>4</v>
      </c>
      <c r="I315" s="58">
        <v>3</v>
      </c>
      <c r="J315" s="58">
        <v>25</v>
      </c>
      <c r="K315" s="58">
        <v>1119148</v>
      </c>
      <c r="L315" s="58">
        <v>600</v>
      </c>
      <c r="M315" s="58">
        <v>6025</v>
      </c>
      <c r="N315" s="58" t="s">
        <v>874</v>
      </c>
      <c r="O315" s="59" t="s">
        <v>875</v>
      </c>
      <c r="P315" s="58" t="s">
        <v>876</v>
      </c>
      <c r="Q315" s="61">
        <v>1100001</v>
      </c>
      <c r="R315" s="58">
        <v>0</v>
      </c>
      <c r="S315" s="58" t="s">
        <v>206</v>
      </c>
      <c r="T315" s="58">
        <v>1</v>
      </c>
      <c r="U315" s="58" t="s">
        <v>877</v>
      </c>
      <c r="V315" s="19" t="s">
        <v>785</v>
      </c>
      <c r="W315" s="58" t="s">
        <v>878</v>
      </c>
      <c r="X315" s="57">
        <v>15</v>
      </c>
      <c r="Y315" s="19" t="s">
        <v>975</v>
      </c>
      <c r="Z315" s="19" t="s">
        <v>976</v>
      </c>
      <c r="AA315" s="19" t="s">
        <v>977</v>
      </c>
      <c r="AB315" s="19">
        <v>8</v>
      </c>
      <c r="AC315" s="43" t="b">
        <v>0</v>
      </c>
      <c r="AD315" s="44"/>
      <c r="AE315" s="44">
        <v>5</v>
      </c>
      <c r="AF315" s="44"/>
      <c r="AG315" s="45" t="s">
        <v>646</v>
      </c>
      <c r="AH315" s="45" t="s">
        <v>604</v>
      </c>
      <c r="AI315" s="44"/>
    </row>
    <row r="316" spans="1:35" s="4" customFormat="1" x14ac:dyDescent="0.25">
      <c r="A316" s="57">
        <v>130426</v>
      </c>
      <c r="B316" s="57" t="s">
        <v>978</v>
      </c>
      <c r="C316" s="57" t="s">
        <v>870</v>
      </c>
      <c r="D316" s="57" t="s">
        <v>871</v>
      </c>
      <c r="E316" s="57" t="s">
        <v>872</v>
      </c>
      <c r="F316" s="57" t="s">
        <v>873</v>
      </c>
      <c r="G316" s="58">
        <v>3</v>
      </c>
      <c r="H316" s="58">
        <v>4</v>
      </c>
      <c r="I316" s="58">
        <v>3</v>
      </c>
      <c r="J316" s="58">
        <v>26</v>
      </c>
      <c r="K316" s="58">
        <v>1240013</v>
      </c>
      <c r="L316" s="58">
        <v>600</v>
      </c>
      <c r="M316" s="58">
        <v>6026</v>
      </c>
      <c r="N316" s="58" t="s">
        <v>874</v>
      </c>
      <c r="O316" s="59" t="s">
        <v>875</v>
      </c>
      <c r="P316" s="58" t="s">
        <v>876</v>
      </c>
      <c r="Q316" s="61">
        <v>1100001</v>
      </c>
      <c r="R316" s="58">
        <v>0</v>
      </c>
      <c r="S316" s="58" t="s">
        <v>206</v>
      </c>
      <c r="T316" s="58">
        <v>1</v>
      </c>
      <c r="U316" s="58" t="s">
        <v>877</v>
      </c>
      <c r="V316" s="19" t="s">
        <v>785</v>
      </c>
      <c r="W316" s="58" t="s">
        <v>878</v>
      </c>
      <c r="X316" s="57">
        <v>15</v>
      </c>
      <c r="Y316" s="19" t="s">
        <v>979</v>
      </c>
      <c r="Z316" s="19" t="s">
        <v>980</v>
      </c>
      <c r="AA316" s="19" t="s">
        <v>981</v>
      </c>
      <c r="AB316" s="19">
        <v>8</v>
      </c>
      <c r="AC316" s="43" t="b">
        <v>0</v>
      </c>
      <c r="AD316" s="44"/>
      <c r="AE316" s="44">
        <v>5</v>
      </c>
      <c r="AF316" s="44"/>
      <c r="AG316" s="45" t="s">
        <v>646</v>
      </c>
      <c r="AH316" s="45" t="s">
        <v>604</v>
      </c>
      <c r="AI316" s="44"/>
    </row>
    <row r="317" spans="1:35" s="4" customFormat="1" x14ac:dyDescent="0.25">
      <c r="A317" s="57">
        <v>130427</v>
      </c>
      <c r="B317" s="57" t="s">
        <v>982</v>
      </c>
      <c r="C317" s="57" t="s">
        <v>870</v>
      </c>
      <c r="D317" s="57" t="s">
        <v>871</v>
      </c>
      <c r="E317" s="57" t="s">
        <v>872</v>
      </c>
      <c r="F317" s="57" t="s">
        <v>873</v>
      </c>
      <c r="G317" s="58">
        <v>3</v>
      </c>
      <c r="H317" s="58">
        <v>4</v>
      </c>
      <c r="I317" s="58">
        <v>3</v>
      </c>
      <c r="J317" s="58">
        <v>27</v>
      </c>
      <c r="K317" s="58">
        <v>1360878</v>
      </c>
      <c r="L317" s="58">
        <v>600</v>
      </c>
      <c r="M317" s="58">
        <v>6027</v>
      </c>
      <c r="N317" s="58" t="s">
        <v>874</v>
      </c>
      <c r="O317" s="59" t="s">
        <v>875</v>
      </c>
      <c r="P317" s="58" t="s">
        <v>876</v>
      </c>
      <c r="Q317" s="61">
        <v>1100001</v>
      </c>
      <c r="R317" s="58">
        <v>0</v>
      </c>
      <c r="S317" s="58" t="s">
        <v>206</v>
      </c>
      <c r="T317" s="58">
        <v>1</v>
      </c>
      <c r="U317" s="58" t="s">
        <v>877</v>
      </c>
      <c r="V317" s="19" t="s">
        <v>785</v>
      </c>
      <c r="W317" s="58" t="s">
        <v>878</v>
      </c>
      <c r="X317" s="57">
        <v>15</v>
      </c>
      <c r="Y317" s="19" t="s">
        <v>983</v>
      </c>
      <c r="Z317" s="19" t="s">
        <v>984</v>
      </c>
      <c r="AA317" s="19" t="s">
        <v>985</v>
      </c>
      <c r="AB317" s="19">
        <v>8</v>
      </c>
      <c r="AC317" s="43" t="b">
        <v>0</v>
      </c>
      <c r="AD317" s="44"/>
      <c r="AE317" s="44">
        <v>5</v>
      </c>
      <c r="AF317" s="44"/>
      <c r="AG317" s="45" t="s">
        <v>646</v>
      </c>
      <c r="AH317" s="45" t="s">
        <v>604</v>
      </c>
      <c r="AI317" s="44"/>
    </row>
    <row r="318" spans="1:35" s="4" customFormat="1" x14ac:dyDescent="0.25">
      <c r="A318" s="57">
        <v>130428</v>
      </c>
      <c r="B318" s="57" t="s">
        <v>986</v>
      </c>
      <c r="C318" s="57" t="s">
        <v>870</v>
      </c>
      <c r="D318" s="57" t="s">
        <v>871</v>
      </c>
      <c r="E318" s="57" t="s">
        <v>872</v>
      </c>
      <c r="F318" s="57" t="s">
        <v>873</v>
      </c>
      <c r="G318" s="58">
        <v>3</v>
      </c>
      <c r="H318" s="58">
        <v>4</v>
      </c>
      <c r="I318" s="58">
        <v>3</v>
      </c>
      <c r="J318" s="58">
        <v>28</v>
      </c>
      <c r="K318" s="58">
        <v>1481743</v>
      </c>
      <c r="L318" s="58">
        <v>600</v>
      </c>
      <c r="M318" s="58">
        <v>6028</v>
      </c>
      <c r="N318" s="58" t="s">
        <v>874</v>
      </c>
      <c r="O318" s="59" t="s">
        <v>875</v>
      </c>
      <c r="P318" s="58" t="s">
        <v>876</v>
      </c>
      <c r="Q318" s="61">
        <v>1100001</v>
      </c>
      <c r="R318" s="58">
        <v>0</v>
      </c>
      <c r="S318" s="58" t="s">
        <v>206</v>
      </c>
      <c r="T318" s="58">
        <v>1</v>
      </c>
      <c r="U318" s="58" t="s">
        <v>877</v>
      </c>
      <c r="V318" s="19" t="s">
        <v>785</v>
      </c>
      <c r="W318" s="58" t="s">
        <v>878</v>
      </c>
      <c r="X318" s="57">
        <v>15</v>
      </c>
      <c r="Y318" s="19" t="s">
        <v>987</v>
      </c>
      <c r="Z318" s="19" t="s">
        <v>988</v>
      </c>
      <c r="AA318" s="19" t="s">
        <v>989</v>
      </c>
      <c r="AB318" s="19">
        <v>8</v>
      </c>
      <c r="AC318" s="43" t="b">
        <v>0</v>
      </c>
      <c r="AD318" s="44"/>
      <c r="AE318" s="44">
        <v>5</v>
      </c>
      <c r="AF318" s="44"/>
      <c r="AG318" s="45" t="s">
        <v>646</v>
      </c>
      <c r="AH318" s="45" t="s">
        <v>604</v>
      </c>
      <c r="AI318" s="44"/>
    </row>
    <row r="319" spans="1:35" s="4" customFormat="1" x14ac:dyDescent="0.25">
      <c r="A319" s="57">
        <v>130429</v>
      </c>
      <c r="B319" s="57" t="s">
        <v>990</v>
      </c>
      <c r="C319" s="57" t="s">
        <v>870</v>
      </c>
      <c r="D319" s="57" t="s">
        <v>871</v>
      </c>
      <c r="E319" s="57" t="s">
        <v>872</v>
      </c>
      <c r="F319" s="57" t="s">
        <v>873</v>
      </c>
      <c r="G319" s="58">
        <v>3</v>
      </c>
      <c r="H319" s="58">
        <v>4</v>
      </c>
      <c r="I319" s="58">
        <v>3</v>
      </c>
      <c r="J319" s="58">
        <v>29</v>
      </c>
      <c r="K319" s="58">
        <v>1602608</v>
      </c>
      <c r="L319" s="58">
        <v>600</v>
      </c>
      <c r="M319" s="58">
        <v>6029</v>
      </c>
      <c r="N319" s="58" t="s">
        <v>874</v>
      </c>
      <c r="O319" s="59" t="s">
        <v>875</v>
      </c>
      <c r="P319" s="58" t="s">
        <v>876</v>
      </c>
      <c r="Q319" s="61">
        <v>1100001</v>
      </c>
      <c r="R319" s="58">
        <v>0</v>
      </c>
      <c r="S319" s="58" t="s">
        <v>206</v>
      </c>
      <c r="T319" s="58">
        <v>1</v>
      </c>
      <c r="U319" s="58" t="s">
        <v>877</v>
      </c>
      <c r="V319" s="19" t="s">
        <v>785</v>
      </c>
      <c r="W319" s="58" t="s">
        <v>878</v>
      </c>
      <c r="X319" s="57">
        <v>15</v>
      </c>
      <c r="Y319" s="19" t="s">
        <v>991</v>
      </c>
      <c r="Z319" s="19" t="s">
        <v>992</v>
      </c>
      <c r="AA319" s="19" t="s">
        <v>993</v>
      </c>
      <c r="AB319" s="19">
        <v>8</v>
      </c>
      <c r="AC319" s="43" t="b">
        <v>0</v>
      </c>
      <c r="AD319" s="44"/>
      <c r="AE319" s="44">
        <v>5</v>
      </c>
      <c r="AF319" s="44"/>
      <c r="AG319" s="45" t="s">
        <v>646</v>
      </c>
      <c r="AH319" s="45" t="s">
        <v>604</v>
      </c>
      <c r="AI319" s="44"/>
    </row>
    <row r="320" spans="1:35" s="4" customFormat="1" x14ac:dyDescent="0.25">
      <c r="A320" s="57">
        <v>130430</v>
      </c>
      <c r="B320" s="57" t="s">
        <v>994</v>
      </c>
      <c r="C320" s="57" t="s">
        <v>870</v>
      </c>
      <c r="D320" s="57" t="s">
        <v>871</v>
      </c>
      <c r="E320" s="57" t="s">
        <v>872</v>
      </c>
      <c r="F320" s="57" t="s">
        <v>873</v>
      </c>
      <c r="G320" s="58">
        <v>3</v>
      </c>
      <c r="H320" s="58">
        <v>4</v>
      </c>
      <c r="I320" s="58">
        <v>3</v>
      </c>
      <c r="J320" s="58">
        <v>30</v>
      </c>
      <c r="K320" s="58">
        <v>1722810</v>
      </c>
      <c r="L320" s="58">
        <v>600</v>
      </c>
      <c r="M320" s="58">
        <v>6030</v>
      </c>
      <c r="N320" s="58" t="s">
        <v>874</v>
      </c>
      <c r="O320" s="59" t="s">
        <v>875</v>
      </c>
      <c r="P320" s="58" t="s">
        <v>876</v>
      </c>
      <c r="Q320" s="61">
        <v>1100001</v>
      </c>
      <c r="R320" s="58">
        <v>0</v>
      </c>
      <c r="S320" s="58" t="s">
        <v>206</v>
      </c>
      <c r="T320" s="58">
        <v>1</v>
      </c>
      <c r="U320" s="58" t="s">
        <v>877</v>
      </c>
      <c r="V320" s="19" t="s">
        <v>785</v>
      </c>
      <c r="W320" s="58" t="s">
        <v>878</v>
      </c>
      <c r="X320" s="57">
        <v>15</v>
      </c>
      <c r="Y320" s="19" t="s">
        <v>995</v>
      </c>
      <c r="Z320" s="19" t="s">
        <v>996</v>
      </c>
      <c r="AA320" s="19" t="s">
        <v>997</v>
      </c>
      <c r="AB320" s="19">
        <v>8</v>
      </c>
      <c r="AC320" s="43" t="b">
        <v>0</v>
      </c>
      <c r="AD320" s="44"/>
      <c r="AE320" s="44">
        <v>5</v>
      </c>
      <c r="AF320" s="44"/>
      <c r="AG320" s="45" t="s">
        <v>646</v>
      </c>
      <c r="AH320" s="45" t="s">
        <v>604</v>
      </c>
      <c r="AI320" s="44"/>
    </row>
    <row r="321" spans="1:35" s="4" customFormat="1" x14ac:dyDescent="0.25">
      <c r="A321" s="57">
        <v>130501</v>
      </c>
      <c r="B321" s="57" t="s">
        <v>998</v>
      </c>
      <c r="C321" s="57" t="s">
        <v>870</v>
      </c>
      <c r="D321" s="57" t="s">
        <v>871</v>
      </c>
      <c r="E321" s="57" t="s">
        <v>872</v>
      </c>
      <c r="F321" s="57" t="s">
        <v>873</v>
      </c>
      <c r="G321" s="58">
        <v>3</v>
      </c>
      <c r="H321" s="58">
        <v>4</v>
      </c>
      <c r="I321" s="58">
        <v>3</v>
      </c>
      <c r="J321" s="58">
        <v>1</v>
      </c>
      <c r="K321" s="58">
        <v>349638</v>
      </c>
      <c r="L321" s="58">
        <v>600</v>
      </c>
      <c r="M321" s="58">
        <v>6031</v>
      </c>
      <c r="N321" s="58" t="s">
        <v>874</v>
      </c>
      <c r="O321" s="59" t="s">
        <v>875</v>
      </c>
      <c r="P321" s="58" t="s">
        <v>876</v>
      </c>
      <c r="Q321" s="61">
        <v>1100001</v>
      </c>
      <c r="R321" s="58">
        <v>0</v>
      </c>
      <c r="S321" s="58" t="s">
        <v>206</v>
      </c>
      <c r="T321" s="58">
        <v>1</v>
      </c>
      <c r="U321" s="58" t="s">
        <v>877</v>
      </c>
      <c r="V321" s="19" t="s">
        <v>785</v>
      </c>
      <c r="W321" s="58" t="s">
        <v>878</v>
      </c>
      <c r="X321" s="57">
        <v>15</v>
      </c>
      <c r="Y321" s="19" t="s">
        <v>887</v>
      </c>
      <c r="Z321" s="19" t="s">
        <v>888</v>
      </c>
      <c r="AA321" s="19" t="s">
        <v>889</v>
      </c>
      <c r="AB321" s="19">
        <v>8</v>
      </c>
      <c r="AC321" s="43" t="b">
        <v>0</v>
      </c>
      <c r="AD321" s="44"/>
      <c r="AE321" s="44">
        <v>5</v>
      </c>
      <c r="AF321" s="44"/>
      <c r="AG321" s="45" t="s">
        <v>646</v>
      </c>
      <c r="AH321" s="45" t="s">
        <v>604</v>
      </c>
      <c r="AI321" s="44"/>
    </row>
    <row r="322" spans="1:35" s="4" customFormat="1" x14ac:dyDescent="0.25">
      <c r="A322" s="57">
        <v>130502</v>
      </c>
      <c r="B322" s="57" t="s">
        <v>999</v>
      </c>
      <c r="C322" s="57" t="s">
        <v>870</v>
      </c>
      <c r="D322" s="57" t="s">
        <v>871</v>
      </c>
      <c r="E322" s="57" t="s">
        <v>872</v>
      </c>
      <c r="F322" s="57" t="s">
        <v>873</v>
      </c>
      <c r="G322" s="58">
        <v>3</v>
      </c>
      <c r="H322" s="58">
        <v>4</v>
      </c>
      <c r="I322" s="58">
        <v>3</v>
      </c>
      <c r="J322" s="58">
        <v>2</v>
      </c>
      <c r="K322" s="58">
        <v>381357</v>
      </c>
      <c r="L322" s="58">
        <v>600</v>
      </c>
      <c r="M322" s="58">
        <v>6032</v>
      </c>
      <c r="N322" s="58" t="s">
        <v>874</v>
      </c>
      <c r="O322" s="59" t="s">
        <v>875</v>
      </c>
      <c r="P322" s="58" t="s">
        <v>876</v>
      </c>
      <c r="Q322" s="61">
        <v>1100001</v>
      </c>
      <c r="R322" s="58">
        <v>0</v>
      </c>
      <c r="S322" s="58" t="s">
        <v>206</v>
      </c>
      <c r="T322" s="58">
        <v>1</v>
      </c>
      <c r="U322" s="58" t="s">
        <v>877</v>
      </c>
      <c r="V322" s="19" t="s">
        <v>785</v>
      </c>
      <c r="W322" s="58" t="s">
        <v>878</v>
      </c>
      <c r="X322" s="57">
        <v>15</v>
      </c>
      <c r="Y322" s="19" t="s">
        <v>895</v>
      </c>
      <c r="Z322" s="19" t="s">
        <v>896</v>
      </c>
      <c r="AA322" s="19" t="s">
        <v>897</v>
      </c>
      <c r="AB322" s="19">
        <v>8</v>
      </c>
      <c r="AC322" s="43" t="b">
        <v>0</v>
      </c>
      <c r="AD322" s="44"/>
      <c r="AE322" s="44">
        <v>5</v>
      </c>
      <c r="AF322" s="44"/>
      <c r="AG322" s="45" t="s">
        <v>646</v>
      </c>
      <c r="AH322" s="45" t="s">
        <v>604</v>
      </c>
      <c r="AI322" s="44"/>
    </row>
    <row r="323" spans="1:35" s="4" customFormat="1" x14ac:dyDescent="0.25">
      <c r="A323" s="57">
        <v>130503</v>
      </c>
      <c r="B323" s="57" t="s">
        <v>1000</v>
      </c>
      <c r="C323" s="57" t="s">
        <v>870</v>
      </c>
      <c r="D323" s="57" t="s">
        <v>871</v>
      </c>
      <c r="E323" s="57" t="s">
        <v>872</v>
      </c>
      <c r="F323" s="57" t="s">
        <v>873</v>
      </c>
      <c r="G323" s="58">
        <v>3</v>
      </c>
      <c r="H323" s="58">
        <v>4</v>
      </c>
      <c r="I323" s="58">
        <v>3</v>
      </c>
      <c r="J323" s="58">
        <v>3</v>
      </c>
      <c r="K323" s="58">
        <v>413157</v>
      </c>
      <c r="L323" s="58">
        <v>600</v>
      </c>
      <c r="M323" s="58">
        <v>6033</v>
      </c>
      <c r="N323" s="58" t="s">
        <v>874</v>
      </c>
      <c r="O323" s="59" t="s">
        <v>875</v>
      </c>
      <c r="P323" s="58" t="s">
        <v>876</v>
      </c>
      <c r="Q323" s="61">
        <v>1100001</v>
      </c>
      <c r="R323" s="58">
        <v>0</v>
      </c>
      <c r="S323" s="58" t="s">
        <v>206</v>
      </c>
      <c r="T323" s="58">
        <v>1</v>
      </c>
      <c r="U323" s="58" t="s">
        <v>877</v>
      </c>
      <c r="V323" s="19" t="s">
        <v>785</v>
      </c>
      <c r="W323" s="58" t="s">
        <v>878</v>
      </c>
      <c r="X323" s="57">
        <v>15</v>
      </c>
      <c r="Y323" s="19" t="s">
        <v>903</v>
      </c>
      <c r="Z323" s="19" t="s">
        <v>904</v>
      </c>
      <c r="AA323" s="19" t="s">
        <v>905</v>
      </c>
      <c r="AB323" s="19">
        <v>8</v>
      </c>
      <c r="AC323" s="43" t="b">
        <v>0</v>
      </c>
      <c r="AD323" s="44"/>
      <c r="AE323" s="44">
        <v>5</v>
      </c>
      <c r="AF323" s="44"/>
      <c r="AG323" s="45" t="s">
        <v>646</v>
      </c>
      <c r="AH323" s="45" t="s">
        <v>604</v>
      </c>
      <c r="AI323" s="44"/>
    </row>
    <row r="324" spans="1:35" s="4" customFormat="1" x14ac:dyDescent="0.25">
      <c r="A324" s="57">
        <v>130504</v>
      </c>
      <c r="B324" s="57" t="s">
        <v>1001</v>
      </c>
      <c r="C324" s="57" t="s">
        <v>870</v>
      </c>
      <c r="D324" s="57" t="s">
        <v>871</v>
      </c>
      <c r="E324" s="57" t="s">
        <v>872</v>
      </c>
      <c r="F324" s="57" t="s">
        <v>873</v>
      </c>
      <c r="G324" s="58">
        <v>3</v>
      </c>
      <c r="H324" s="58">
        <v>4</v>
      </c>
      <c r="I324" s="58">
        <v>3</v>
      </c>
      <c r="J324" s="58">
        <v>4</v>
      </c>
      <c r="K324" s="58">
        <v>444963</v>
      </c>
      <c r="L324" s="58">
        <v>600</v>
      </c>
      <c r="M324" s="58">
        <v>6034</v>
      </c>
      <c r="N324" s="58" t="s">
        <v>874</v>
      </c>
      <c r="O324" s="59" t="s">
        <v>875</v>
      </c>
      <c r="P324" s="58" t="s">
        <v>876</v>
      </c>
      <c r="Q324" s="61">
        <v>1100001</v>
      </c>
      <c r="R324" s="58">
        <v>0</v>
      </c>
      <c r="S324" s="58" t="s">
        <v>206</v>
      </c>
      <c r="T324" s="58">
        <v>1</v>
      </c>
      <c r="U324" s="58" t="s">
        <v>877</v>
      </c>
      <c r="V324" s="19" t="s">
        <v>785</v>
      </c>
      <c r="W324" s="58" t="s">
        <v>878</v>
      </c>
      <c r="X324" s="57">
        <v>15</v>
      </c>
      <c r="Y324" s="19" t="s">
        <v>911</v>
      </c>
      <c r="Z324" s="19" t="s">
        <v>912</v>
      </c>
      <c r="AA324" s="19" t="s">
        <v>913</v>
      </c>
      <c r="AB324" s="19">
        <v>8</v>
      </c>
      <c r="AC324" s="43" t="b">
        <v>0</v>
      </c>
      <c r="AD324" s="44"/>
      <c r="AE324" s="44">
        <v>5</v>
      </c>
      <c r="AF324" s="44"/>
      <c r="AG324" s="45" t="s">
        <v>646</v>
      </c>
      <c r="AH324" s="45" t="s">
        <v>604</v>
      </c>
      <c r="AI324" s="44"/>
    </row>
    <row r="325" spans="1:35" s="4" customFormat="1" x14ac:dyDescent="0.25">
      <c r="A325" s="57">
        <v>130505</v>
      </c>
      <c r="B325" s="57" t="s">
        <v>1002</v>
      </c>
      <c r="C325" s="57" t="s">
        <v>870</v>
      </c>
      <c r="D325" s="57" t="s">
        <v>871</v>
      </c>
      <c r="E325" s="57" t="s">
        <v>872</v>
      </c>
      <c r="F325" s="57" t="s">
        <v>873</v>
      </c>
      <c r="G325" s="58">
        <v>3</v>
      </c>
      <c r="H325" s="58">
        <v>4</v>
      </c>
      <c r="I325" s="58">
        <v>3</v>
      </c>
      <c r="J325" s="58">
        <v>5</v>
      </c>
      <c r="K325" s="58">
        <v>460831</v>
      </c>
      <c r="L325" s="58">
        <v>600</v>
      </c>
      <c r="M325" s="58">
        <v>6035</v>
      </c>
      <c r="N325" s="58" t="s">
        <v>874</v>
      </c>
      <c r="O325" s="59" t="s">
        <v>875</v>
      </c>
      <c r="P325" s="58" t="s">
        <v>876</v>
      </c>
      <c r="Q325" s="61">
        <v>1100001</v>
      </c>
      <c r="R325" s="58">
        <v>0</v>
      </c>
      <c r="S325" s="58" t="s">
        <v>206</v>
      </c>
      <c r="T325" s="58">
        <v>1</v>
      </c>
      <c r="U325" s="58" t="s">
        <v>877</v>
      </c>
      <c r="V325" s="19" t="s">
        <v>785</v>
      </c>
      <c r="W325" s="58" t="s">
        <v>878</v>
      </c>
      <c r="X325" s="57">
        <v>15</v>
      </c>
      <c r="Y325" s="19" t="s">
        <v>915</v>
      </c>
      <c r="Z325" s="19" t="s">
        <v>916</v>
      </c>
      <c r="AA325" s="19" t="s">
        <v>917</v>
      </c>
      <c r="AB325" s="19">
        <v>8</v>
      </c>
      <c r="AC325" s="43" t="b">
        <v>0</v>
      </c>
      <c r="AD325" s="44"/>
      <c r="AE325" s="44">
        <v>5</v>
      </c>
      <c r="AF325" s="44"/>
      <c r="AG325" s="45" t="s">
        <v>646</v>
      </c>
      <c r="AH325" s="45" t="s">
        <v>604</v>
      </c>
      <c r="AI325" s="44"/>
    </row>
    <row r="326" spans="1:35" s="4" customFormat="1" x14ac:dyDescent="0.25">
      <c r="A326" s="57">
        <v>130506</v>
      </c>
      <c r="B326" s="57" t="s">
        <v>1003</v>
      </c>
      <c r="C326" s="57" t="s">
        <v>870</v>
      </c>
      <c r="D326" s="57" t="s">
        <v>871</v>
      </c>
      <c r="E326" s="57" t="s">
        <v>872</v>
      </c>
      <c r="F326" s="57" t="s">
        <v>873</v>
      </c>
      <c r="G326" s="58">
        <v>3</v>
      </c>
      <c r="H326" s="58">
        <v>4</v>
      </c>
      <c r="I326" s="58">
        <v>3</v>
      </c>
      <c r="J326" s="58">
        <v>6</v>
      </c>
      <c r="K326" s="58">
        <v>492701</v>
      </c>
      <c r="L326" s="58">
        <v>600</v>
      </c>
      <c r="M326" s="58">
        <v>6036</v>
      </c>
      <c r="N326" s="58" t="s">
        <v>874</v>
      </c>
      <c r="O326" s="59" t="s">
        <v>875</v>
      </c>
      <c r="P326" s="58" t="s">
        <v>876</v>
      </c>
      <c r="Q326" s="61">
        <v>1100001</v>
      </c>
      <c r="R326" s="58">
        <v>0</v>
      </c>
      <c r="S326" s="58" t="s">
        <v>206</v>
      </c>
      <c r="T326" s="58">
        <v>1</v>
      </c>
      <c r="U326" s="58" t="s">
        <v>877</v>
      </c>
      <c r="V326" s="19" t="s">
        <v>785</v>
      </c>
      <c r="W326" s="58" t="s">
        <v>878</v>
      </c>
      <c r="X326" s="57">
        <v>15</v>
      </c>
      <c r="Y326" s="19" t="s">
        <v>923</v>
      </c>
      <c r="Z326" s="19" t="s">
        <v>924</v>
      </c>
      <c r="AA326" s="19" t="s">
        <v>925</v>
      </c>
      <c r="AB326" s="19">
        <v>8</v>
      </c>
      <c r="AC326" s="43" t="b">
        <v>0</v>
      </c>
      <c r="AD326" s="44"/>
      <c r="AE326" s="44">
        <v>5</v>
      </c>
      <c r="AF326" s="44"/>
      <c r="AG326" s="45" t="s">
        <v>646</v>
      </c>
      <c r="AH326" s="45" t="s">
        <v>604</v>
      </c>
      <c r="AI326" s="44"/>
    </row>
    <row r="327" spans="1:35" s="4" customFormat="1" x14ac:dyDescent="0.25">
      <c r="A327" s="57">
        <v>130507</v>
      </c>
      <c r="B327" s="57" t="s">
        <v>1004</v>
      </c>
      <c r="C327" s="57" t="s">
        <v>870</v>
      </c>
      <c r="D327" s="57" t="s">
        <v>871</v>
      </c>
      <c r="E327" s="57" t="s">
        <v>872</v>
      </c>
      <c r="F327" s="57" t="s">
        <v>873</v>
      </c>
      <c r="G327" s="58">
        <v>3</v>
      </c>
      <c r="H327" s="58">
        <v>4</v>
      </c>
      <c r="I327" s="58">
        <v>3</v>
      </c>
      <c r="J327" s="58">
        <v>7</v>
      </c>
      <c r="K327" s="58">
        <v>524437</v>
      </c>
      <c r="L327" s="58">
        <v>600</v>
      </c>
      <c r="M327" s="58">
        <v>6037</v>
      </c>
      <c r="N327" s="58" t="s">
        <v>874</v>
      </c>
      <c r="O327" s="59" t="s">
        <v>875</v>
      </c>
      <c r="P327" s="58" t="s">
        <v>876</v>
      </c>
      <c r="Q327" s="61">
        <v>1100001</v>
      </c>
      <c r="R327" s="58">
        <v>0</v>
      </c>
      <c r="S327" s="58" t="s">
        <v>206</v>
      </c>
      <c r="T327" s="58">
        <v>1</v>
      </c>
      <c r="U327" s="58" t="s">
        <v>877</v>
      </c>
      <c r="V327" s="19" t="s">
        <v>785</v>
      </c>
      <c r="W327" s="58" t="s">
        <v>878</v>
      </c>
      <c r="X327" s="57">
        <v>15</v>
      </c>
      <c r="Y327" s="19" t="s">
        <v>931</v>
      </c>
      <c r="Z327" s="19" t="s">
        <v>932</v>
      </c>
      <c r="AA327" s="19" t="s">
        <v>933</v>
      </c>
      <c r="AB327" s="19">
        <v>8</v>
      </c>
      <c r="AC327" s="43" t="b">
        <v>0</v>
      </c>
      <c r="AD327" s="44"/>
      <c r="AE327" s="44">
        <v>5</v>
      </c>
      <c r="AF327" s="44"/>
      <c r="AG327" s="45" t="s">
        <v>646</v>
      </c>
      <c r="AH327" s="45" t="s">
        <v>604</v>
      </c>
      <c r="AI327" s="44"/>
    </row>
    <row r="328" spans="1:35" s="4" customFormat="1" x14ac:dyDescent="0.25">
      <c r="A328" s="57">
        <v>130508</v>
      </c>
      <c r="B328" s="57" t="s">
        <v>1005</v>
      </c>
      <c r="C328" s="57" t="s">
        <v>870</v>
      </c>
      <c r="D328" s="57" t="s">
        <v>871</v>
      </c>
      <c r="E328" s="57" t="s">
        <v>872</v>
      </c>
      <c r="F328" s="57" t="s">
        <v>873</v>
      </c>
      <c r="G328" s="58">
        <v>3</v>
      </c>
      <c r="H328" s="58">
        <v>4</v>
      </c>
      <c r="I328" s="58">
        <v>3</v>
      </c>
      <c r="J328" s="58">
        <v>8</v>
      </c>
      <c r="K328" s="58">
        <v>556214</v>
      </c>
      <c r="L328" s="58">
        <v>600</v>
      </c>
      <c r="M328" s="58">
        <v>6038</v>
      </c>
      <c r="N328" s="58" t="s">
        <v>874</v>
      </c>
      <c r="O328" s="59" t="s">
        <v>875</v>
      </c>
      <c r="P328" s="58" t="s">
        <v>876</v>
      </c>
      <c r="Q328" s="61">
        <v>1100001</v>
      </c>
      <c r="R328" s="58">
        <v>0</v>
      </c>
      <c r="S328" s="58" t="s">
        <v>206</v>
      </c>
      <c r="T328" s="58">
        <v>1</v>
      </c>
      <c r="U328" s="58" t="s">
        <v>877</v>
      </c>
      <c r="V328" s="19" t="s">
        <v>785</v>
      </c>
      <c r="W328" s="58" t="s">
        <v>878</v>
      </c>
      <c r="X328" s="57">
        <v>15</v>
      </c>
      <c r="Y328" s="19" t="s">
        <v>939</v>
      </c>
      <c r="Z328" s="19" t="s">
        <v>940</v>
      </c>
      <c r="AA328" s="19" t="s">
        <v>941</v>
      </c>
      <c r="AB328" s="19">
        <v>8</v>
      </c>
      <c r="AC328" s="43" t="b">
        <v>0</v>
      </c>
      <c r="AD328" s="44"/>
      <c r="AE328" s="44">
        <v>5</v>
      </c>
      <c r="AF328" s="44"/>
      <c r="AG328" s="45" t="s">
        <v>646</v>
      </c>
      <c r="AH328" s="45" t="s">
        <v>604</v>
      </c>
      <c r="AI328" s="44"/>
    </row>
    <row r="329" spans="1:35" s="4" customFormat="1" x14ac:dyDescent="0.25">
      <c r="A329" s="57">
        <v>130509</v>
      </c>
      <c r="B329" s="57" t="s">
        <v>1006</v>
      </c>
      <c r="C329" s="57" t="s">
        <v>870</v>
      </c>
      <c r="D329" s="57" t="s">
        <v>871</v>
      </c>
      <c r="E329" s="57" t="s">
        <v>872</v>
      </c>
      <c r="F329" s="57" t="s">
        <v>873</v>
      </c>
      <c r="G329" s="58">
        <v>3</v>
      </c>
      <c r="H329" s="58">
        <v>4</v>
      </c>
      <c r="I329" s="58">
        <v>3</v>
      </c>
      <c r="J329" s="58">
        <v>9</v>
      </c>
      <c r="K329" s="58">
        <v>588008</v>
      </c>
      <c r="L329" s="58">
        <v>600</v>
      </c>
      <c r="M329" s="58">
        <v>6039</v>
      </c>
      <c r="N329" s="58" t="s">
        <v>874</v>
      </c>
      <c r="O329" s="59" t="s">
        <v>875</v>
      </c>
      <c r="P329" s="58" t="s">
        <v>876</v>
      </c>
      <c r="Q329" s="61">
        <v>1100001</v>
      </c>
      <c r="R329" s="58">
        <v>0</v>
      </c>
      <c r="S329" s="58" t="s">
        <v>206</v>
      </c>
      <c r="T329" s="58">
        <v>1</v>
      </c>
      <c r="U329" s="58" t="s">
        <v>877</v>
      </c>
      <c r="V329" s="19" t="s">
        <v>785</v>
      </c>
      <c r="W329" s="58" t="s">
        <v>878</v>
      </c>
      <c r="X329" s="57">
        <v>15</v>
      </c>
      <c r="Y329" s="19" t="s">
        <v>947</v>
      </c>
      <c r="Z329" s="19" t="s">
        <v>948</v>
      </c>
      <c r="AA329" s="19" t="s">
        <v>949</v>
      </c>
      <c r="AB329" s="19">
        <v>8</v>
      </c>
      <c r="AC329" s="43" t="b">
        <v>0</v>
      </c>
      <c r="AD329" s="44"/>
      <c r="AE329" s="44">
        <v>5</v>
      </c>
      <c r="AF329" s="44"/>
      <c r="AG329" s="45" t="s">
        <v>646</v>
      </c>
      <c r="AH329" s="45" t="s">
        <v>604</v>
      </c>
      <c r="AI329" s="44"/>
    </row>
    <row r="330" spans="1:35" s="4" customFormat="1" x14ac:dyDescent="0.25">
      <c r="A330" s="57">
        <v>130510</v>
      </c>
      <c r="B330" s="57" t="s">
        <v>1007</v>
      </c>
      <c r="C330" s="57" t="s">
        <v>870</v>
      </c>
      <c r="D330" s="57" t="s">
        <v>871</v>
      </c>
      <c r="E330" s="57" t="s">
        <v>872</v>
      </c>
      <c r="F330" s="57" t="s">
        <v>873</v>
      </c>
      <c r="G330" s="58">
        <v>3</v>
      </c>
      <c r="H330" s="58">
        <v>4</v>
      </c>
      <c r="I330" s="58">
        <v>3</v>
      </c>
      <c r="J330" s="58">
        <v>10</v>
      </c>
      <c r="K330" s="58">
        <v>603894</v>
      </c>
      <c r="L330" s="58">
        <v>600</v>
      </c>
      <c r="M330" s="58">
        <v>6040</v>
      </c>
      <c r="N330" s="58" t="s">
        <v>874</v>
      </c>
      <c r="O330" s="59" t="s">
        <v>875</v>
      </c>
      <c r="P330" s="58" t="s">
        <v>876</v>
      </c>
      <c r="Q330" s="61">
        <v>1100001</v>
      </c>
      <c r="R330" s="58">
        <v>0</v>
      </c>
      <c r="S330" s="58" t="s">
        <v>206</v>
      </c>
      <c r="T330" s="58">
        <v>1</v>
      </c>
      <c r="U330" s="58" t="s">
        <v>877</v>
      </c>
      <c r="V330" s="19" t="s">
        <v>785</v>
      </c>
      <c r="W330" s="58" t="s">
        <v>878</v>
      </c>
      <c r="X330" s="57">
        <v>15</v>
      </c>
      <c r="Y330" s="19" t="s">
        <v>951</v>
      </c>
      <c r="Z330" s="19" t="s">
        <v>952</v>
      </c>
      <c r="AA330" s="19" t="s">
        <v>953</v>
      </c>
      <c r="AB330" s="19">
        <v>8</v>
      </c>
      <c r="AC330" s="43" t="b">
        <v>0</v>
      </c>
      <c r="AD330" s="44"/>
      <c r="AE330" s="44">
        <v>5</v>
      </c>
      <c r="AF330" s="44"/>
      <c r="AG330" s="45" t="s">
        <v>646</v>
      </c>
      <c r="AH330" s="45" t="s">
        <v>604</v>
      </c>
      <c r="AI330" s="44"/>
    </row>
    <row r="331" spans="1:35" s="4" customFormat="1" x14ac:dyDescent="0.25">
      <c r="A331" s="57">
        <v>130511</v>
      </c>
      <c r="B331" s="57" t="s">
        <v>1008</v>
      </c>
      <c r="C331" s="57" t="s">
        <v>870</v>
      </c>
      <c r="D331" s="57" t="s">
        <v>871</v>
      </c>
      <c r="E331" s="57" t="s">
        <v>872</v>
      </c>
      <c r="F331" s="57" t="s">
        <v>873</v>
      </c>
      <c r="G331" s="58">
        <v>3</v>
      </c>
      <c r="H331" s="58">
        <v>4</v>
      </c>
      <c r="I331" s="58">
        <v>3</v>
      </c>
      <c r="J331" s="58">
        <v>11</v>
      </c>
      <c r="K331" s="58">
        <v>619744</v>
      </c>
      <c r="L331" s="58">
        <v>600</v>
      </c>
      <c r="M331" s="58">
        <v>6041</v>
      </c>
      <c r="N331" s="58" t="s">
        <v>874</v>
      </c>
      <c r="O331" s="59" t="s">
        <v>875</v>
      </c>
      <c r="P331" s="58" t="s">
        <v>876</v>
      </c>
      <c r="Q331" s="61">
        <v>1100001</v>
      </c>
      <c r="R331" s="58">
        <v>0</v>
      </c>
      <c r="S331" s="58" t="s">
        <v>206</v>
      </c>
      <c r="T331" s="58">
        <v>1</v>
      </c>
      <c r="U331" s="58" t="s">
        <v>877</v>
      </c>
      <c r="V331" s="19" t="s">
        <v>785</v>
      </c>
      <c r="W331" s="58" t="s">
        <v>878</v>
      </c>
      <c r="X331" s="57">
        <v>15</v>
      </c>
      <c r="Y331" s="19" t="s">
        <v>955</v>
      </c>
      <c r="Z331" s="19" t="s">
        <v>956</v>
      </c>
      <c r="AA331" s="19" t="s">
        <v>957</v>
      </c>
      <c r="AB331" s="19">
        <v>8</v>
      </c>
      <c r="AC331" s="43" t="b">
        <v>0</v>
      </c>
      <c r="AD331" s="44"/>
      <c r="AE331" s="44">
        <v>5</v>
      </c>
      <c r="AF331" s="44"/>
      <c r="AG331" s="45" t="s">
        <v>646</v>
      </c>
      <c r="AH331" s="45" t="s">
        <v>604</v>
      </c>
      <c r="AI331" s="44"/>
    </row>
    <row r="332" spans="1:35" s="4" customFormat="1" x14ac:dyDescent="0.25">
      <c r="A332" s="57">
        <v>130512</v>
      </c>
      <c r="B332" s="57" t="s">
        <v>1009</v>
      </c>
      <c r="C332" s="57" t="s">
        <v>870</v>
      </c>
      <c r="D332" s="57" t="s">
        <v>871</v>
      </c>
      <c r="E332" s="57" t="s">
        <v>872</v>
      </c>
      <c r="F332" s="57" t="s">
        <v>873</v>
      </c>
      <c r="G332" s="58">
        <v>3</v>
      </c>
      <c r="H332" s="58">
        <v>4</v>
      </c>
      <c r="I332" s="58">
        <v>3</v>
      </c>
      <c r="J332" s="58">
        <v>12</v>
      </c>
      <c r="K332" s="58">
        <v>635688</v>
      </c>
      <c r="L332" s="58">
        <v>600</v>
      </c>
      <c r="M332" s="58">
        <v>6042</v>
      </c>
      <c r="N332" s="58" t="s">
        <v>874</v>
      </c>
      <c r="O332" s="59" t="s">
        <v>875</v>
      </c>
      <c r="P332" s="58" t="s">
        <v>876</v>
      </c>
      <c r="Q332" s="61">
        <v>1100001</v>
      </c>
      <c r="R332" s="58">
        <v>0</v>
      </c>
      <c r="S332" s="58" t="s">
        <v>206</v>
      </c>
      <c r="T332" s="58">
        <v>1</v>
      </c>
      <c r="U332" s="58" t="s">
        <v>877</v>
      </c>
      <c r="V332" s="19" t="s">
        <v>785</v>
      </c>
      <c r="W332" s="58" t="s">
        <v>878</v>
      </c>
      <c r="X332" s="57">
        <v>15</v>
      </c>
      <c r="Y332" s="19" t="s">
        <v>959</v>
      </c>
      <c r="Z332" s="19" t="s">
        <v>960</v>
      </c>
      <c r="AA332" s="19" t="s">
        <v>961</v>
      </c>
      <c r="AB332" s="19">
        <v>8</v>
      </c>
      <c r="AC332" s="43" t="b">
        <v>0</v>
      </c>
      <c r="AD332" s="44"/>
      <c r="AE332" s="44">
        <v>5</v>
      </c>
      <c r="AF332" s="44"/>
      <c r="AG332" s="45" t="s">
        <v>646</v>
      </c>
      <c r="AH332" s="45" t="s">
        <v>604</v>
      </c>
      <c r="AI332" s="44"/>
    </row>
    <row r="333" spans="1:35" s="4" customFormat="1" x14ac:dyDescent="0.25">
      <c r="A333" s="57">
        <v>130513</v>
      </c>
      <c r="B333" s="57" t="s">
        <v>1010</v>
      </c>
      <c r="C333" s="57" t="s">
        <v>870</v>
      </c>
      <c r="D333" s="57" t="s">
        <v>871</v>
      </c>
      <c r="E333" s="57" t="s">
        <v>872</v>
      </c>
      <c r="F333" s="57" t="s">
        <v>873</v>
      </c>
      <c r="G333" s="58">
        <v>3</v>
      </c>
      <c r="H333" s="58">
        <v>4</v>
      </c>
      <c r="I333" s="58">
        <v>3</v>
      </c>
      <c r="J333" s="58">
        <v>13</v>
      </c>
      <c r="K333" s="58">
        <v>756553</v>
      </c>
      <c r="L333" s="58">
        <v>600</v>
      </c>
      <c r="M333" s="58">
        <v>6043</v>
      </c>
      <c r="N333" s="58" t="s">
        <v>874</v>
      </c>
      <c r="O333" s="59" t="s">
        <v>875</v>
      </c>
      <c r="P333" s="58" t="s">
        <v>876</v>
      </c>
      <c r="Q333" s="61">
        <v>1100001</v>
      </c>
      <c r="R333" s="58">
        <v>0</v>
      </c>
      <c r="S333" s="58" t="s">
        <v>206</v>
      </c>
      <c r="T333" s="58">
        <v>1</v>
      </c>
      <c r="U333" s="58" t="s">
        <v>877</v>
      </c>
      <c r="V333" s="19" t="s">
        <v>785</v>
      </c>
      <c r="W333" s="58" t="s">
        <v>878</v>
      </c>
      <c r="X333" s="57">
        <v>15</v>
      </c>
      <c r="Y333" s="19" t="s">
        <v>963</v>
      </c>
      <c r="Z333" s="19" t="s">
        <v>964</v>
      </c>
      <c r="AA333" s="19" t="s">
        <v>965</v>
      </c>
      <c r="AB333" s="19">
        <v>8</v>
      </c>
      <c r="AC333" s="43" t="b">
        <v>0</v>
      </c>
      <c r="AD333" s="44"/>
      <c r="AE333" s="44">
        <v>5</v>
      </c>
      <c r="AF333" s="44"/>
      <c r="AG333" s="45" t="s">
        <v>646</v>
      </c>
      <c r="AH333" s="45" t="s">
        <v>604</v>
      </c>
      <c r="AI333" s="44"/>
    </row>
    <row r="334" spans="1:35" s="4" customFormat="1" x14ac:dyDescent="0.25">
      <c r="A334" s="57">
        <v>130514</v>
      </c>
      <c r="B334" s="57" t="s">
        <v>1011</v>
      </c>
      <c r="C334" s="57" t="s">
        <v>870</v>
      </c>
      <c r="D334" s="57" t="s">
        <v>871</v>
      </c>
      <c r="E334" s="57" t="s">
        <v>872</v>
      </c>
      <c r="F334" s="57" t="s">
        <v>873</v>
      </c>
      <c r="G334" s="58">
        <v>3</v>
      </c>
      <c r="H334" s="58">
        <v>4</v>
      </c>
      <c r="I334" s="58">
        <v>3</v>
      </c>
      <c r="J334" s="58">
        <v>14</v>
      </c>
      <c r="K334" s="58">
        <v>877418</v>
      </c>
      <c r="L334" s="58">
        <v>600</v>
      </c>
      <c r="M334" s="58">
        <v>6044</v>
      </c>
      <c r="N334" s="58" t="s">
        <v>874</v>
      </c>
      <c r="O334" s="59" t="s">
        <v>875</v>
      </c>
      <c r="P334" s="58" t="s">
        <v>876</v>
      </c>
      <c r="Q334" s="61">
        <v>1100001</v>
      </c>
      <c r="R334" s="58">
        <v>0</v>
      </c>
      <c r="S334" s="58" t="s">
        <v>206</v>
      </c>
      <c r="T334" s="58">
        <v>1</v>
      </c>
      <c r="U334" s="58" t="s">
        <v>877</v>
      </c>
      <c r="V334" s="19" t="s">
        <v>785</v>
      </c>
      <c r="W334" s="58" t="s">
        <v>878</v>
      </c>
      <c r="X334" s="57">
        <v>15</v>
      </c>
      <c r="Y334" s="19" t="s">
        <v>967</v>
      </c>
      <c r="Z334" s="19" t="s">
        <v>968</v>
      </c>
      <c r="AA334" s="19" t="s">
        <v>969</v>
      </c>
      <c r="AB334" s="19">
        <v>8</v>
      </c>
      <c r="AC334" s="43" t="b">
        <v>0</v>
      </c>
      <c r="AD334" s="44"/>
      <c r="AE334" s="44">
        <v>5</v>
      </c>
      <c r="AF334" s="44"/>
      <c r="AG334" s="45" t="s">
        <v>646</v>
      </c>
      <c r="AH334" s="45" t="s">
        <v>604</v>
      </c>
      <c r="AI334" s="44"/>
    </row>
    <row r="335" spans="1:35" s="4" customFormat="1" x14ac:dyDescent="0.25">
      <c r="A335" s="57">
        <v>130515</v>
      </c>
      <c r="B335" s="57" t="s">
        <v>1012</v>
      </c>
      <c r="C335" s="57" t="s">
        <v>870</v>
      </c>
      <c r="D335" s="57" t="s">
        <v>871</v>
      </c>
      <c r="E335" s="57" t="s">
        <v>872</v>
      </c>
      <c r="F335" s="57" t="s">
        <v>873</v>
      </c>
      <c r="G335" s="58">
        <v>3</v>
      </c>
      <c r="H335" s="58">
        <v>4</v>
      </c>
      <c r="I335" s="58">
        <v>3</v>
      </c>
      <c r="J335" s="58">
        <v>15</v>
      </c>
      <c r="K335" s="58">
        <v>998283</v>
      </c>
      <c r="L335" s="58">
        <v>600</v>
      </c>
      <c r="M335" s="58">
        <v>6045</v>
      </c>
      <c r="N335" s="58" t="s">
        <v>874</v>
      </c>
      <c r="O335" s="59" t="s">
        <v>875</v>
      </c>
      <c r="P335" s="58" t="s">
        <v>876</v>
      </c>
      <c r="Q335" s="61">
        <v>1100001</v>
      </c>
      <c r="R335" s="58">
        <v>0</v>
      </c>
      <c r="S335" s="58" t="s">
        <v>206</v>
      </c>
      <c r="T335" s="58">
        <v>1</v>
      </c>
      <c r="U335" s="58" t="s">
        <v>877</v>
      </c>
      <c r="V335" s="19" t="s">
        <v>785</v>
      </c>
      <c r="W335" s="58" t="s">
        <v>878</v>
      </c>
      <c r="X335" s="57">
        <v>15</v>
      </c>
      <c r="Y335" s="19" t="s">
        <v>971</v>
      </c>
      <c r="Z335" s="19" t="s">
        <v>972</v>
      </c>
      <c r="AA335" s="19" t="s">
        <v>973</v>
      </c>
      <c r="AB335" s="19">
        <v>8</v>
      </c>
      <c r="AC335" s="43" t="b">
        <v>0</v>
      </c>
      <c r="AD335" s="44"/>
      <c r="AE335" s="44">
        <v>5</v>
      </c>
      <c r="AF335" s="44"/>
      <c r="AG335" s="45" t="s">
        <v>646</v>
      </c>
      <c r="AH335" s="45" t="s">
        <v>604</v>
      </c>
      <c r="AI335" s="44"/>
    </row>
    <row r="336" spans="1:35" s="4" customFormat="1" x14ac:dyDescent="0.25">
      <c r="A336" s="57">
        <v>130516</v>
      </c>
      <c r="B336" s="57" t="s">
        <v>1013</v>
      </c>
      <c r="C336" s="57" t="s">
        <v>870</v>
      </c>
      <c r="D336" s="57" t="s">
        <v>871</v>
      </c>
      <c r="E336" s="57" t="s">
        <v>872</v>
      </c>
      <c r="F336" s="57" t="s">
        <v>873</v>
      </c>
      <c r="G336" s="58">
        <v>3</v>
      </c>
      <c r="H336" s="58">
        <v>4</v>
      </c>
      <c r="I336" s="58">
        <v>3</v>
      </c>
      <c r="J336" s="58">
        <v>16</v>
      </c>
      <c r="K336" s="58">
        <v>1119148</v>
      </c>
      <c r="L336" s="58">
        <v>600</v>
      </c>
      <c r="M336" s="58">
        <v>6046</v>
      </c>
      <c r="N336" s="58" t="s">
        <v>874</v>
      </c>
      <c r="O336" s="59" t="s">
        <v>875</v>
      </c>
      <c r="P336" s="58" t="s">
        <v>876</v>
      </c>
      <c r="Q336" s="61">
        <v>1100001</v>
      </c>
      <c r="R336" s="58">
        <v>0</v>
      </c>
      <c r="S336" s="58" t="s">
        <v>206</v>
      </c>
      <c r="T336" s="58">
        <v>1</v>
      </c>
      <c r="U336" s="58" t="s">
        <v>877</v>
      </c>
      <c r="V336" s="19" t="s">
        <v>785</v>
      </c>
      <c r="W336" s="58" t="s">
        <v>878</v>
      </c>
      <c r="X336" s="57">
        <v>15</v>
      </c>
      <c r="Y336" s="19" t="s">
        <v>975</v>
      </c>
      <c r="Z336" s="19" t="s">
        <v>976</v>
      </c>
      <c r="AA336" s="19" t="s">
        <v>977</v>
      </c>
      <c r="AB336" s="19">
        <v>8</v>
      </c>
      <c r="AC336" s="43" t="b">
        <v>0</v>
      </c>
      <c r="AD336" s="44"/>
      <c r="AE336" s="44">
        <v>5</v>
      </c>
      <c r="AF336" s="44"/>
      <c r="AG336" s="45" t="s">
        <v>646</v>
      </c>
      <c r="AH336" s="45" t="s">
        <v>604</v>
      </c>
      <c r="AI336" s="44"/>
    </row>
    <row r="337" spans="1:35" s="4" customFormat="1" x14ac:dyDescent="0.25">
      <c r="A337" s="57">
        <v>130517</v>
      </c>
      <c r="B337" s="57" t="s">
        <v>1014</v>
      </c>
      <c r="C337" s="57" t="s">
        <v>870</v>
      </c>
      <c r="D337" s="57" t="s">
        <v>871</v>
      </c>
      <c r="E337" s="57" t="s">
        <v>872</v>
      </c>
      <c r="F337" s="57" t="s">
        <v>873</v>
      </c>
      <c r="G337" s="58">
        <v>3</v>
      </c>
      <c r="H337" s="58">
        <v>4</v>
      </c>
      <c r="I337" s="58">
        <v>3</v>
      </c>
      <c r="J337" s="58">
        <v>17</v>
      </c>
      <c r="K337" s="58">
        <v>1240013</v>
      </c>
      <c r="L337" s="58">
        <v>600</v>
      </c>
      <c r="M337" s="58">
        <v>6047</v>
      </c>
      <c r="N337" s="58" t="s">
        <v>874</v>
      </c>
      <c r="O337" s="59" t="s">
        <v>875</v>
      </c>
      <c r="P337" s="58" t="s">
        <v>876</v>
      </c>
      <c r="Q337" s="61">
        <v>1100001</v>
      </c>
      <c r="R337" s="58">
        <v>0</v>
      </c>
      <c r="S337" s="58" t="s">
        <v>206</v>
      </c>
      <c r="T337" s="58">
        <v>1</v>
      </c>
      <c r="U337" s="58" t="s">
        <v>877</v>
      </c>
      <c r="V337" s="19" t="s">
        <v>785</v>
      </c>
      <c r="W337" s="58" t="s">
        <v>878</v>
      </c>
      <c r="X337" s="57">
        <v>15</v>
      </c>
      <c r="Y337" s="19" t="s">
        <v>979</v>
      </c>
      <c r="Z337" s="19" t="s">
        <v>980</v>
      </c>
      <c r="AA337" s="19" t="s">
        <v>981</v>
      </c>
      <c r="AB337" s="19">
        <v>8</v>
      </c>
      <c r="AC337" s="43" t="b">
        <v>0</v>
      </c>
      <c r="AD337" s="44"/>
      <c r="AE337" s="44">
        <v>5</v>
      </c>
      <c r="AF337" s="44"/>
      <c r="AG337" s="45" t="s">
        <v>646</v>
      </c>
      <c r="AH337" s="45" t="s">
        <v>604</v>
      </c>
      <c r="AI337" s="44"/>
    </row>
    <row r="338" spans="1:35" s="4" customFormat="1" x14ac:dyDescent="0.25">
      <c r="A338" s="57">
        <v>130518</v>
      </c>
      <c r="B338" s="57" t="s">
        <v>1015</v>
      </c>
      <c r="C338" s="57" t="s">
        <v>870</v>
      </c>
      <c r="D338" s="57" t="s">
        <v>871</v>
      </c>
      <c r="E338" s="57" t="s">
        <v>872</v>
      </c>
      <c r="F338" s="57" t="s">
        <v>873</v>
      </c>
      <c r="G338" s="58">
        <v>3</v>
      </c>
      <c r="H338" s="58">
        <v>4</v>
      </c>
      <c r="I338" s="58">
        <v>3</v>
      </c>
      <c r="J338" s="58">
        <v>18</v>
      </c>
      <c r="K338" s="58">
        <v>1360878</v>
      </c>
      <c r="L338" s="58">
        <v>600</v>
      </c>
      <c r="M338" s="58">
        <v>6048</v>
      </c>
      <c r="N338" s="58" t="s">
        <v>874</v>
      </c>
      <c r="O338" s="59" t="s">
        <v>875</v>
      </c>
      <c r="P338" s="58" t="s">
        <v>876</v>
      </c>
      <c r="Q338" s="61">
        <v>1100001</v>
      </c>
      <c r="R338" s="58">
        <v>0</v>
      </c>
      <c r="S338" s="58" t="s">
        <v>206</v>
      </c>
      <c r="T338" s="58">
        <v>1</v>
      </c>
      <c r="U338" s="58" t="s">
        <v>877</v>
      </c>
      <c r="V338" s="19" t="s">
        <v>785</v>
      </c>
      <c r="W338" s="58" t="s">
        <v>878</v>
      </c>
      <c r="X338" s="57">
        <v>15</v>
      </c>
      <c r="Y338" s="19" t="s">
        <v>983</v>
      </c>
      <c r="Z338" s="19" t="s">
        <v>984</v>
      </c>
      <c r="AA338" s="19" t="s">
        <v>985</v>
      </c>
      <c r="AB338" s="19">
        <v>8</v>
      </c>
      <c r="AC338" s="43" t="b">
        <v>0</v>
      </c>
      <c r="AD338" s="44"/>
      <c r="AE338" s="44">
        <v>5</v>
      </c>
      <c r="AF338" s="44"/>
      <c r="AG338" s="45" t="s">
        <v>646</v>
      </c>
      <c r="AH338" s="45" t="s">
        <v>604</v>
      </c>
      <c r="AI338" s="44"/>
    </row>
    <row r="339" spans="1:35" s="4" customFormat="1" x14ac:dyDescent="0.25">
      <c r="A339" s="57">
        <v>130519</v>
      </c>
      <c r="B339" s="57" t="s">
        <v>1016</v>
      </c>
      <c r="C339" s="57" t="s">
        <v>870</v>
      </c>
      <c r="D339" s="57" t="s">
        <v>871</v>
      </c>
      <c r="E339" s="57" t="s">
        <v>872</v>
      </c>
      <c r="F339" s="57" t="s">
        <v>873</v>
      </c>
      <c r="G339" s="58">
        <v>3</v>
      </c>
      <c r="H339" s="58">
        <v>4</v>
      </c>
      <c r="I339" s="58">
        <v>3</v>
      </c>
      <c r="J339" s="58">
        <v>19</v>
      </c>
      <c r="K339" s="58">
        <v>1481743</v>
      </c>
      <c r="L339" s="58">
        <v>600</v>
      </c>
      <c r="M339" s="58">
        <v>6049</v>
      </c>
      <c r="N339" s="58" t="s">
        <v>874</v>
      </c>
      <c r="O339" s="59" t="s">
        <v>875</v>
      </c>
      <c r="P339" s="58" t="s">
        <v>876</v>
      </c>
      <c r="Q339" s="61">
        <v>1100001</v>
      </c>
      <c r="R339" s="58">
        <v>0</v>
      </c>
      <c r="S339" s="58" t="s">
        <v>206</v>
      </c>
      <c r="T339" s="58">
        <v>1</v>
      </c>
      <c r="U339" s="58" t="s">
        <v>877</v>
      </c>
      <c r="V339" s="19" t="s">
        <v>785</v>
      </c>
      <c r="W339" s="58" t="s">
        <v>878</v>
      </c>
      <c r="X339" s="57">
        <v>15</v>
      </c>
      <c r="Y339" s="19" t="s">
        <v>987</v>
      </c>
      <c r="Z339" s="19" t="s">
        <v>988</v>
      </c>
      <c r="AA339" s="19" t="s">
        <v>989</v>
      </c>
      <c r="AB339" s="19">
        <v>8</v>
      </c>
      <c r="AC339" s="43" t="b">
        <v>0</v>
      </c>
      <c r="AD339" s="44"/>
      <c r="AE339" s="44">
        <v>5</v>
      </c>
      <c r="AF339" s="44"/>
      <c r="AG339" s="45" t="s">
        <v>646</v>
      </c>
      <c r="AH339" s="45" t="s">
        <v>604</v>
      </c>
      <c r="AI339" s="44"/>
    </row>
    <row r="340" spans="1:35" s="4" customFormat="1" x14ac:dyDescent="0.25">
      <c r="A340" s="57">
        <v>130520</v>
      </c>
      <c r="B340" s="57" t="s">
        <v>1017</v>
      </c>
      <c r="C340" s="57" t="s">
        <v>870</v>
      </c>
      <c r="D340" s="57" t="s">
        <v>871</v>
      </c>
      <c r="E340" s="57" t="s">
        <v>872</v>
      </c>
      <c r="F340" s="57" t="s">
        <v>873</v>
      </c>
      <c r="G340" s="58">
        <v>3</v>
      </c>
      <c r="H340" s="58">
        <v>4</v>
      </c>
      <c r="I340" s="58">
        <v>3</v>
      </c>
      <c r="J340" s="58">
        <v>20</v>
      </c>
      <c r="K340" s="58">
        <v>1602608</v>
      </c>
      <c r="L340" s="58">
        <v>600</v>
      </c>
      <c r="M340" s="58">
        <v>6050</v>
      </c>
      <c r="N340" s="58" t="s">
        <v>874</v>
      </c>
      <c r="O340" s="59" t="s">
        <v>875</v>
      </c>
      <c r="P340" s="58" t="s">
        <v>876</v>
      </c>
      <c r="Q340" s="61">
        <v>1100001</v>
      </c>
      <c r="R340" s="58">
        <v>0</v>
      </c>
      <c r="S340" s="58" t="s">
        <v>206</v>
      </c>
      <c r="T340" s="58">
        <v>1</v>
      </c>
      <c r="U340" s="58" t="s">
        <v>877</v>
      </c>
      <c r="V340" s="19" t="s">
        <v>785</v>
      </c>
      <c r="W340" s="58" t="s">
        <v>878</v>
      </c>
      <c r="X340" s="57">
        <v>15</v>
      </c>
      <c r="Y340" s="19" t="s">
        <v>991</v>
      </c>
      <c r="Z340" s="19" t="s">
        <v>992</v>
      </c>
      <c r="AA340" s="19" t="s">
        <v>993</v>
      </c>
      <c r="AB340" s="19">
        <v>8</v>
      </c>
      <c r="AC340" s="43" t="b">
        <v>0</v>
      </c>
      <c r="AD340" s="44"/>
      <c r="AE340" s="44">
        <v>5</v>
      </c>
      <c r="AF340" s="44"/>
      <c r="AG340" s="45" t="s">
        <v>646</v>
      </c>
      <c r="AH340" s="45" t="s">
        <v>604</v>
      </c>
      <c r="AI340" s="44"/>
    </row>
    <row r="341" spans="1:35" s="4" customFormat="1" x14ac:dyDescent="0.25">
      <c r="A341" s="57">
        <v>130521</v>
      </c>
      <c r="B341" s="57" t="s">
        <v>1018</v>
      </c>
      <c r="C341" s="57" t="s">
        <v>870</v>
      </c>
      <c r="D341" s="57" t="s">
        <v>871</v>
      </c>
      <c r="E341" s="57" t="s">
        <v>872</v>
      </c>
      <c r="F341" s="57" t="s">
        <v>873</v>
      </c>
      <c r="G341" s="58">
        <v>3</v>
      </c>
      <c r="H341" s="58">
        <v>4</v>
      </c>
      <c r="I341" s="58">
        <v>3</v>
      </c>
      <c r="J341" s="58">
        <v>21</v>
      </c>
      <c r="K341" s="58">
        <v>1722810</v>
      </c>
      <c r="L341" s="58">
        <v>600</v>
      </c>
      <c r="M341" s="58">
        <v>6051</v>
      </c>
      <c r="N341" s="58" t="s">
        <v>874</v>
      </c>
      <c r="O341" s="59" t="s">
        <v>875</v>
      </c>
      <c r="P341" s="58" t="s">
        <v>876</v>
      </c>
      <c r="Q341" s="61">
        <v>1100001</v>
      </c>
      <c r="R341" s="58">
        <v>0</v>
      </c>
      <c r="S341" s="58" t="s">
        <v>206</v>
      </c>
      <c r="T341" s="58">
        <v>1</v>
      </c>
      <c r="U341" s="58" t="s">
        <v>877</v>
      </c>
      <c r="V341" s="19" t="s">
        <v>785</v>
      </c>
      <c r="W341" s="58" t="s">
        <v>878</v>
      </c>
      <c r="X341" s="57">
        <v>15</v>
      </c>
      <c r="Y341" s="19" t="s">
        <v>995</v>
      </c>
      <c r="Z341" s="19" t="s">
        <v>996</v>
      </c>
      <c r="AA341" s="19" t="s">
        <v>997</v>
      </c>
      <c r="AB341" s="19">
        <v>8</v>
      </c>
      <c r="AC341" s="43" t="b">
        <v>0</v>
      </c>
      <c r="AD341" s="44"/>
      <c r="AE341" s="44">
        <v>5</v>
      </c>
      <c r="AF341" s="44"/>
      <c r="AG341" s="45" t="s">
        <v>646</v>
      </c>
      <c r="AH341" s="45" t="s">
        <v>604</v>
      </c>
      <c r="AI341" s="44"/>
    </row>
    <row r="342" spans="1:35" s="4" customFormat="1" x14ac:dyDescent="0.25">
      <c r="A342" s="57">
        <v>130522</v>
      </c>
      <c r="B342" s="57" t="s">
        <v>1019</v>
      </c>
      <c r="C342" s="57" t="s">
        <v>870</v>
      </c>
      <c r="D342" s="57" t="s">
        <v>871</v>
      </c>
      <c r="E342" s="57" t="s">
        <v>872</v>
      </c>
      <c r="F342" s="57" t="s">
        <v>873</v>
      </c>
      <c r="G342" s="58">
        <v>3</v>
      </c>
      <c r="H342" s="58">
        <v>4</v>
      </c>
      <c r="I342" s="58">
        <v>3</v>
      </c>
      <c r="J342" s="58">
        <v>22</v>
      </c>
      <c r="K342" s="58">
        <v>1883860</v>
      </c>
      <c r="L342" s="58">
        <v>600</v>
      </c>
      <c r="M342" s="58">
        <v>6052</v>
      </c>
      <c r="N342" s="58" t="s">
        <v>874</v>
      </c>
      <c r="O342" s="59" t="s">
        <v>875</v>
      </c>
      <c r="P342" s="58" t="s">
        <v>876</v>
      </c>
      <c r="Q342" s="61">
        <v>1100001</v>
      </c>
      <c r="R342" s="58">
        <v>0</v>
      </c>
      <c r="S342" s="58" t="s">
        <v>206</v>
      </c>
      <c r="T342" s="58">
        <v>1</v>
      </c>
      <c r="U342" s="58" t="s">
        <v>877</v>
      </c>
      <c r="V342" s="19" t="s">
        <v>785</v>
      </c>
      <c r="W342" s="58" t="s">
        <v>878</v>
      </c>
      <c r="X342" s="57">
        <v>15</v>
      </c>
      <c r="Y342" s="19" t="s">
        <v>1020</v>
      </c>
      <c r="Z342" s="19" t="s">
        <v>1021</v>
      </c>
      <c r="AA342" s="19" t="s">
        <v>1022</v>
      </c>
      <c r="AB342" s="19">
        <v>8</v>
      </c>
      <c r="AC342" s="43" t="b">
        <v>0</v>
      </c>
      <c r="AD342" s="44"/>
      <c r="AE342" s="44">
        <v>5</v>
      </c>
      <c r="AF342" s="44"/>
      <c r="AG342" s="45" t="s">
        <v>646</v>
      </c>
      <c r="AH342" s="45" t="s">
        <v>604</v>
      </c>
      <c r="AI342" s="44"/>
    </row>
    <row r="343" spans="1:35" s="4" customFormat="1" x14ac:dyDescent="0.25">
      <c r="A343" s="57">
        <v>130523</v>
      </c>
      <c r="B343" s="57" t="s">
        <v>1023</v>
      </c>
      <c r="C343" s="57" t="s">
        <v>870</v>
      </c>
      <c r="D343" s="57" t="s">
        <v>871</v>
      </c>
      <c r="E343" s="57" t="s">
        <v>872</v>
      </c>
      <c r="F343" s="57" t="s">
        <v>873</v>
      </c>
      <c r="G343" s="58">
        <v>3</v>
      </c>
      <c r="H343" s="58">
        <v>4</v>
      </c>
      <c r="I343" s="58">
        <v>3</v>
      </c>
      <c r="J343" s="58">
        <v>23</v>
      </c>
      <c r="K343" s="58">
        <v>2044910</v>
      </c>
      <c r="L343" s="58">
        <v>600</v>
      </c>
      <c r="M343" s="58">
        <v>6053</v>
      </c>
      <c r="N343" s="58" t="s">
        <v>874</v>
      </c>
      <c r="O343" s="59" t="s">
        <v>875</v>
      </c>
      <c r="P343" s="58" t="s">
        <v>876</v>
      </c>
      <c r="Q343" s="61">
        <v>1100001</v>
      </c>
      <c r="R343" s="58">
        <v>0</v>
      </c>
      <c r="S343" s="58" t="s">
        <v>206</v>
      </c>
      <c r="T343" s="58">
        <v>1</v>
      </c>
      <c r="U343" s="58" t="s">
        <v>877</v>
      </c>
      <c r="V343" s="19" t="s">
        <v>785</v>
      </c>
      <c r="W343" s="58" t="s">
        <v>878</v>
      </c>
      <c r="X343" s="57">
        <v>15</v>
      </c>
      <c r="Y343" s="19" t="s">
        <v>1024</v>
      </c>
      <c r="Z343" s="19" t="s">
        <v>1025</v>
      </c>
      <c r="AA343" s="19" t="s">
        <v>1026</v>
      </c>
      <c r="AB343" s="19">
        <v>8</v>
      </c>
      <c r="AC343" s="43" t="b">
        <v>0</v>
      </c>
      <c r="AD343" s="44"/>
      <c r="AE343" s="44">
        <v>5</v>
      </c>
      <c r="AF343" s="44"/>
      <c r="AG343" s="45" t="s">
        <v>646</v>
      </c>
      <c r="AH343" s="45" t="s">
        <v>604</v>
      </c>
      <c r="AI343" s="44"/>
    </row>
    <row r="344" spans="1:35" s="4" customFormat="1" x14ac:dyDescent="0.25">
      <c r="A344" s="57">
        <v>130524</v>
      </c>
      <c r="B344" s="57" t="s">
        <v>1027</v>
      </c>
      <c r="C344" s="57" t="s">
        <v>870</v>
      </c>
      <c r="D344" s="57" t="s">
        <v>871</v>
      </c>
      <c r="E344" s="57" t="s">
        <v>872</v>
      </c>
      <c r="F344" s="57" t="s">
        <v>873</v>
      </c>
      <c r="G344" s="58">
        <v>3</v>
      </c>
      <c r="H344" s="58">
        <v>4</v>
      </c>
      <c r="I344" s="58">
        <v>3</v>
      </c>
      <c r="J344" s="58">
        <v>24</v>
      </c>
      <c r="K344" s="58">
        <v>2205960</v>
      </c>
      <c r="L344" s="58">
        <v>600</v>
      </c>
      <c r="M344" s="58">
        <v>6054</v>
      </c>
      <c r="N344" s="58" t="s">
        <v>874</v>
      </c>
      <c r="O344" s="59" t="s">
        <v>875</v>
      </c>
      <c r="P344" s="58" t="s">
        <v>876</v>
      </c>
      <c r="Q344" s="61">
        <v>1100001</v>
      </c>
      <c r="R344" s="58">
        <v>0</v>
      </c>
      <c r="S344" s="58" t="s">
        <v>206</v>
      </c>
      <c r="T344" s="58">
        <v>1</v>
      </c>
      <c r="U344" s="58" t="s">
        <v>877</v>
      </c>
      <c r="V344" s="19" t="s">
        <v>785</v>
      </c>
      <c r="W344" s="58" t="s">
        <v>878</v>
      </c>
      <c r="X344" s="57">
        <v>15</v>
      </c>
      <c r="Y344" s="19" t="s">
        <v>1028</v>
      </c>
      <c r="Z344" s="19" t="s">
        <v>1029</v>
      </c>
      <c r="AA344" s="19" t="s">
        <v>1030</v>
      </c>
      <c r="AB344" s="19">
        <v>8</v>
      </c>
      <c r="AC344" s="43" t="b">
        <v>0</v>
      </c>
      <c r="AD344" s="44"/>
      <c r="AE344" s="44">
        <v>5</v>
      </c>
      <c r="AF344" s="44"/>
      <c r="AG344" s="45" t="s">
        <v>646</v>
      </c>
      <c r="AH344" s="45" t="s">
        <v>604</v>
      </c>
      <c r="AI344" s="44"/>
    </row>
    <row r="345" spans="1:35" s="4" customFormat="1" x14ac:dyDescent="0.25">
      <c r="A345" s="57">
        <v>130525</v>
      </c>
      <c r="B345" s="57" t="s">
        <v>1031</v>
      </c>
      <c r="C345" s="57" t="s">
        <v>870</v>
      </c>
      <c r="D345" s="57" t="s">
        <v>871</v>
      </c>
      <c r="E345" s="57" t="s">
        <v>872</v>
      </c>
      <c r="F345" s="57" t="s">
        <v>873</v>
      </c>
      <c r="G345" s="58">
        <v>3</v>
      </c>
      <c r="H345" s="58">
        <v>4</v>
      </c>
      <c r="I345" s="58">
        <v>3</v>
      </c>
      <c r="J345" s="58">
        <v>25</v>
      </c>
      <c r="K345" s="58">
        <v>2367010</v>
      </c>
      <c r="L345" s="58">
        <v>600</v>
      </c>
      <c r="M345" s="58">
        <v>6055</v>
      </c>
      <c r="N345" s="58" t="s">
        <v>874</v>
      </c>
      <c r="O345" s="59" t="s">
        <v>875</v>
      </c>
      <c r="P345" s="58" t="s">
        <v>876</v>
      </c>
      <c r="Q345" s="61">
        <v>1100001</v>
      </c>
      <c r="R345" s="58">
        <v>0</v>
      </c>
      <c r="S345" s="58" t="s">
        <v>206</v>
      </c>
      <c r="T345" s="58">
        <v>1</v>
      </c>
      <c r="U345" s="58" t="s">
        <v>877</v>
      </c>
      <c r="V345" s="19" t="s">
        <v>785</v>
      </c>
      <c r="W345" s="58" t="s">
        <v>878</v>
      </c>
      <c r="X345" s="57">
        <v>15</v>
      </c>
      <c r="Y345" s="19" t="s">
        <v>1032</v>
      </c>
      <c r="Z345" s="19" t="s">
        <v>1033</v>
      </c>
      <c r="AA345" s="19" t="s">
        <v>1034</v>
      </c>
      <c r="AB345" s="19">
        <v>8</v>
      </c>
      <c r="AC345" s="43" t="b">
        <v>0</v>
      </c>
      <c r="AD345" s="44"/>
      <c r="AE345" s="44">
        <v>5</v>
      </c>
      <c r="AF345" s="44"/>
      <c r="AG345" s="45" t="s">
        <v>646</v>
      </c>
      <c r="AH345" s="45" t="s">
        <v>604</v>
      </c>
      <c r="AI345" s="44"/>
    </row>
    <row r="346" spans="1:35" s="4" customFormat="1" x14ac:dyDescent="0.25">
      <c r="A346" s="57">
        <v>130526</v>
      </c>
      <c r="B346" s="57" t="s">
        <v>1035</v>
      </c>
      <c r="C346" s="57" t="s">
        <v>870</v>
      </c>
      <c r="D346" s="57" t="s">
        <v>871</v>
      </c>
      <c r="E346" s="57" t="s">
        <v>872</v>
      </c>
      <c r="F346" s="57" t="s">
        <v>873</v>
      </c>
      <c r="G346" s="58">
        <v>3</v>
      </c>
      <c r="H346" s="58">
        <v>4</v>
      </c>
      <c r="I346" s="58">
        <v>3</v>
      </c>
      <c r="J346" s="58">
        <v>26</v>
      </c>
      <c r="K346" s="58">
        <v>2528060</v>
      </c>
      <c r="L346" s="58">
        <v>600</v>
      </c>
      <c r="M346" s="58">
        <v>6056</v>
      </c>
      <c r="N346" s="58" t="s">
        <v>874</v>
      </c>
      <c r="O346" s="59" t="s">
        <v>875</v>
      </c>
      <c r="P346" s="58" t="s">
        <v>876</v>
      </c>
      <c r="Q346" s="61">
        <v>1100001</v>
      </c>
      <c r="R346" s="58">
        <v>0</v>
      </c>
      <c r="S346" s="58" t="s">
        <v>206</v>
      </c>
      <c r="T346" s="58">
        <v>1</v>
      </c>
      <c r="U346" s="58" t="s">
        <v>877</v>
      </c>
      <c r="V346" s="19" t="s">
        <v>785</v>
      </c>
      <c r="W346" s="58" t="s">
        <v>878</v>
      </c>
      <c r="X346" s="57">
        <v>15</v>
      </c>
      <c r="Y346" s="19" t="s">
        <v>1036</v>
      </c>
      <c r="Z346" s="19" t="s">
        <v>1037</v>
      </c>
      <c r="AA346" s="19" t="s">
        <v>1038</v>
      </c>
      <c r="AB346" s="19">
        <v>8</v>
      </c>
      <c r="AC346" s="43" t="b">
        <v>0</v>
      </c>
      <c r="AD346" s="44"/>
      <c r="AE346" s="44">
        <v>5</v>
      </c>
      <c r="AF346" s="44"/>
      <c r="AG346" s="45" t="s">
        <v>646</v>
      </c>
      <c r="AH346" s="45" t="s">
        <v>604</v>
      </c>
      <c r="AI346" s="44"/>
    </row>
    <row r="347" spans="1:35" s="4" customFormat="1" x14ac:dyDescent="0.25">
      <c r="A347" s="57">
        <v>130527</v>
      </c>
      <c r="B347" s="57" t="s">
        <v>1039</v>
      </c>
      <c r="C347" s="57" t="s">
        <v>870</v>
      </c>
      <c r="D347" s="57" t="s">
        <v>871</v>
      </c>
      <c r="E347" s="57" t="s">
        <v>872</v>
      </c>
      <c r="F347" s="57" t="s">
        <v>873</v>
      </c>
      <c r="G347" s="58">
        <v>3</v>
      </c>
      <c r="H347" s="58">
        <v>4</v>
      </c>
      <c r="I347" s="58">
        <v>3</v>
      </c>
      <c r="J347" s="58">
        <v>27</v>
      </c>
      <c r="K347" s="58">
        <v>2689110</v>
      </c>
      <c r="L347" s="58">
        <v>600</v>
      </c>
      <c r="M347" s="58">
        <v>6057</v>
      </c>
      <c r="N347" s="58" t="s">
        <v>874</v>
      </c>
      <c r="O347" s="59" t="s">
        <v>875</v>
      </c>
      <c r="P347" s="58" t="s">
        <v>876</v>
      </c>
      <c r="Q347" s="61">
        <v>1100001</v>
      </c>
      <c r="R347" s="58">
        <v>0</v>
      </c>
      <c r="S347" s="58" t="s">
        <v>206</v>
      </c>
      <c r="T347" s="58">
        <v>1</v>
      </c>
      <c r="U347" s="58" t="s">
        <v>877</v>
      </c>
      <c r="V347" s="19" t="s">
        <v>785</v>
      </c>
      <c r="W347" s="58" t="s">
        <v>878</v>
      </c>
      <c r="X347" s="57">
        <v>15</v>
      </c>
      <c r="Y347" s="19" t="s">
        <v>1040</v>
      </c>
      <c r="Z347" s="19" t="s">
        <v>1041</v>
      </c>
      <c r="AA347" s="19" t="s">
        <v>1042</v>
      </c>
      <c r="AB347" s="19">
        <v>8</v>
      </c>
      <c r="AC347" s="43" t="b">
        <v>0</v>
      </c>
      <c r="AD347" s="44"/>
      <c r="AE347" s="44">
        <v>5</v>
      </c>
      <c r="AF347" s="44"/>
      <c r="AG347" s="45" t="s">
        <v>646</v>
      </c>
      <c r="AH347" s="45" t="s">
        <v>604</v>
      </c>
      <c r="AI347" s="44"/>
    </row>
    <row r="348" spans="1:35" s="4" customFormat="1" x14ac:dyDescent="0.25">
      <c r="A348" s="57">
        <v>130528</v>
      </c>
      <c r="B348" s="57" t="s">
        <v>1043</v>
      </c>
      <c r="C348" s="57" t="s">
        <v>870</v>
      </c>
      <c r="D348" s="57" t="s">
        <v>871</v>
      </c>
      <c r="E348" s="57" t="s">
        <v>872</v>
      </c>
      <c r="F348" s="57" t="s">
        <v>873</v>
      </c>
      <c r="G348" s="58">
        <v>3</v>
      </c>
      <c r="H348" s="58">
        <v>4</v>
      </c>
      <c r="I348" s="58">
        <v>3</v>
      </c>
      <c r="J348" s="58">
        <v>28</v>
      </c>
      <c r="K348" s="58">
        <v>2850160</v>
      </c>
      <c r="L348" s="58">
        <v>600</v>
      </c>
      <c r="M348" s="58">
        <v>6058</v>
      </c>
      <c r="N348" s="58" t="s">
        <v>874</v>
      </c>
      <c r="O348" s="59" t="s">
        <v>875</v>
      </c>
      <c r="P348" s="58" t="s">
        <v>876</v>
      </c>
      <c r="Q348" s="61">
        <v>1100001</v>
      </c>
      <c r="R348" s="58">
        <v>0</v>
      </c>
      <c r="S348" s="58" t="s">
        <v>206</v>
      </c>
      <c r="T348" s="58">
        <v>1</v>
      </c>
      <c r="U348" s="58" t="s">
        <v>877</v>
      </c>
      <c r="V348" s="19" t="s">
        <v>785</v>
      </c>
      <c r="W348" s="58" t="s">
        <v>878</v>
      </c>
      <c r="X348" s="57">
        <v>15</v>
      </c>
      <c r="Y348" s="19" t="s">
        <v>1044</v>
      </c>
      <c r="Z348" s="19" t="s">
        <v>1045</v>
      </c>
      <c r="AA348" s="19" t="s">
        <v>1046</v>
      </c>
      <c r="AB348" s="19">
        <v>8</v>
      </c>
      <c r="AC348" s="43" t="b">
        <v>0</v>
      </c>
      <c r="AD348" s="44"/>
      <c r="AE348" s="44">
        <v>5</v>
      </c>
      <c r="AF348" s="44"/>
      <c r="AG348" s="45" t="s">
        <v>646</v>
      </c>
      <c r="AH348" s="45" t="s">
        <v>604</v>
      </c>
      <c r="AI348" s="44"/>
    </row>
    <row r="349" spans="1:35" s="4" customFormat="1" x14ac:dyDescent="0.25">
      <c r="A349" s="57">
        <v>130529</v>
      </c>
      <c r="B349" s="57" t="s">
        <v>1047</v>
      </c>
      <c r="C349" s="57" t="s">
        <v>870</v>
      </c>
      <c r="D349" s="57" t="s">
        <v>871</v>
      </c>
      <c r="E349" s="57" t="s">
        <v>872</v>
      </c>
      <c r="F349" s="57" t="s">
        <v>873</v>
      </c>
      <c r="G349" s="58">
        <v>3</v>
      </c>
      <c r="H349" s="58">
        <v>4</v>
      </c>
      <c r="I349" s="58">
        <v>3</v>
      </c>
      <c r="J349" s="58">
        <v>29</v>
      </c>
      <c r="K349" s="58">
        <v>3011210</v>
      </c>
      <c r="L349" s="58">
        <v>600</v>
      </c>
      <c r="M349" s="58">
        <v>6059</v>
      </c>
      <c r="N349" s="58" t="s">
        <v>874</v>
      </c>
      <c r="O349" s="59" t="s">
        <v>875</v>
      </c>
      <c r="P349" s="58" t="s">
        <v>876</v>
      </c>
      <c r="Q349" s="61">
        <v>1100001</v>
      </c>
      <c r="R349" s="58">
        <v>0</v>
      </c>
      <c r="S349" s="58" t="s">
        <v>206</v>
      </c>
      <c r="T349" s="58">
        <v>1</v>
      </c>
      <c r="U349" s="58" t="s">
        <v>877</v>
      </c>
      <c r="V349" s="19" t="s">
        <v>785</v>
      </c>
      <c r="W349" s="58" t="s">
        <v>878</v>
      </c>
      <c r="X349" s="57">
        <v>15</v>
      </c>
      <c r="Y349" s="19" t="s">
        <v>1048</v>
      </c>
      <c r="Z349" s="19" t="s">
        <v>1049</v>
      </c>
      <c r="AA349" s="19" t="s">
        <v>1050</v>
      </c>
      <c r="AB349" s="19">
        <v>8</v>
      </c>
      <c r="AC349" s="43" t="b">
        <v>0</v>
      </c>
      <c r="AD349" s="44"/>
      <c r="AE349" s="44">
        <v>5</v>
      </c>
      <c r="AF349" s="44"/>
      <c r="AG349" s="45" t="s">
        <v>646</v>
      </c>
      <c r="AH349" s="45" t="s">
        <v>604</v>
      </c>
      <c r="AI349" s="44"/>
    </row>
    <row r="350" spans="1:35" s="4" customFormat="1" x14ac:dyDescent="0.25">
      <c r="A350" s="57">
        <v>130530</v>
      </c>
      <c r="B350" s="57" t="s">
        <v>1051</v>
      </c>
      <c r="C350" s="57" t="s">
        <v>870</v>
      </c>
      <c r="D350" s="57" t="s">
        <v>871</v>
      </c>
      <c r="E350" s="57" t="s">
        <v>872</v>
      </c>
      <c r="F350" s="57" t="s">
        <v>873</v>
      </c>
      <c r="G350" s="58">
        <v>3</v>
      </c>
      <c r="H350" s="58">
        <v>4</v>
      </c>
      <c r="I350" s="58">
        <v>3</v>
      </c>
      <c r="J350" s="58">
        <v>30</v>
      </c>
      <c r="K350" s="58">
        <v>3171938</v>
      </c>
      <c r="L350" s="58">
        <v>600</v>
      </c>
      <c r="M350" s="58">
        <v>6060</v>
      </c>
      <c r="N350" s="58" t="s">
        <v>874</v>
      </c>
      <c r="O350" s="59" t="s">
        <v>875</v>
      </c>
      <c r="P350" s="58" t="s">
        <v>876</v>
      </c>
      <c r="Q350" s="61">
        <v>1100001</v>
      </c>
      <c r="R350" s="58">
        <v>0</v>
      </c>
      <c r="S350" s="58" t="s">
        <v>206</v>
      </c>
      <c r="T350" s="58">
        <v>1</v>
      </c>
      <c r="U350" s="58" t="s">
        <v>877</v>
      </c>
      <c r="V350" s="19" t="s">
        <v>785</v>
      </c>
      <c r="W350" s="58" t="s">
        <v>878</v>
      </c>
      <c r="X350" s="57">
        <v>15</v>
      </c>
      <c r="Y350" s="19" t="s">
        <v>1052</v>
      </c>
      <c r="Z350" s="19" t="s">
        <v>1053</v>
      </c>
      <c r="AA350" s="19" t="s">
        <v>1054</v>
      </c>
      <c r="AB350" s="19">
        <v>8</v>
      </c>
      <c r="AC350" s="43" t="b">
        <v>0</v>
      </c>
      <c r="AD350" s="44"/>
      <c r="AE350" s="44">
        <v>5</v>
      </c>
      <c r="AF350" s="44"/>
      <c r="AG350" s="45" t="s">
        <v>646</v>
      </c>
      <c r="AH350" s="45" t="s">
        <v>604</v>
      </c>
      <c r="AI350" s="44"/>
    </row>
    <row r="351" spans="1:35" s="4" customFormat="1" x14ac:dyDescent="0.25">
      <c r="A351" s="57">
        <v>130601</v>
      </c>
      <c r="B351" s="57" t="s">
        <v>1055</v>
      </c>
      <c r="C351" s="57" t="s">
        <v>870</v>
      </c>
      <c r="D351" s="57" t="s">
        <v>871</v>
      </c>
      <c r="E351" s="57" t="s">
        <v>872</v>
      </c>
      <c r="F351" s="57" t="s">
        <v>873</v>
      </c>
      <c r="G351" s="58">
        <v>3</v>
      </c>
      <c r="H351" s="58">
        <v>4</v>
      </c>
      <c r="I351" s="58">
        <v>3</v>
      </c>
      <c r="J351" s="58">
        <v>1</v>
      </c>
      <c r="K351" s="58">
        <v>397388</v>
      </c>
      <c r="L351" s="58">
        <v>600</v>
      </c>
      <c r="M351" s="58">
        <v>6061</v>
      </c>
      <c r="N351" s="58" t="s">
        <v>874</v>
      </c>
      <c r="O351" s="59" t="s">
        <v>875</v>
      </c>
      <c r="P351" s="58" t="s">
        <v>876</v>
      </c>
      <c r="Q351" s="61">
        <v>1100001</v>
      </c>
      <c r="R351" s="58">
        <v>0</v>
      </c>
      <c r="S351" s="58" t="s">
        <v>206</v>
      </c>
      <c r="T351" s="58">
        <v>1</v>
      </c>
      <c r="U351" s="58" t="s">
        <v>877</v>
      </c>
      <c r="V351" s="19" t="s">
        <v>785</v>
      </c>
      <c r="W351" s="58" t="s">
        <v>878</v>
      </c>
      <c r="X351" s="57">
        <v>15</v>
      </c>
      <c r="Y351" s="19" t="s">
        <v>899</v>
      </c>
      <c r="Z351" s="19" t="s">
        <v>900</v>
      </c>
      <c r="AA351" s="19" t="s">
        <v>901</v>
      </c>
      <c r="AB351" s="19">
        <v>8</v>
      </c>
      <c r="AC351" s="43" t="b">
        <v>0</v>
      </c>
      <c r="AD351" s="44"/>
      <c r="AE351" s="44">
        <v>5</v>
      </c>
      <c r="AF351" s="44"/>
      <c r="AG351" s="45" t="s">
        <v>646</v>
      </c>
      <c r="AH351" s="45" t="s">
        <v>604</v>
      </c>
      <c r="AI351" s="44"/>
    </row>
    <row r="352" spans="1:35" s="4" customFormat="1" x14ac:dyDescent="0.25">
      <c r="A352" s="57">
        <v>130602</v>
      </c>
      <c r="B352" s="57" t="s">
        <v>1056</v>
      </c>
      <c r="C352" s="57" t="s">
        <v>870</v>
      </c>
      <c r="D352" s="57" t="s">
        <v>871</v>
      </c>
      <c r="E352" s="57" t="s">
        <v>872</v>
      </c>
      <c r="F352" s="57" t="s">
        <v>873</v>
      </c>
      <c r="G352" s="58">
        <v>3</v>
      </c>
      <c r="H352" s="58">
        <v>4</v>
      </c>
      <c r="I352" s="58">
        <v>3</v>
      </c>
      <c r="J352" s="58">
        <v>2</v>
      </c>
      <c r="K352" s="58">
        <v>429095</v>
      </c>
      <c r="L352" s="58">
        <v>600</v>
      </c>
      <c r="M352" s="58">
        <v>6062</v>
      </c>
      <c r="N352" s="58" t="s">
        <v>874</v>
      </c>
      <c r="O352" s="59" t="s">
        <v>875</v>
      </c>
      <c r="P352" s="58" t="s">
        <v>876</v>
      </c>
      <c r="Q352" s="61">
        <v>1100001</v>
      </c>
      <c r="R352" s="58">
        <v>0</v>
      </c>
      <c r="S352" s="58" t="s">
        <v>206</v>
      </c>
      <c r="T352" s="58">
        <v>1</v>
      </c>
      <c r="U352" s="58" t="s">
        <v>877</v>
      </c>
      <c r="V352" s="19" t="s">
        <v>785</v>
      </c>
      <c r="W352" s="58" t="s">
        <v>878</v>
      </c>
      <c r="X352" s="57">
        <v>15</v>
      </c>
      <c r="Y352" s="19" t="s">
        <v>907</v>
      </c>
      <c r="Z352" s="19" t="s">
        <v>908</v>
      </c>
      <c r="AA352" s="19" t="s">
        <v>909</v>
      </c>
      <c r="AB352" s="19">
        <v>8</v>
      </c>
      <c r="AC352" s="43" t="b">
        <v>0</v>
      </c>
      <c r="AD352" s="44"/>
      <c r="AE352" s="44">
        <v>5</v>
      </c>
      <c r="AF352" s="44"/>
      <c r="AG352" s="45" t="s">
        <v>646</v>
      </c>
      <c r="AH352" s="45" t="s">
        <v>604</v>
      </c>
      <c r="AI352" s="44"/>
    </row>
    <row r="353" spans="1:35" s="4" customFormat="1" x14ac:dyDescent="0.25">
      <c r="A353" s="57">
        <v>130603</v>
      </c>
      <c r="B353" s="57" t="s">
        <v>1057</v>
      </c>
      <c r="C353" s="57" t="s">
        <v>870</v>
      </c>
      <c r="D353" s="57" t="s">
        <v>871</v>
      </c>
      <c r="E353" s="57" t="s">
        <v>872</v>
      </c>
      <c r="F353" s="57" t="s">
        <v>873</v>
      </c>
      <c r="G353" s="58">
        <v>3</v>
      </c>
      <c r="H353" s="58">
        <v>4</v>
      </c>
      <c r="I353" s="58">
        <v>3</v>
      </c>
      <c r="J353" s="58">
        <v>3</v>
      </c>
      <c r="K353" s="58">
        <v>460831</v>
      </c>
      <c r="L353" s="58">
        <v>600</v>
      </c>
      <c r="M353" s="58">
        <v>6063</v>
      </c>
      <c r="N353" s="58" t="s">
        <v>874</v>
      </c>
      <c r="O353" s="59" t="s">
        <v>875</v>
      </c>
      <c r="P353" s="58" t="s">
        <v>876</v>
      </c>
      <c r="Q353" s="61">
        <v>1100001</v>
      </c>
      <c r="R353" s="58">
        <v>0</v>
      </c>
      <c r="S353" s="58" t="s">
        <v>206</v>
      </c>
      <c r="T353" s="58">
        <v>1</v>
      </c>
      <c r="U353" s="58" t="s">
        <v>877</v>
      </c>
      <c r="V353" s="19" t="s">
        <v>785</v>
      </c>
      <c r="W353" s="58" t="s">
        <v>878</v>
      </c>
      <c r="X353" s="57">
        <v>15</v>
      </c>
      <c r="Y353" s="19" t="s">
        <v>915</v>
      </c>
      <c r="Z353" s="19" t="s">
        <v>916</v>
      </c>
      <c r="AA353" s="19" t="s">
        <v>917</v>
      </c>
      <c r="AB353" s="19">
        <v>8</v>
      </c>
      <c r="AC353" s="43" t="b">
        <v>0</v>
      </c>
      <c r="AD353" s="44"/>
      <c r="AE353" s="44">
        <v>5</v>
      </c>
      <c r="AF353" s="44"/>
      <c r="AG353" s="45" t="s">
        <v>646</v>
      </c>
      <c r="AH353" s="45" t="s">
        <v>604</v>
      </c>
      <c r="AI353" s="44"/>
    </row>
    <row r="354" spans="1:35" s="4" customFormat="1" x14ac:dyDescent="0.25">
      <c r="A354" s="57">
        <v>130604</v>
      </c>
      <c r="B354" s="57" t="s">
        <v>1058</v>
      </c>
      <c r="C354" s="57" t="s">
        <v>870</v>
      </c>
      <c r="D354" s="57" t="s">
        <v>871</v>
      </c>
      <c r="E354" s="57" t="s">
        <v>872</v>
      </c>
      <c r="F354" s="57" t="s">
        <v>873</v>
      </c>
      <c r="G354" s="58">
        <v>3</v>
      </c>
      <c r="H354" s="58">
        <v>4</v>
      </c>
      <c r="I354" s="58">
        <v>3</v>
      </c>
      <c r="J354" s="58">
        <v>4</v>
      </c>
      <c r="K354" s="58">
        <v>492701</v>
      </c>
      <c r="L354" s="58">
        <v>600</v>
      </c>
      <c r="M354" s="58">
        <v>6064</v>
      </c>
      <c r="N354" s="58" t="s">
        <v>874</v>
      </c>
      <c r="O354" s="59" t="s">
        <v>875</v>
      </c>
      <c r="P354" s="58" t="s">
        <v>876</v>
      </c>
      <c r="Q354" s="61">
        <v>1100001</v>
      </c>
      <c r="R354" s="58">
        <v>0</v>
      </c>
      <c r="S354" s="58" t="s">
        <v>206</v>
      </c>
      <c r="T354" s="58">
        <v>1</v>
      </c>
      <c r="U354" s="58" t="s">
        <v>877</v>
      </c>
      <c r="V354" s="19" t="s">
        <v>785</v>
      </c>
      <c r="W354" s="58" t="s">
        <v>878</v>
      </c>
      <c r="X354" s="57">
        <v>15</v>
      </c>
      <c r="Y354" s="19" t="s">
        <v>923</v>
      </c>
      <c r="Z354" s="19" t="s">
        <v>924</v>
      </c>
      <c r="AA354" s="19" t="s">
        <v>925</v>
      </c>
      <c r="AB354" s="19">
        <v>8</v>
      </c>
      <c r="AC354" s="43" t="b">
        <v>0</v>
      </c>
      <c r="AD354" s="44"/>
      <c r="AE354" s="44">
        <v>5</v>
      </c>
      <c r="AF354" s="44"/>
      <c r="AG354" s="45" t="s">
        <v>646</v>
      </c>
      <c r="AH354" s="45" t="s">
        <v>604</v>
      </c>
      <c r="AI354" s="44"/>
    </row>
    <row r="355" spans="1:35" s="4" customFormat="1" x14ac:dyDescent="0.25">
      <c r="A355" s="57">
        <v>130605</v>
      </c>
      <c r="B355" s="57" t="s">
        <v>1059</v>
      </c>
      <c r="C355" s="57" t="s">
        <v>870</v>
      </c>
      <c r="D355" s="57" t="s">
        <v>871</v>
      </c>
      <c r="E355" s="57" t="s">
        <v>872</v>
      </c>
      <c r="F355" s="57" t="s">
        <v>873</v>
      </c>
      <c r="G355" s="58">
        <v>3</v>
      </c>
      <c r="H355" s="58">
        <v>4</v>
      </c>
      <c r="I355" s="58">
        <v>3</v>
      </c>
      <c r="J355" s="58">
        <v>5</v>
      </c>
      <c r="K355" s="58">
        <v>540375</v>
      </c>
      <c r="L355" s="58">
        <v>600</v>
      </c>
      <c r="M355" s="58">
        <v>6065</v>
      </c>
      <c r="N355" s="58" t="s">
        <v>874</v>
      </c>
      <c r="O355" s="59" t="s">
        <v>875</v>
      </c>
      <c r="P355" s="58" t="s">
        <v>876</v>
      </c>
      <c r="Q355" s="61">
        <v>1100001</v>
      </c>
      <c r="R355" s="58">
        <v>0</v>
      </c>
      <c r="S355" s="58" t="s">
        <v>206</v>
      </c>
      <c r="T355" s="58">
        <v>1</v>
      </c>
      <c r="U355" s="58" t="s">
        <v>877</v>
      </c>
      <c r="V355" s="19" t="s">
        <v>785</v>
      </c>
      <c r="W355" s="58" t="s">
        <v>878</v>
      </c>
      <c r="X355" s="57">
        <v>15</v>
      </c>
      <c r="Y355" s="19" t="s">
        <v>935</v>
      </c>
      <c r="Z355" s="19" t="s">
        <v>936</v>
      </c>
      <c r="AA355" s="19" t="s">
        <v>937</v>
      </c>
      <c r="AB355" s="19">
        <v>8</v>
      </c>
      <c r="AC355" s="43" t="b">
        <v>0</v>
      </c>
      <c r="AD355" s="44"/>
      <c r="AE355" s="44">
        <v>5</v>
      </c>
      <c r="AF355" s="44"/>
      <c r="AG355" s="45" t="s">
        <v>646</v>
      </c>
      <c r="AH355" s="45" t="s">
        <v>604</v>
      </c>
      <c r="AI355" s="44"/>
    </row>
    <row r="356" spans="1:35" s="4" customFormat="1" x14ac:dyDescent="0.25">
      <c r="A356" s="57">
        <v>130606</v>
      </c>
      <c r="B356" s="57" t="s">
        <v>1060</v>
      </c>
      <c r="C356" s="57" t="s">
        <v>870</v>
      </c>
      <c r="D356" s="57" t="s">
        <v>871</v>
      </c>
      <c r="E356" s="57" t="s">
        <v>872</v>
      </c>
      <c r="F356" s="57" t="s">
        <v>873</v>
      </c>
      <c r="G356" s="58">
        <v>3</v>
      </c>
      <c r="H356" s="58">
        <v>4</v>
      </c>
      <c r="I356" s="58">
        <v>3</v>
      </c>
      <c r="J356" s="58">
        <v>6</v>
      </c>
      <c r="K356" s="58">
        <v>588008</v>
      </c>
      <c r="L356" s="58">
        <v>600</v>
      </c>
      <c r="M356" s="58">
        <v>6066</v>
      </c>
      <c r="N356" s="58" t="s">
        <v>874</v>
      </c>
      <c r="O356" s="59" t="s">
        <v>875</v>
      </c>
      <c r="P356" s="58" t="s">
        <v>876</v>
      </c>
      <c r="Q356" s="61">
        <v>1100001</v>
      </c>
      <c r="R356" s="58">
        <v>0</v>
      </c>
      <c r="S356" s="58" t="s">
        <v>206</v>
      </c>
      <c r="T356" s="58">
        <v>1</v>
      </c>
      <c r="U356" s="58" t="s">
        <v>877</v>
      </c>
      <c r="V356" s="19" t="s">
        <v>785</v>
      </c>
      <c r="W356" s="58" t="s">
        <v>878</v>
      </c>
      <c r="X356" s="57">
        <v>15</v>
      </c>
      <c r="Y356" s="19" t="s">
        <v>947</v>
      </c>
      <c r="Z356" s="19" t="s">
        <v>948</v>
      </c>
      <c r="AA356" s="19" t="s">
        <v>949</v>
      </c>
      <c r="AB356" s="19">
        <v>8</v>
      </c>
      <c r="AC356" s="43" t="b">
        <v>0</v>
      </c>
      <c r="AD356" s="44"/>
      <c r="AE356" s="44">
        <v>5</v>
      </c>
      <c r="AF356" s="44"/>
      <c r="AG356" s="45" t="s">
        <v>646</v>
      </c>
      <c r="AH356" s="45" t="s">
        <v>604</v>
      </c>
      <c r="AI356" s="44"/>
    </row>
    <row r="357" spans="1:35" s="4" customFormat="1" x14ac:dyDescent="0.25">
      <c r="A357" s="57">
        <v>130607</v>
      </c>
      <c r="B357" s="57" t="s">
        <v>1061</v>
      </c>
      <c r="C357" s="57" t="s">
        <v>870</v>
      </c>
      <c r="D357" s="57" t="s">
        <v>871</v>
      </c>
      <c r="E357" s="57" t="s">
        <v>872</v>
      </c>
      <c r="F357" s="57" t="s">
        <v>873</v>
      </c>
      <c r="G357" s="58">
        <v>3</v>
      </c>
      <c r="H357" s="58">
        <v>4</v>
      </c>
      <c r="I357" s="58">
        <v>3</v>
      </c>
      <c r="J357" s="58">
        <v>7</v>
      </c>
      <c r="K357" s="58">
        <v>635688</v>
      </c>
      <c r="L357" s="58">
        <v>600</v>
      </c>
      <c r="M357" s="58">
        <v>6067</v>
      </c>
      <c r="N357" s="58" t="s">
        <v>874</v>
      </c>
      <c r="O357" s="59" t="s">
        <v>875</v>
      </c>
      <c r="P357" s="58" t="s">
        <v>876</v>
      </c>
      <c r="Q357" s="61">
        <v>1100001</v>
      </c>
      <c r="R357" s="58">
        <v>0</v>
      </c>
      <c r="S357" s="58" t="s">
        <v>206</v>
      </c>
      <c r="T357" s="58">
        <v>1</v>
      </c>
      <c r="U357" s="58" t="s">
        <v>877</v>
      </c>
      <c r="V357" s="19" t="s">
        <v>785</v>
      </c>
      <c r="W357" s="58" t="s">
        <v>878</v>
      </c>
      <c r="X357" s="57">
        <v>15</v>
      </c>
      <c r="Y357" s="19" t="s">
        <v>959</v>
      </c>
      <c r="Z357" s="19" t="s">
        <v>960</v>
      </c>
      <c r="AA357" s="19" t="s">
        <v>961</v>
      </c>
      <c r="AB357" s="19">
        <v>8</v>
      </c>
      <c r="AC357" s="43" t="b">
        <v>0</v>
      </c>
      <c r="AD357" s="44"/>
      <c r="AE357" s="44">
        <v>5</v>
      </c>
      <c r="AF357" s="44"/>
      <c r="AG357" s="45" t="s">
        <v>646</v>
      </c>
      <c r="AH357" s="45" t="s">
        <v>604</v>
      </c>
      <c r="AI357" s="44"/>
    </row>
    <row r="358" spans="1:35" s="4" customFormat="1" x14ac:dyDescent="0.25">
      <c r="A358" s="57">
        <v>130608</v>
      </c>
      <c r="B358" s="57" t="s">
        <v>1062</v>
      </c>
      <c r="C358" s="57" t="s">
        <v>870</v>
      </c>
      <c r="D358" s="57" t="s">
        <v>871</v>
      </c>
      <c r="E358" s="57" t="s">
        <v>872</v>
      </c>
      <c r="F358" s="57" t="s">
        <v>873</v>
      </c>
      <c r="G358" s="58">
        <v>3</v>
      </c>
      <c r="H358" s="58">
        <v>4</v>
      </c>
      <c r="I358" s="58">
        <v>3</v>
      </c>
      <c r="J358" s="58">
        <v>8</v>
      </c>
      <c r="K358" s="58">
        <v>998283</v>
      </c>
      <c r="L358" s="58">
        <v>600</v>
      </c>
      <c r="M358" s="58">
        <v>6068</v>
      </c>
      <c r="N358" s="58" t="s">
        <v>874</v>
      </c>
      <c r="O358" s="59" t="s">
        <v>875</v>
      </c>
      <c r="P358" s="58" t="s">
        <v>876</v>
      </c>
      <c r="Q358" s="61">
        <v>1100001</v>
      </c>
      <c r="R358" s="58">
        <v>0</v>
      </c>
      <c r="S358" s="58" t="s">
        <v>206</v>
      </c>
      <c r="T358" s="58">
        <v>1</v>
      </c>
      <c r="U358" s="58" t="s">
        <v>877</v>
      </c>
      <c r="V358" s="19" t="s">
        <v>785</v>
      </c>
      <c r="W358" s="58" t="s">
        <v>878</v>
      </c>
      <c r="X358" s="57">
        <v>15</v>
      </c>
      <c r="Y358" s="19" t="s">
        <v>971</v>
      </c>
      <c r="Z358" s="19" t="s">
        <v>972</v>
      </c>
      <c r="AA358" s="19" t="s">
        <v>973</v>
      </c>
      <c r="AB358" s="19">
        <v>8</v>
      </c>
      <c r="AC358" s="43" t="b">
        <v>0</v>
      </c>
      <c r="AD358" s="44"/>
      <c r="AE358" s="44">
        <v>5</v>
      </c>
      <c r="AF358" s="44"/>
      <c r="AG358" s="45" t="s">
        <v>646</v>
      </c>
      <c r="AH358" s="45" t="s">
        <v>604</v>
      </c>
      <c r="AI358" s="44"/>
    </row>
    <row r="359" spans="1:35" s="4" customFormat="1" x14ac:dyDescent="0.25">
      <c r="A359" s="57">
        <v>130609</v>
      </c>
      <c r="B359" s="57" t="s">
        <v>1063</v>
      </c>
      <c r="C359" s="57" t="s">
        <v>870</v>
      </c>
      <c r="D359" s="57" t="s">
        <v>871</v>
      </c>
      <c r="E359" s="57" t="s">
        <v>872</v>
      </c>
      <c r="F359" s="57" t="s">
        <v>873</v>
      </c>
      <c r="G359" s="58">
        <v>3</v>
      </c>
      <c r="H359" s="58">
        <v>4</v>
      </c>
      <c r="I359" s="58">
        <v>3</v>
      </c>
      <c r="J359" s="58">
        <v>9</v>
      </c>
      <c r="K359" s="58">
        <v>1360878</v>
      </c>
      <c r="L359" s="58">
        <v>600</v>
      </c>
      <c r="M359" s="58">
        <v>6069</v>
      </c>
      <c r="N359" s="58" t="s">
        <v>874</v>
      </c>
      <c r="O359" s="59" t="s">
        <v>875</v>
      </c>
      <c r="P359" s="58" t="s">
        <v>876</v>
      </c>
      <c r="Q359" s="61">
        <v>1100001</v>
      </c>
      <c r="R359" s="58">
        <v>0</v>
      </c>
      <c r="S359" s="58" t="s">
        <v>206</v>
      </c>
      <c r="T359" s="58">
        <v>1</v>
      </c>
      <c r="U359" s="58" t="s">
        <v>877</v>
      </c>
      <c r="V359" s="19" t="s">
        <v>785</v>
      </c>
      <c r="W359" s="58" t="s">
        <v>878</v>
      </c>
      <c r="X359" s="57">
        <v>15</v>
      </c>
      <c r="Y359" s="19" t="s">
        <v>983</v>
      </c>
      <c r="Z359" s="19" t="s">
        <v>984</v>
      </c>
      <c r="AA359" s="19" t="s">
        <v>985</v>
      </c>
      <c r="AB359" s="19">
        <v>8</v>
      </c>
      <c r="AC359" s="43" t="b">
        <v>0</v>
      </c>
      <c r="AD359" s="44"/>
      <c r="AE359" s="44">
        <v>5</v>
      </c>
      <c r="AF359" s="44"/>
      <c r="AG359" s="45" t="s">
        <v>646</v>
      </c>
      <c r="AH359" s="45" t="s">
        <v>604</v>
      </c>
      <c r="AI359" s="44"/>
    </row>
    <row r="360" spans="1:35" s="4" customFormat="1" x14ac:dyDescent="0.25">
      <c r="A360" s="57">
        <v>130610</v>
      </c>
      <c r="B360" s="57" t="s">
        <v>1064</v>
      </c>
      <c r="C360" s="57" t="s">
        <v>870</v>
      </c>
      <c r="D360" s="57" t="s">
        <v>871</v>
      </c>
      <c r="E360" s="57" t="s">
        <v>872</v>
      </c>
      <c r="F360" s="57" t="s">
        <v>873</v>
      </c>
      <c r="G360" s="58">
        <v>3</v>
      </c>
      <c r="H360" s="58">
        <v>4</v>
      </c>
      <c r="I360" s="58">
        <v>3</v>
      </c>
      <c r="J360" s="58">
        <v>10</v>
      </c>
      <c r="K360" s="58">
        <v>1481743</v>
      </c>
      <c r="L360" s="58">
        <v>600</v>
      </c>
      <c r="M360" s="58">
        <v>6070</v>
      </c>
      <c r="N360" s="58" t="s">
        <v>874</v>
      </c>
      <c r="O360" s="59" t="s">
        <v>875</v>
      </c>
      <c r="P360" s="58" t="s">
        <v>876</v>
      </c>
      <c r="Q360" s="61">
        <v>1100001</v>
      </c>
      <c r="R360" s="58">
        <v>0</v>
      </c>
      <c r="S360" s="58" t="s">
        <v>206</v>
      </c>
      <c r="T360" s="58">
        <v>1</v>
      </c>
      <c r="U360" s="58" t="s">
        <v>877</v>
      </c>
      <c r="V360" s="19" t="s">
        <v>785</v>
      </c>
      <c r="W360" s="58" t="s">
        <v>878</v>
      </c>
      <c r="X360" s="57">
        <v>15</v>
      </c>
      <c r="Y360" s="19" t="s">
        <v>987</v>
      </c>
      <c r="Z360" s="19" t="s">
        <v>988</v>
      </c>
      <c r="AA360" s="19" t="s">
        <v>989</v>
      </c>
      <c r="AB360" s="19">
        <v>8</v>
      </c>
      <c r="AC360" s="43" t="b">
        <v>0</v>
      </c>
      <c r="AD360" s="44"/>
      <c r="AE360" s="44">
        <v>5</v>
      </c>
      <c r="AF360" s="44"/>
      <c r="AG360" s="45" t="s">
        <v>646</v>
      </c>
      <c r="AH360" s="45" t="s">
        <v>604</v>
      </c>
      <c r="AI360" s="44"/>
    </row>
    <row r="361" spans="1:35" s="4" customFormat="1" x14ac:dyDescent="0.25">
      <c r="A361" s="57">
        <v>130611</v>
      </c>
      <c r="B361" s="57" t="s">
        <v>1065</v>
      </c>
      <c r="C361" s="57" t="s">
        <v>870</v>
      </c>
      <c r="D361" s="57" t="s">
        <v>871</v>
      </c>
      <c r="E361" s="57" t="s">
        <v>872</v>
      </c>
      <c r="F361" s="57" t="s">
        <v>873</v>
      </c>
      <c r="G361" s="58">
        <v>3</v>
      </c>
      <c r="H361" s="58">
        <v>4</v>
      </c>
      <c r="I361" s="58">
        <v>3</v>
      </c>
      <c r="J361" s="58">
        <v>11</v>
      </c>
      <c r="K361" s="58">
        <v>1602608</v>
      </c>
      <c r="L361" s="58">
        <v>600</v>
      </c>
      <c r="M361" s="58">
        <v>6071</v>
      </c>
      <c r="N361" s="58" t="s">
        <v>874</v>
      </c>
      <c r="O361" s="59" t="s">
        <v>875</v>
      </c>
      <c r="P361" s="58" t="s">
        <v>876</v>
      </c>
      <c r="Q361" s="61">
        <v>1100001</v>
      </c>
      <c r="R361" s="58">
        <v>0</v>
      </c>
      <c r="S361" s="58" t="s">
        <v>206</v>
      </c>
      <c r="T361" s="58">
        <v>1</v>
      </c>
      <c r="U361" s="58" t="s">
        <v>877</v>
      </c>
      <c r="V361" s="19" t="s">
        <v>785</v>
      </c>
      <c r="W361" s="58" t="s">
        <v>878</v>
      </c>
      <c r="X361" s="57">
        <v>15</v>
      </c>
      <c r="Y361" s="19" t="s">
        <v>991</v>
      </c>
      <c r="Z361" s="19" t="s">
        <v>992</v>
      </c>
      <c r="AA361" s="19" t="s">
        <v>993</v>
      </c>
      <c r="AB361" s="19">
        <v>8</v>
      </c>
      <c r="AC361" s="43" t="b">
        <v>0</v>
      </c>
      <c r="AD361" s="44"/>
      <c r="AE361" s="44">
        <v>5</v>
      </c>
      <c r="AF361" s="44"/>
      <c r="AG361" s="45" t="s">
        <v>646</v>
      </c>
      <c r="AH361" s="45" t="s">
        <v>604</v>
      </c>
      <c r="AI361" s="44"/>
    </row>
    <row r="362" spans="1:35" s="4" customFormat="1" x14ac:dyDescent="0.25">
      <c r="A362" s="57">
        <v>130612</v>
      </c>
      <c r="B362" s="57" t="s">
        <v>1066</v>
      </c>
      <c r="C362" s="57" t="s">
        <v>870</v>
      </c>
      <c r="D362" s="57" t="s">
        <v>871</v>
      </c>
      <c r="E362" s="57" t="s">
        <v>872</v>
      </c>
      <c r="F362" s="57" t="s">
        <v>873</v>
      </c>
      <c r="G362" s="58">
        <v>3</v>
      </c>
      <c r="H362" s="58">
        <v>4</v>
      </c>
      <c r="I362" s="58">
        <v>3</v>
      </c>
      <c r="J362" s="58">
        <v>12</v>
      </c>
      <c r="K362" s="58">
        <v>1722810</v>
      </c>
      <c r="L362" s="58">
        <v>600</v>
      </c>
      <c r="M362" s="58">
        <v>6072</v>
      </c>
      <c r="N362" s="58" t="s">
        <v>874</v>
      </c>
      <c r="O362" s="59" t="s">
        <v>875</v>
      </c>
      <c r="P362" s="58" t="s">
        <v>876</v>
      </c>
      <c r="Q362" s="61">
        <v>1100001</v>
      </c>
      <c r="R362" s="58">
        <v>0</v>
      </c>
      <c r="S362" s="58" t="s">
        <v>206</v>
      </c>
      <c r="T362" s="58">
        <v>1</v>
      </c>
      <c r="U362" s="58" t="s">
        <v>877</v>
      </c>
      <c r="V362" s="19" t="s">
        <v>785</v>
      </c>
      <c r="W362" s="58" t="s">
        <v>878</v>
      </c>
      <c r="X362" s="57">
        <v>15</v>
      </c>
      <c r="Y362" s="19" t="s">
        <v>995</v>
      </c>
      <c r="Z362" s="19" t="s">
        <v>996</v>
      </c>
      <c r="AA362" s="19" t="s">
        <v>997</v>
      </c>
      <c r="AB362" s="19">
        <v>8</v>
      </c>
      <c r="AC362" s="43" t="b">
        <v>0</v>
      </c>
      <c r="AD362" s="44"/>
      <c r="AE362" s="44">
        <v>5</v>
      </c>
      <c r="AF362" s="44"/>
      <c r="AG362" s="45" t="s">
        <v>646</v>
      </c>
      <c r="AH362" s="45" t="s">
        <v>604</v>
      </c>
      <c r="AI362" s="44"/>
    </row>
    <row r="363" spans="1:35" s="4" customFormat="1" x14ac:dyDescent="0.25">
      <c r="A363" s="57">
        <v>130613</v>
      </c>
      <c r="B363" s="57" t="s">
        <v>1067</v>
      </c>
      <c r="C363" s="57" t="s">
        <v>870</v>
      </c>
      <c r="D363" s="57" t="s">
        <v>871</v>
      </c>
      <c r="E363" s="57" t="s">
        <v>872</v>
      </c>
      <c r="F363" s="57" t="s">
        <v>873</v>
      </c>
      <c r="G363" s="58">
        <v>3</v>
      </c>
      <c r="H363" s="58">
        <v>4</v>
      </c>
      <c r="I363" s="58">
        <v>3</v>
      </c>
      <c r="J363" s="58">
        <v>13</v>
      </c>
      <c r="K363" s="58">
        <v>1883860</v>
      </c>
      <c r="L363" s="58">
        <v>600</v>
      </c>
      <c r="M363" s="58">
        <v>6073</v>
      </c>
      <c r="N363" s="58" t="s">
        <v>874</v>
      </c>
      <c r="O363" s="59" t="s">
        <v>875</v>
      </c>
      <c r="P363" s="58" t="s">
        <v>876</v>
      </c>
      <c r="Q363" s="61">
        <v>1100001</v>
      </c>
      <c r="R363" s="58">
        <v>0</v>
      </c>
      <c r="S363" s="58" t="s">
        <v>206</v>
      </c>
      <c r="T363" s="58">
        <v>1</v>
      </c>
      <c r="U363" s="58" t="s">
        <v>877</v>
      </c>
      <c r="V363" s="19" t="s">
        <v>785</v>
      </c>
      <c r="W363" s="58" t="s">
        <v>878</v>
      </c>
      <c r="X363" s="57">
        <v>15</v>
      </c>
      <c r="Y363" s="19" t="s">
        <v>1020</v>
      </c>
      <c r="Z363" s="19" t="s">
        <v>1021</v>
      </c>
      <c r="AA363" s="19" t="s">
        <v>1022</v>
      </c>
      <c r="AB363" s="19">
        <v>8</v>
      </c>
      <c r="AC363" s="43" t="b">
        <v>0</v>
      </c>
      <c r="AD363" s="44"/>
      <c r="AE363" s="44">
        <v>5</v>
      </c>
      <c r="AF363" s="44"/>
      <c r="AG363" s="45" t="s">
        <v>646</v>
      </c>
      <c r="AH363" s="45" t="s">
        <v>604</v>
      </c>
      <c r="AI363" s="44"/>
    </row>
    <row r="364" spans="1:35" s="4" customFormat="1" x14ac:dyDescent="0.25">
      <c r="A364" s="57">
        <v>130614</v>
      </c>
      <c r="B364" s="57" t="s">
        <v>1068</v>
      </c>
      <c r="C364" s="57" t="s">
        <v>870</v>
      </c>
      <c r="D364" s="57" t="s">
        <v>871</v>
      </c>
      <c r="E364" s="57" t="s">
        <v>872</v>
      </c>
      <c r="F364" s="57" t="s">
        <v>873</v>
      </c>
      <c r="G364" s="58">
        <v>3</v>
      </c>
      <c r="H364" s="58">
        <v>4</v>
      </c>
      <c r="I364" s="58">
        <v>3</v>
      </c>
      <c r="J364" s="58">
        <v>14</v>
      </c>
      <c r="K364" s="58">
        <v>2044910</v>
      </c>
      <c r="L364" s="58">
        <v>600</v>
      </c>
      <c r="M364" s="58">
        <v>6074</v>
      </c>
      <c r="N364" s="58" t="s">
        <v>874</v>
      </c>
      <c r="O364" s="59" t="s">
        <v>875</v>
      </c>
      <c r="P364" s="58" t="s">
        <v>876</v>
      </c>
      <c r="Q364" s="61">
        <v>1100001</v>
      </c>
      <c r="R364" s="58">
        <v>0</v>
      </c>
      <c r="S364" s="58" t="s">
        <v>206</v>
      </c>
      <c r="T364" s="58">
        <v>1</v>
      </c>
      <c r="U364" s="58" t="s">
        <v>877</v>
      </c>
      <c r="V364" s="19" t="s">
        <v>785</v>
      </c>
      <c r="W364" s="58" t="s">
        <v>878</v>
      </c>
      <c r="X364" s="57">
        <v>15</v>
      </c>
      <c r="Y364" s="19" t="s">
        <v>1024</v>
      </c>
      <c r="Z364" s="19" t="s">
        <v>1025</v>
      </c>
      <c r="AA364" s="19" t="s">
        <v>1026</v>
      </c>
      <c r="AB364" s="19">
        <v>8</v>
      </c>
      <c r="AC364" s="43" t="b">
        <v>0</v>
      </c>
      <c r="AD364" s="44"/>
      <c r="AE364" s="44">
        <v>5</v>
      </c>
      <c r="AF364" s="44"/>
      <c r="AG364" s="45" t="s">
        <v>646</v>
      </c>
      <c r="AH364" s="45" t="s">
        <v>604</v>
      </c>
      <c r="AI364" s="44"/>
    </row>
    <row r="365" spans="1:35" s="4" customFormat="1" x14ac:dyDescent="0.25">
      <c r="A365" s="57">
        <v>130615</v>
      </c>
      <c r="B365" s="57" t="s">
        <v>1069</v>
      </c>
      <c r="C365" s="57" t="s">
        <v>870</v>
      </c>
      <c r="D365" s="57" t="s">
        <v>871</v>
      </c>
      <c r="E365" s="57" t="s">
        <v>872</v>
      </c>
      <c r="F365" s="57" t="s">
        <v>873</v>
      </c>
      <c r="G365" s="58">
        <v>3</v>
      </c>
      <c r="H365" s="58">
        <v>4</v>
      </c>
      <c r="I365" s="58">
        <v>3</v>
      </c>
      <c r="J365" s="58">
        <v>15</v>
      </c>
      <c r="K365" s="58">
        <v>2205960</v>
      </c>
      <c r="L365" s="58">
        <v>600</v>
      </c>
      <c r="M365" s="58">
        <v>6075</v>
      </c>
      <c r="N365" s="58" t="s">
        <v>874</v>
      </c>
      <c r="O365" s="59" t="s">
        <v>875</v>
      </c>
      <c r="P365" s="58" t="s">
        <v>876</v>
      </c>
      <c r="Q365" s="61">
        <v>1100001</v>
      </c>
      <c r="R365" s="58">
        <v>0</v>
      </c>
      <c r="S365" s="58" t="s">
        <v>206</v>
      </c>
      <c r="T365" s="58">
        <v>1</v>
      </c>
      <c r="U365" s="58" t="s">
        <v>877</v>
      </c>
      <c r="V365" s="19" t="s">
        <v>785</v>
      </c>
      <c r="W365" s="58" t="s">
        <v>878</v>
      </c>
      <c r="X365" s="57">
        <v>15</v>
      </c>
      <c r="Y365" s="19" t="s">
        <v>1028</v>
      </c>
      <c r="Z365" s="19" t="s">
        <v>1029</v>
      </c>
      <c r="AA365" s="19" t="s">
        <v>1030</v>
      </c>
      <c r="AB365" s="19">
        <v>8</v>
      </c>
      <c r="AC365" s="43" t="b">
        <v>0</v>
      </c>
      <c r="AD365" s="44"/>
      <c r="AE365" s="44">
        <v>5</v>
      </c>
      <c r="AF365" s="44"/>
      <c r="AG365" s="45" t="s">
        <v>646</v>
      </c>
      <c r="AH365" s="45" t="s">
        <v>604</v>
      </c>
      <c r="AI365" s="44"/>
    </row>
    <row r="366" spans="1:35" s="4" customFormat="1" x14ac:dyDescent="0.25">
      <c r="A366" s="57">
        <v>130616</v>
      </c>
      <c r="B366" s="57" t="s">
        <v>1070</v>
      </c>
      <c r="C366" s="57" t="s">
        <v>870</v>
      </c>
      <c r="D366" s="57" t="s">
        <v>871</v>
      </c>
      <c r="E366" s="57" t="s">
        <v>872</v>
      </c>
      <c r="F366" s="57" t="s">
        <v>873</v>
      </c>
      <c r="G366" s="58">
        <v>3</v>
      </c>
      <c r="H366" s="58">
        <v>4</v>
      </c>
      <c r="I366" s="58">
        <v>3</v>
      </c>
      <c r="J366" s="58">
        <v>16</v>
      </c>
      <c r="K366" s="58">
        <v>2367010</v>
      </c>
      <c r="L366" s="58">
        <v>600</v>
      </c>
      <c r="M366" s="58">
        <v>6076</v>
      </c>
      <c r="N366" s="58" t="s">
        <v>874</v>
      </c>
      <c r="O366" s="59" t="s">
        <v>875</v>
      </c>
      <c r="P366" s="58" t="s">
        <v>876</v>
      </c>
      <c r="Q366" s="61">
        <v>1100001</v>
      </c>
      <c r="R366" s="58">
        <v>0</v>
      </c>
      <c r="S366" s="58" t="s">
        <v>206</v>
      </c>
      <c r="T366" s="58">
        <v>1</v>
      </c>
      <c r="U366" s="58" t="s">
        <v>877</v>
      </c>
      <c r="V366" s="19" t="s">
        <v>785</v>
      </c>
      <c r="W366" s="58" t="s">
        <v>878</v>
      </c>
      <c r="X366" s="57">
        <v>15</v>
      </c>
      <c r="Y366" s="19" t="s">
        <v>1032</v>
      </c>
      <c r="Z366" s="19" t="s">
        <v>1033</v>
      </c>
      <c r="AA366" s="19" t="s">
        <v>1034</v>
      </c>
      <c r="AB366" s="19">
        <v>8</v>
      </c>
      <c r="AC366" s="43" t="b">
        <v>0</v>
      </c>
      <c r="AD366" s="44"/>
      <c r="AE366" s="44">
        <v>5</v>
      </c>
      <c r="AF366" s="44"/>
      <c r="AG366" s="45" t="s">
        <v>646</v>
      </c>
      <c r="AH366" s="45" t="s">
        <v>604</v>
      </c>
      <c r="AI366" s="44"/>
    </row>
    <row r="367" spans="1:35" s="4" customFormat="1" x14ac:dyDescent="0.25">
      <c r="A367" s="57">
        <v>130617</v>
      </c>
      <c r="B367" s="57" t="s">
        <v>1071</v>
      </c>
      <c r="C367" s="57" t="s">
        <v>870</v>
      </c>
      <c r="D367" s="57" t="s">
        <v>871</v>
      </c>
      <c r="E367" s="57" t="s">
        <v>872</v>
      </c>
      <c r="F367" s="57" t="s">
        <v>873</v>
      </c>
      <c r="G367" s="58">
        <v>3</v>
      </c>
      <c r="H367" s="58">
        <v>4</v>
      </c>
      <c r="I367" s="58">
        <v>3</v>
      </c>
      <c r="J367" s="58">
        <v>17</v>
      </c>
      <c r="K367" s="58">
        <v>2528060</v>
      </c>
      <c r="L367" s="58">
        <v>600</v>
      </c>
      <c r="M367" s="58">
        <v>6077</v>
      </c>
      <c r="N367" s="58" t="s">
        <v>874</v>
      </c>
      <c r="O367" s="59" t="s">
        <v>875</v>
      </c>
      <c r="P367" s="58" t="s">
        <v>876</v>
      </c>
      <c r="Q367" s="61">
        <v>1100001</v>
      </c>
      <c r="R367" s="58">
        <v>0</v>
      </c>
      <c r="S367" s="58" t="s">
        <v>206</v>
      </c>
      <c r="T367" s="58">
        <v>1</v>
      </c>
      <c r="U367" s="58" t="s">
        <v>877</v>
      </c>
      <c r="V367" s="19" t="s">
        <v>785</v>
      </c>
      <c r="W367" s="58" t="s">
        <v>878</v>
      </c>
      <c r="X367" s="57">
        <v>15</v>
      </c>
      <c r="Y367" s="19" t="s">
        <v>1036</v>
      </c>
      <c r="Z367" s="19" t="s">
        <v>1037</v>
      </c>
      <c r="AA367" s="19" t="s">
        <v>1038</v>
      </c>
      <c r="AB367" s="19">
        <v>8</v>
      </c>
      <c r="AC367" s="43" t="b">
        <v>0</v>
      </c>
      <c r="AD367" s="44"/>
      <c r="AE367" s="44">
        <v>5</v>
      </c>
      <c r="AF367" s="44"/>
      <c r="AG367" s="45" t="s">
        <v>646</v>
      </c>
      <c r="AH367" s="45" t="s">
        <v>604</v>
      </c>
      <c r="AI367" s="44"/>
    </row>
    <row r="368" spans="1:35" s="4" customFormat="1" x14ac:dyDescent="0.25">
      <c r="A368" s="57">
        <v>130618</v>
      </c>
      <c r="B368" s="57" t="s">
        <v>1072</v>
      </c>
      <c r="C368" s="57" t="s">
        <v>870</v>
      </c>
      <c r="D368" s="57" t="s">
        <v>871</v>
      </c>
      <c r="E368" s="57" t="s">
        <v>872</v>
      </c>
      <c r="F368" s="57" t="s">
        <v>873</v>
      </c>
      <c r="G368" s="58">
        <v>3</v>
      </c>
      <c r="H368" s="58">
        <v>4</v>
      </c>
      <c r="I368" s="58">
        <v>3</v>
      </c>
      <c r="J368" s="58">
        <v>18</v>
      </c>
      <c r="K368" s="58">
        <v>2689110</v>
      </c>
      <c r="L368" s="58">
        <v>600</v>
      </c>
      <c r="M368" s="58">
        <v>6078</v>
      </c>
      <c r="N368" s="58" t="s">
        <v>874</v>
      </c>
      <c r="O368" s="59" t="s">
        <v>875</v>
      </c>
      <c r="P368" s="58" t="s">
        <v>876</v>
      </c>
      <c r="Q368" s="61">
        <v>1100001</v>
      </c>
      <c r="R368" s="58">
        <v>0</v>
      </c>
      <c r="S368" s="58" t="s">
        <v>206</v>
      </c>
      <c r="T368" s="58">
        <v>1</v>
      </c>
      <c r="U368" s="58" t="s">
        <v>877</v>
      </c>
      <c r="V368" s="19" t="s">
        <v>785</v>
      </c>
      <c r="W368" s="58" t="s">
        <v>878</v>
      </c>
      <c r="X368" s="57">
        <v>15</v>
      </c>
      <c r="Y368" s="19" t="s">
        <v>1040</v>
      </c>
      <c r="Z368" s="19" t="s">
        <v>1041</v>
      </c>
      <c r="AA368" s="19" t="s">
        <v>1042</v>
      </c>
      <c r="AB368" s="19">
        <v>8</v>
      </c>
      <c r="AC368" s="43" t="b">
        <v>0</v>
      </c>
      <c r="AD368" s="44"/>
      <c r="AE368" s="44">
        <v>5</v>
      </c>
      <c r="AF368" s="44"/>
      <c r="AG368" s="45" t="s">
        <v>646</v>
      </c>
      <c r="AH368" s="45" t="s">
        <v>604</v>
      </c>
      <c r="AI368" s="44"/>
    </row>
    <row r="369" spans="1:35" s="4" customFormat="1" x14ac:dyDescent="0.25">
      <c r="A369" s="57">
        <v>130619</v>
      </c>
      <c r="B369" s="57" t="s">
        <v>1073</v>
      </c>
      <c r="C369" s="57" t="s">
        <v>870</v>
      </c>
      <c r="D369" s="57" t="s">
        <v>871</v>
      </c>
      <c r="E369" s="57" t="s">
        <v>872</v>
      </c>
      <c r="F369" s="57" t="s">
        <v>873</v>
      </c>
      <c r="G369" s="58">
        <v>3</v>
      </c>
      <c r="H369" s="58">
        <v>4</v>
      </c>
      <c r="I369" s="58">
        <v>3</v>
      </c>
      <c r="J369" s="58">
        <v>19</v>
      </c>
      <c r="K369" s="58">
        <v>2850160</v>
      </c>
      <c r="L369" s="58">
        <v>600</v>
      </c>
      <c r="M369" s="58">
        <v>6079</v>
      </c>
      <c r="N369" s="58" t="s">
        <v>874</v>
      </c>
      <c r="O369" s="59" t="s">
        <v>875</v>
      </c>
      <c r="P369" s="58" t="s">
        <v>876</v>
      </c>
      <c r="Q369" s="61">
        <v>1100001</v>
      </c>
      <c r="R369" s="58">
        <v>0</v>
      </c>
      <c r="S369" s="58" t="s">
        <v>206</v>
      </c>
      <c r="T369" s="58">
        <v>1</v>
      </c>
      <c r="U369" s="58" t="s">
        <v>877</v>
      </c>
      <c r="V369" s="19" t="s">
        <v>785</v>
      </c>
      <c r="W369" s="58" t="s">
        <v>878</v>
      </c>
      <c r="X369" s="57">
        <v>15</v>
      </c>
      <c r="Y369" s="19" t="s">
        <v>1044</v>
      </c>
      <c r="Z369" s="19" t="s">
        <v>1045</v>
      </c>
      <c r="AA369" s="19" t="s">
        <v>1046</v>
      </c>
      <c r="AB369" s="19">
        <v>8</v>
      </c>
      <c r="AC369" s="43" t="b">
        <v>0</v>
      </c>
      <c r="AD369" s="44"/>
      <c r="AE369" s="44">
        <v>5</v>
      </c>
      <c r="AF369" s="44"/>
      <c r="AG369" s="45" t="s">
        <v>646</v>
      </c>
      <c r="AH369" s="45" t="s">
        <v>604</v>
      </c>
      <c r="AI369" s="44"/>
    </row>
    <row r="370" spans="1:35" s="4" customFormat="1" x14ac:dyDescent="0.25">
      <c r="A370" s="57">
        <v>130620</v>
      </c>
      <c r="B370" s="57" t="s">
        <v>1074</v>
      </c>
      <c r="C370" s="57" t="s">
        <v>870</v>
      </c>
      <c r="D370" s="57" t="s">
        <v>871</v>
      </c>
      <c r="E370" s="57" t="s">
        <v>872</v>
      </c>
      <c r="F370" s="57" t="s">
        <v>873</v>
      </c>
      <c r="G370" s="58">
        <v>3</v>
      </c>
      <c r="H370" s="58">
        <v>4</v>
      </c>
      <c r="I370" s="58">
        <v>3</v>
      </c>
      <c r="J370" s="58">
        <v>20</v>
      </c>
      <c r="K370" s="58">
        <v>3011210</v>
      </c>
      <c r="L370" s="58">
        <v>600</v>
      </c>
      <c r="M370" s="58">
        <v>6080</v>
      </c>
      <c r="N370" s="58" t="s">
        <v>874</v>
      </c>
      <c r="O370" s="59" t="s">
        <v>875</v>
      </c>
      <c r="P370" s="58" t="s">
        <v>876</v>
      </c>
      <c r="Q370" s="61">
        <v>1100001</v>
      </c>
      <c r="R370" s="58">
        <v>0</v>
      </c>
      <c r="S370" s="58" t="s">
        <v>206</v>
      </c>
      <c r="T370" s="58">
        <v>1</v>
      </c>
      <c r="U370" s="58" t="s">
        <v>877</v>
      </c>
      <c r="V370" s="19" t="s">
        <v>785</v>
      </c>
      <c r="W370" s="58" t="s">
        <v>878</v>
      </c>
      <c r="X370" s="57">
        <v>15</v>
      </c>
      <c r="Y370" s="19" t="s">
        <v>1048</v>
      </c>
      <c r="Z370" s="19" t="s">
        <v>1049</v>
      </c>
      <c r="AA370" s="19" t="s">
        <v>1050</v>
      </c>
      <c r="AB370" s="19">
        <v>8</v>
      </c>
      <c r="AC370" s="43" t="b">
        <v>0</v>
      </c>
      <c r="AD370" s="44"/>
      <c r="AE370" s="44">
        <v>5</v>
      </c>
      <c r="AF370" s="44"/>
      <c r="AG370" s="45" t="s">
        <v>646</v>
      </c>
      <c r="AH370" s="45" t="s">
        <v>604</v>
      </c>
      <c r="AI370" s="44"/>
    </row>
    <row r="371" spans="1:35" s="4" customFormat="1" x14ac:dyDescent="0.25">
      <c r="A371" s="57">
        <v>130621</v>
      </c>
      <c r="B371" s="57" t="s">
        <v>1075</v>
      </c>
      <c r="C371" s="57" t="s">
        <v>870</v>
      </c>
      <c r="D371" s="57" t="s">
        <v>871</v>
      </c>
      <c r="E371" s="57" t="s">
        <v>872</v>
      </c>
      <c r="F371" s="57" t="s">
        <v>873</v>
      </c>
      <c r="G371" s="58">
        <v>3</v>
      </c>
      <c r="H371" s="58">
        <v>4</v>
      </c>
      <c r="I371" s="58">
        <v>3</v>
      </c>
      <c r="J371" s="58">
        <v>21</v>
      </c>
      <c r="K371" s="58">
        <v>3171938</v>
      </c>
      <c r="L371" s="58">
        <v>600</v>
      </c>
      <c r="M371" s="58">
        <v>6081</v>
      </c>
      <c r="N371" s="58" t="s">
        <v>874</v>
      </c>
      <c r="O371" s="59" t="s">
        <v>875</v>
      </c>
      <c r="P371" s="58" t="s">
        <v>876</v>
      </c>
      <c r="Q371" s="61">
        <v>1100001</v>
      </c>
      <c r="R371" s="58">
        <v>0</v>
      </c>
      <c r="S371" s="58" t="s">
        <v>206</v>
      </c>
      <c r="T371" s="58">
        <v>1</v>
      </c>
      <c r="U371" s="58" t="s">
        <v>877</v>
      </c>
      <c r="V371" s="19" t="s">
        <v>785</v>
      </c>
      <c r="W371" s="58" t="s">
        <v>878</v>
      </c>
      <c r="X371" s="57">
        <v>15</v>
      </c>
      <c r="Y371" s="19" t="s">
        <v>1052</v>
      </c>
      <c r="Z371" s="19" t="s">
        <v>1053</v>
      </c>
      <c r="AA371" s="19" t="s">
        <v>1054</v>
      </c>
      <c r="AB371" s="19">
        <v>8</v>
      </c>
      <c r="AC371" s="43" t="b">
        <v>0</v>
      </c>
      <c r="AD371" s="44"/>
      <c r="AE371" s="44">
        <v>5</v>
      </c>
      <c r="AF371" s="44"/>
      <c r="AG371" s="45" t="s">
        <v>646</v>
      </c>
      <c r="AH371" s="45" t="s">
        <v>604</v>
      </c>
      <c r="AI371" s="44"/>
    </row>
    <row r="372" spans="1:35" s="4" customFormat="1" x14ac:dyDescent="0.25">
      <c r="A372" s="57">
        <v>130622</v>
      </c>
      <c r="B372" s="57" t="s">
        <v>1076</v>
      </c>
      <c r="C372" s="57" t="s">
        <v>870</v>
      </c>
      <c r="D372" s="57" t="s">
        <v>871</v>
      </c>
      <c r="E372" s="57" t="s">
        <v>872</v>
      </c>
      <c r="F372" s="57" t="s">
        <v>873</v>
      </c>
      <c r="G372" s="58">
        <v>3</v>
      </c>
      <c r="H372" s="58">
        <v>4</v>
      </c>
      <c r="I372" s="58">
        <v>3</v>
      </c>
      <c r="J372" s="58">
        <v>22</v>
      </c>
      <c r="K372" s="58">
        <v>3422464</v>
      </c>
      <c r="L372" s="58">
        <v>600</v>
      </c>
      <c r="M372" s="58">
        <v>6082</v>
      </c>
      <c r="N372" s="58" t="s">
        <v>874</v>
      </c>
      <c r="O372" s="59" t="s">
        <v>875</v>
      </c>
      <c r="P372" s="58" t="s">
        <v>876</v>
      </c>
      <c r="Q372" s="61">
        <v>1100001</v>
      </c>
      <c r="R372" s="58">
        <v>0</v>
      </c>
      <c r="S372" s="58" t="s">
        <v>206</v>
      </c>
      <c r="T372" s="58">
        <v>1</v>
      </c>
      <c r="U372" s="58" t="s">
        <v>877</v>
      </c>
      <c r="V372" s="19" t="s">
        <v>785</v>
      </c>
      <c r="W372" s="58" t="s">
        <v>878</v>
      </c>
      <c r="X372" s="57">
        <v>15</v>
      </c>
      <c r="Y372" s="19" t="s">
        <v>1077</v>
      </c>
      <c r="Z372" s="19" t="s">
        <v>1078</v>
      </c>
      <c r="AA372" s="19" t="s">
        <v>1079</v>
      </c>
      <c r="AB372" s="19">
        <v>8</v>
      </c>
      <c r="AC372" s="43" t="b">
        <v>0</v>
      </c>
      <c r="AD372" s="44"/>
      <c r="AE372" s="44">
        <v>5</v>
      </c>
      <c r="AF372" s="44"/>
      <c r="AG372" s="45" t="s">
        <v>646</v>
      </c>
      <c r="AH372" s="45" t="s">
        <v>604</v>
      </c>
      <c r="AI372" s="44"/>
    </row>
    <row r="373" spans="1:35" s="4" customFormat="1" x14ac:dyDescent="0.25">
      <c r="A373" s="57">
        <v>130623</v>
      </c>
      <c r="B373" s="57" t="s">
        <v>1080</v>
      </c>
      <c r="C373" s="57" t="s">
        <v>870</v>
      </c>
      <c r="D373" s="57" t="s">
        <v>871</v>
      </c>
      <c r="E373" s="57" t="s">
        <v>872</v>
      </c>
      <c r="F373" s="57" t="s">
        <v>873</v>
      </c>
      <c r="G373" s="58">
        <v>3</v>
      </c>
      <c r="H373" s="58">
        <v>4</v>
      </c>
      <c r="I373" s="58">
        <v>3</v>
      </c>
      <c r="J373" s="58">
        <v>23</v>
      </c>
      <c r="K373" s="58">
        <v>3672990</v>
      </c>
      <c r="L373" s="58">
        <v>600</v>
      </c>
      <c r="M373" s="58">
        <v>6083</v>
      </c>
      <c r="N373" s="58" t="s">
        <v>874</v>
      </c>
      <c r="O373" s="59" t="s">
        <v>875</v>
      </c>
      <c r="P373" s="58" t="s">
        <v>876</v>
      </c>
      <c r="Q373" s="61">
        <v>1100001</v>
      </c>
      <c r="R373" s="58">
        <v>0</v>
      </c>
      <c r="S373" s="58" t="s">
        <v>206</v>
      </c>
      <c r="T373" s="58">
        <v>1</v>
      </c>
      <c r="U373" s="58" t="s">
        <v>877</v>
      </c>
      <c r="V373" s="19" t="s">
        <v>785</v>
      </c>
      <c r="W373" s="58" t="s">
        <v>878</v>
      </c>
      <c r="X373" s="57">
        <v>15</v>
      </c>
      <c r="Y373" s="19" t="s">
        <v>1081</v>
      </c>
      <c r="Z373" s="19" t="s">
        <v>1082</v>
      </c>
      <c r="AA373" s="19" t="s">
        <v>1083</v>
      </c>
      <c r="AB373" s="19">
        <v>8</v>
      </c>
      <c r="AC373" s="43" t="b">
        <v>0</v>
      </c>
      <c r="AD373" s="44"/>
      <c r="AE373" s="44">
        <v>5</v>
      </c>
      <c r="AF373" s="44"/>
      <c r="AG373" s="45" t="s">
        <v>646</v>
      </c>
      <c r="AH373" s="45" t="s">
        <v>604</v>
      </c>
      <c r="AI373" s="44"/>
    </row>
    <row r="374" spans="1:35" s="4" customFormat="1" x14ac:dyDescent="0.25">
      <c r="A374" s="57">
        <v>130624</v>
      </c>
      <c r="B374" s="57" t="s">
        <v>1084</v>
      </c>
      <c r="C374" s="57" t="s">
        <v>870</v>
      </c>
      <c r="D374" s="57" t="s">
        <v>871</v>
      </c>
      <c r="E374" s="57" t="s">
        <v>872</v>
      </c>
      <c r="F374" s="57" t="s">
        <v>873</v>
      </c>
      <c r="G374" s="58">
        <v>3</v>
      </c>
      <c r="H374" s="58">
        <v>4</v>
      </c>
      <c r="I374" s="58">
        <v>3</v>
      </c>
      <c r="J374" s="58">
        <v>24</v>
      </c>
      <c r="K374" s="58">
        <v>3923516</v>
      </c>
      <c r="L374" s="58">
        <v>600</v>
      </c>
      <c r="M374" s="58">
        <v>6084</v>
      </c>
      <c r="N374" s="58" t="s">
        <v>874</v>
      </c>
      <c r="O374" s="59" t="s">
        <v>875</v>
      </c>
      <c r="P374" s="58" t="s">
        <v>876</v>
      </c>
      <c r="Q374" s="61">
        <v>1100001</v>
      </c>
      <c r="R374" s="58">
        <v>0</v>
      </c>
      <c r="S374" s="58" t="s">
        <v>206</v>
      </c>
      <c r="T374" s="58">
        <v>1</v>
      </c>
      <c r="U374" s="58" t="s">
        <v>877</v>
      </c>
      <c r="V374" s="19" t="s">
        <v>785</v>
      </c>
      <c r="W374" s="58" t="s">
        <v>878</v>
      </c>
      <c r="X374" s="57">
        <v>15</v>
      </c>
      <c r="Y374" s="19" t="s">
        <v>1085</v>
      </c>
      <c r="Z374" s="19" t="s">
        <v>1086</v>
      </c>
      <c r="AA374" s="19" t="s">
        <v>1087</v>
      </c>
      <c r="AB374" s="19">
        <v>8</v>
      </c>
      <c r="AC374" s="43" t="b">
        <v>0</v>
      </c>
      <c r="AD374" s="44"/>
      <c r="AE374" s="44">
        <v>5</v>
      </c>
      <c r="AF374" s="44"/>
      <c r="AG374" s="45" t="s">
        <v>646</v>
      </c>
      <c r="AH374" s="45" t="s">
        <v>604</v>
      </c>
      <c r="AI374" s="44"/>
    </row>
    <row r="375" spans="1:35" s="4" customFormat="1" x14ac:dyDescent="0.25">
      <c r="A375" s="57">
        <v>130625</v>
      </c>
      <c r="B375" s="57" t="s">
        <v>1088</v>
      </c>
      <c r="C375" s="57" t="s">
        <v>870</v>
      </c>
      <c r="D375" s="57" t="s">
        <v>871</v>
      </c>
      <c r="E375" s="57" t="s">
        <v>872</v>
      </c>
      <c r="F375" s="57" t="s">
        <v>873</v>
      </c>
      <c r="G375" s="58">
        <v>3</v>
      </c>
      <c r="H375" s="58">
        <v>4</v>
      </c>
      <c r="I375" s="58">
        <v>3</v>
      </c>
      <c r="J375" s="58">
        <v>25</v>
      </c>
      <c r="K375" s="58">
        <v>4174042</v>
      </c>
      <c r="L375" s="58">
        <v>600</v>
      </c>
      <c r="M375" s="58">
        <v>6085</v>
      </c>
      <c r="N375" s="58" t="s">
        <v>874</v>
      </c>
      <c r="O375" s="59" t="s">
        <v>875</v>
      </c>
      <c r="P375" s="58" t="s">
        <v>876</v>
      </c>
      <c r="Q375" s="61">
        <v>1100001</v>
      </c>
      <c r="R375" s="58">
        <v>0</v>
      </c>
      <c r="S375" s="58" t="s">
        <v>206</v>
      </c>
      <c r="T375" s="58">
        <v>1</v>
      </c>
      <c r="U375" s="58" t="s">
        <v>877</v>
      </c>
      <c r="V375" s="19" t="s">
        <v>785</v>
      </c>
      <c r="W375" s="58" t="s">
        <v>878</v>
      </c>
      <c r="X375" s="57">
        <v>15</v>
      </c>
      <c r="Y375" s="19" t="s">
        <v>1089</v>
      </c>
      <c r="Z375" s="19" t="s">
        <v>1090</v>
      </c>
      <c r="AA375" s="19" t="s">
        <v>1091</v>
      </c>
      <c r="AB375" s="19">
        <v>8</v>
      </c>
      <c r="AC375" s="43" t="b">
        <v>0</v>
      </c>
      <c r="AD375" s="44"/>
      <c r="AE375" s="44">
        <v>5</v>
      </c>
      <c r="AF375" s="44"/>
      <c r="AG375" s="45" t="s">
        <v>646</v>
      </c>
      <c r="AH375" s="45" t="s">
        <v>604</v>
      </c>
      <c r="AI375" s="44"/>
    </row>
    <row r="376" spans="1:35" s="4" customFormat="1" x14ac:dyDescent="0.25">
      <c r="A376" s="57">
        <v>130626</v>
      </c>
      <c r="B376" s="57" t="s">
        <v>1092</v>
      </c>
      <c r="C376" s="57" t="s">
        <v>870</v>
      </c>
      <c r="D376" s="57" t="s">
        <v>871</v>
      </c>
      <c r="E376" s="57" t="s">
        <v>872</v>
      </c>
      <c r="F376" s="57" t="s">
        <v>873</v>
      </c>
      <c r="G376" s="58">
        <v>3</v>
      </c>
      <c r="H376" s="58">
        <v>4</v>
      </c>
      <c r="I376" s="58">
        <v>3</v>
      </c>
      <c r="J376" s="58">
        <v>26</v>
      </c>
      <c r="K376" s="58">
        <v>4424568</v>
      </c>
      <c r="L376" s="58">
        <v>600</v>
      </c>
      <c r="M376" s="58">
        <v>6086</v>
      </c>
      <c r="N376" s="58" t="s">
        <v>874</v>
      </c>
      <c r="O376" s="59" t="s">
        <v>875</v>
      </c>
      <c r="P376" s="58" t="s">
        <v>876</v>
      </c>
      <c r="Q376" s="61">
        <v>1100001</v>
      </c>
      <c r="R376" s="58">
        <v>0</v>
      </c>
      <c r="S376" s="58" t="s">
        <v>206</v>
      </c>
      <c r="T376" s="58">
        <v>1</v>
      </c>
      <c r="U376" s="58" t="s">
        <v>877</v>
      </c>
      <c r="V376" s="19" t="s">
        <v>785</v>
      </c>
      <c r="W376" s="58" t="s">
        <v>878</v>
      </c>
      <c r="X376" s="57">
        <v>15</v>
      </c>
      <c r="Y376" s="19" t="s">
        <v>1093</v>
      </c>
      <c r="Z376" s="19" t="s">
        <v>1094</v>
      </c>
      <c r="AA376" s="19" t="s">
        <v>1095</v>
      </c>
      <c r="AB376" s="19">
        <v>8</v>
      </c>
      <c r="AC376" s="43" t="b">
        <v>0</v>
      </c>
      <c r="AD376" s="44"/>
      <c r="AE376" s="44">
        <v>5</v>
      </c>
      <c r="AF376" s="44"/>
      <c r="AG376" s="45" t="s">
        <v>646</v>
      </c>
      <c r="AH376" s="45" t="s">
        <v>604</v>
      </c>
      <c r="AI376" s="44"/>
    </row>
    <row r="377" spans="1:35" s="4" customFormat="1" x14ac:dyDescent="0.25">
      <c r="A377" s="57">
        <v>130627</v>
      </c>
      <c r="B377" s="57" t="s">
        <v>1096</v>
      </c>
      <c r="C377" s="57" t="s">
        <v>870</v>
      </c>
      <c r="D377" s="57" t="s">
        <v>871</v>
      </c>
      <c r="E377" s="57" t="s">
        <v>872</v>
      </c>
      <c r="F377" s="57" t="s">
        <v>873</v>
      </c>
      <c r="G377" s="58">
        <v>3</v>
      </c>
      <c r="H377" s="58">
        <v>4</v>
      </c>
      <c r="I377" s="58">
        <v>3</v>
      </c>
      <c r="J377" s="58">
        <v>27</v>
      </c>
      <c r="K377" s="58">
        <v>4675094</v>
      </c>
      <c r="L377" s="58">
        <v>600</v>
      </c>
      <c r="M377" s="58">
        <v>6087</v>
      </c>
      <c r="N377" s="58" t="s">
        <v>874</v>
      </c>
      <c r="O377" s="59" t="s">
        <v>875</v>
      </c>
      <c r="P377" s="58" t="s">
        <v>876</v>
      </c>
      <c r="Q377" s="61">
        <v>1100001</v>
      </c>
      <c r="R377" s="58">
        <v>0</v>
      </c>
      <c r="S377" s="58" t="s">
        <v>206</v>
      </c>
      <c r="T377" s="58">
        <v>1</v>
      </c>
      <c r="U377" s="58" t="s">
        <v>877</v>
      </c>
      <c r="V377" s="19" t="s">
        <v>785</v>
      </c>
      <c r="W377" s="58" t="s">
        <v>878</v>
      </c>
      <c r="X377" s="57">
        <v>15</v>
      </c>
      <c r="Y377" s="19" t="s">
        <v>1097</v>
      </c>
      <c r="Z377" s="19" t="s">
        <v>1098</v>
      </c>
      <c r="AA377" s="19" t="s">
        <v>1099</v>
      </c>
      <c r="AB377" s="19">
        <v>8</v>
      </c>
      <c r="AC377" s="43" t="b">
        <v>0</v>
      </c>
      <c r="AD377" s="44"/>
      <c r="AE377" s="44">
        <v>5</v>
      </c>
      <c r="AF377" s="44"/>
      <c r="AG377" s="45" t="s">
        <v>646</v>
      </c>
      <c r="AH377" s="45" t="s">
        <v>604</v>
      </c>
      <c r="AI377" s="44"/>
    </row>
    <row r="378" spans="1:35" s="4" customFormat="1" x14ac:dyDescent="0.25">
      <c r="A378" s="57">
        <v>130628</v>
      </c>
      <c r="B378" s="57" t="s">
        <v>1100</v>
      </c>
      <c r="C378" s="57" t="s">
        <v>870</v>
      </c>
      <c r="D378" s="57" t="s">
        <v>871</v>
      </c>
      <c r="E378" s="57" t="s">
        <v>872</v>
      </c>
      <c r="F378" s="57" t="s">
        <v>873</v>
      </c>
      <c r="G378" s="58">
        <v>3</v>
      </c>
      <c r="H378" s="58">
        <v>4</v>
      </c>
      <c r="I378" s="58">
        <v>3</v>
      </c>
      <c r="J378" s="58">
        <v>28</v>
      </c>
      <c r="K378" s="58">
        <v>4925620</v>
      </c>
      <c r="L378" s="58">
        <v>600</v>
      </c>
      <c r="M378" s="58">
        <v>6088</v>
      </c>
      <c r="N378" s="58" t="s">
        <v>874</v>
      </c>
      <c r="O378" s="59" t="s">
        <v>875</v>
      </c>
      <c r="P378" s="58" t="s">
        <v>876</v>
      </c>
      <c r="Q378" s="61">
        <v>1100001</v>
      </c>
      <c r="R378" s="58">
        <v>0</v>
      </c>
      <c r="S378" s="58" t="s">
        <v>206</v>
      </c>
      <c r="T378" s="58">
        <v>1</v>
      </c>
      <c r="U378" s="58" t="s">
        <v>877</v>
      </c>
      <c r="V378" s="19" t="s">
        <v>785</v>
      </c>
      <c r="W378" s="58" t="s">
        <v>878</v>
      </c>
      <c r="X378" s="57">
        <v>15</v>
      </c>
      <c r="Y378" s="19" t="s">
        <v>1101</v>
      </c>
      <c r="Z378" s="19" t="s">
        <v>1102</v>
      </c>
      <c r="AA378" s="19" t="s">
        <v>1103</v>
      </c>
      <c r="AB378" s="19">
        <v>8</v>
      </c>
      <c r="AC378" s="43" t="b">
        <v>0</v>
      </c>
      <c r="AD378" s="44"/>
      <c r="AE378" s="44">
        <v>5</v>
      </c>
      <c r="AF378" s="44"/>
      <c r="AG378" s="45" t="s">
        <v>646</v>
      </c>
      <c r="AH378" s="45" t="s">
        <v>604</v>
      </c>
      <c r="AI378" s="44"/>
    </row>
    <row r="379" spans="1:35" s="4" customFormat="1" x14ac:dyDescent="0.25">
      <c r="A379" s="57">
        <v>130629</v>
      </c>
      <c r="B379" s="57" t="s">
        <v>1104</v>
      </c>
      <c r="C379" s="57" t="s">
        <v>870</v>
      </c>
      <c r="D379" s="57" t="s">
        <v>871</v>
      </c>
      <c r="E379" s="57" t="s">
        <v>872</v>
      </c>
      <c r="F379" s="57" t="s">
        <v>873</v>
      </c>
      <c r="G379" s="58">
        <v>3</v>
      </c>
      <c r="H379" s="58">
        <v>4</v>
      </c>
      <c r="I379" s="58">
        <v>3</v>
      </c>
      <c r="J379" s="58">
        <v>29</v>
      </c>
      <c r="K379" s="58">
        <v>5176146</v>
      </c>
      <c r="L379" s="58">
        <v>600</v>
      </c>
      <c r="M379" s="58">
        <v>6089</v>
      </c>
      <c r="N379" s="58" t="s">
        <v>874</v>
      </c>
      <c r="O379" s="59" t="s">
        <v>875</v>
      </c>
      <c r="P379" s="58" t="s">
        <v>876</v>
      </c>
      <c r="Q379" s="61">
        <v>1100001</v>
      </c>
      <c r="R379" s="58">
        <v>0</v>
      </c>
      <c r="S379" s="58" t="s">
        <v>206</v>
      </c>
      <c r="T379" s="58">
        <v>1</v>
      </c>
      <c r="U379" s="58" t="s">
        <v>877</v>
      </c>
      <c r="V379" s="19" t="s">
        <v>785</v>
      </c>
      <c r="W379" s="58" t="s">
        <v>878</v>
      </c>
      <c r="X379" s="57">
        <v>15</v>
      </c>
      <c r="Y379" s="19" t="s">
        <v>1105</v>
      </c>
      <c r="Z379" s="19" t="s">
        <v>1106</v>
      </c>
      <c r="AA379" s="19" t="s">
        <v>1107</v>
      </c>
      <c r="AB379" s="19">
        <v>8</v>
      </c>
      <c r="AC379" s="43" t="b">
        <v>0</v>
      </c>
      <c r="AD379" s="44"/>
      <c r="AE379" s="44">
        <v>5</v>
      </c>
      <c r="AF379" s="44"/>
      <c r="AG379" s="45" t="s">
        <v>646</v>
      </c>
      <c r="AH379" s="45" t="s">
        <v>604</v>
      </c>
      <c r="AI379" s="44"/>
    </row>
    <row r="380" spans="1:35" s="4" customFormat="1" x14ac:dyDescent="0.25">
      <c r="A380" s="57">
        <v>130630</v>
      </c>
      <c r="B380" s="57" t="s">
        <v>1108</v>
      </c>
      <c r="C380" s="57" t="s">
        <v>870</v>
      </c>
      <c r="D380" s="57" t="s">
        <v>871</v>
      </c>
      <c r="E380" s="57" t="s">
        <v>872</v>
      </c>
      <c r="F380" s="57" t="s">
        <v>873</v>
      </c>
      <c r="G380" s="58">
        <v>3</v>
      </c>
      <c r="H380" s="58">
        <v>4</v>
      </c>
      <c r="I380" s="58">
        <v>3</v>
      </c>
      <c r="J380" s="58">
        <v>30</v>
      </c>
      <c r="K380" s="58">
        <v>5427276</v>
      </c>
      <c r="L380" s="58">
        <v>600</v>
      </c>
      <c r="M380" s="58">
        <v>6090</v>
      </c>
      <c r="N380" s="58" t="s">
        <v>874</v>
      </c>
      <c r="O380" s="59" t="s">
        <v>875</v>
      </c>
      <c r="P380" s="58" t="s">
        <v>876</v>
      </c>
      <c r="Q380" s="61">
        <v>1100001</v>
      </c>
      <c r="R380" s="58">
        <v>0</v>
      </c>
      <c r="S380" s="58" t="s">
        <v>206</v>
      </c>
      <c r="T380" s="58">
        <v>1</v>
      </c>
      <c r="U380" s="58" t="s">
        <v>877</v>
      </c>
      <c r="V380" s="19" t="s">
        <v>785</v>
      </c>
      <c r="W380" s="58" t="s">
        <v>878</v>
      </c>
      <c r="X380" s="57">
        <v>15</v>
      </c>
      <c r="Y380" s="19" t="s">
        <v>1109</v>
      </c>
      <c r="Z380" s="19" t="s">
        <v>1110</v>
      </c>
      <c r="AA380" s="19" t="s">
        <v>1111</v>
      </c>
      <c r="AB380" s="19">
        <v>8</v>
      </c>
      <c r="AC380" s="43" t="b">
        <v>0</v>
      </c>
      <c r="AD380" s="44"/>
      <c r="AE380" s="44">
        <v>5</v>
      </c>
      <c r="AF380" s="44"/>
      <c r="AG380" s="45" t="s">
        <v>646</v>
      </c>
      <c r="AH380" s="45" t="s">
        <v>604</v>
      </c>
      <c r="AI380" s="44"/>
    </row>
    <row r="381" spans="1:35" s="4" customFormat="1" x14ac:dyDescent="0.25">
      <c r="A381" s="57">
        <v>130701</v>
      </c>
      <c r="B381" s="57" t="s">
        <v>1112</v>
      </c>
      <c r="C381" s="57" t="s">
        <v>870</v>
      </c>
      <c r="D381" s="57" t="s">
        <v>871</v>
      </c>
      <c r="E381" s="57" t="s">
        <v>872</v>
      </c>
      <c r="F381" s="57" t="s">
        <v>873</v>
      </c>
      <c r="G381" s="58">
        <v>3</v>
      </c>
      <c r="H381" s="58">
        <v>4</v>
      </c>
      <c r="I381" s="58">
        <v>3</v>
      </c>
      <c r="J381" s="58">
        <v>1</v>
      </c>
      <c r="K381" s="58">
        <v>460831</v>
      </c>
      <c r="L381" s="58">
        <v>600</v>
      </c>
      <c r="M381" s="58">
        <v>6091</v>
      </c>
      <c r="N381" s="58" t="s">
        <v>874</v>
      </c>
      <c r="O381" s="59" t="s">
        <v>875</v>
      </c>
      <c r="P381" s="58" t="s">
        <v>876</v>
      </c>
      <c r="Q381" s="61">
        <v>1100001</v>
      </c>
      <c r="R381" s="58">
        <v>0</v>
      </c>
      <c r="S381" s="58" t="s">
        <v>206</v>
      </c>
      <c r="T381" s="58">
        <v>1</v>
      </c>
      <c r="U381" s="58" t="s">
        <v>877</v>
      </c>
      <c r="V381" s="19" t="s">
        <v>785</v>
      </c>
      <c r="W381" s="58" t="s">
        <v>878</v>
      </c>
      <c r="X381" s="57">
        <v>15</v>
      </c>
      <c r="Y381" s="19" t="s">
        <v>915</v>
      </c>
      <c r="Z381" s="19" t="s">
        <v>916</v>
      </c>
      <c r="AA381" s="19" t="s">
        <v>917</v>
      </c>
      <c r="AB381" s="19">
        <v>8</v>
      </c>
      <c r="AC381" s="43" t="b">
        <v>0</v>
      </c>
      <c r="AD381" s="44"/>
      <c r="AE381" s="44">
        <v>5</v>
      </c>
      <c r="AF381" s="44"/>
      <c r="AG381" s="45" t="s">
        <v>646</v>
      </c>
      <c r="AH381" s="45" t="s">
        <v>604</v>
      </c>
      <c r="AI381" s="44"/>
    </row>
    <row r="382" spans="1:35" s="4" customFormat="1" x14ac:dyDescent="0.25">
      <c r="A382" s="57">
        <v>130702</v>
      </c>
      <c r="B382" s="57" t="s">
        <v>1113</v>
      </c>
      <c r="C382" s="57" t="s">
        <v>870</v>
      </c>
      <c r="D382" s="57" t="s">
        <v>871</v>
      </c>
      <c r="E382" s="57" t="s">
        <v>872</v>
      </c>
      <c r="F382" s="57" t="s">
        <v>873</v>
      </c>
      <c r="G382" s="58">
        <v>3</v>
      </c>
      <c r="H382" s="58">
        <v>4</v>
      </c>
      <c r="I382" s="58">
        <v>3</v>
      </c>
      <c r="J382" s="58">
        <v>2</v>
      </c>
      <c r="K382" s="58">
        <v>492701</v>
      </c>
      <c r="L382" s="58">
        <v>600</v>
      </c>
      <c r="M382" s="58">
        <v>6092</v>
      </c>
      <c r="N382" s="58" t="s">
        <v>874</v>
      </c>
      <c r="O382" s="59" t="s">
        <v>875</v>
      </c>
      <c r="P382" s="58" t="s">
        <v>876</v>
      </c>
      <c r="Q382" s="61">
        <v>1100001</v>
      </c>
      <c r="R382" s="58">
        <v>0</v>
      </c>
      <c r="S382" s="58" t="s">
        <v>206</v>
      </c>
      <c r="T382" s="58">
        <v>1</v>
      </c>
      <c r="U382" s="58" t="s">
        <v>877</v>
      </c>
      <c r="V382" s="19" t="s">
        <v>785</v>
      </c>
      <c r="W382" s="58" t="s">
        <v>878</v>
      </c>
      <c r="X382" s="57">
        <v>15</v>
      </c>
      <c r="Y382" s="19" t="s">
        <v>923</v>
      </c>
      <c r="Z382" s="19" t="s">
        <v>924</v>
      </c>
      <c r="AA382" s="19" t="s">
        <v>925</v>
      </c>
      <c r="AB382" s="19">
        <v>8</v>
      </c>
      <c r="AC382" s="43" t="b">
        <v>0</v>
      </c>
      <c r="AD382" s="44"/>
      <c r="AE382" s="44">
        <v>5</v>
      </c>
      <c r="AF382" s="44"/>
      <c r="AG382" s="45" t="s">
        <v>646</v>
      </c>
      <c r="AH382" s="45" t="s">
        <v>604</v>
      </c>
      <c r="AI382" s="44"/>
    </row>
    <row r="383" spans="1:35" s="4" customFormat="1" x14ac:dyDescent="0.25">
      <c r="A383" s="57">
        <v>130703</v>
      </c>
      <c r="B383" s="57" t="s">
        <v>1114</v>
      </c>
      <c r="C383" s="57" t="s">
        <v>870</v>
      </c>
      <c r="D383" s="57" t="s">
        <v>871</v>
      </c>
      <c r="E383" s="57" t="s">
        <v>872</v>
      </c>
      <c r="F383" s="57" t="s">
        <v>873</v>
      </c>
      <c r="G383" s="58">
        <v>3</v>
      </c>
      <c r="H383" s="58">
        <v>4</v>
      </c>
      <c r="I383" s="58">
        <v>3</v>
      </c>
      <c r="J383" s="58">
        <v>3</v>
      </c>
      <c r="K383" s="58">
        <v>524437</v>
      </c>
      <c r="L383" s="58">
        <v>600</v>
      </c>
      <c r="M383" s="58">
        <v>6093</v>
      </c>
      <c r="N383" s="58" t="s">
        <v>874</v>
      </c>
      <c r="O383" s="59" t="s">
        <v>875</v>
      </c>
      <c r="P383" s="58" t="s">
        <v>876</v>
      </c>
      <c r="Q383" s="61">
        <v>1100001</v>
      </c>
      <c r="R383" s="58">
        <v>0</v>
      </c>
      <c r="S383" s="58" t="s">
        <v>206</v>
      </c>
      <c r="T383" s="58">
        <v>1</v>
      </c>
      <c r="U383" s="58" t="s">
        <v>877</v>
      </c>
      <c r="V383" s="19" t="s">
        <v>785</v>
      </c>
      <c r="W383" s="58" t="s">
        <v>878</v>
      </c>
      <c r="X383" s="57">
        <v>15</v>
      </c>
      <c r="Y383" s="19" t="s">
        <v>931</v>
      </c>
      <c r="Z383" s="19" t="s">
        <v>932</v>
      </c>
      <c r="AA383" s="19" t="s">
        <v>933</v>
      </c>
      <c r="AB383" s="19">
        <v>8</v>
      </c>
      <c r="AC383" s="43" t="b">
        <v>0</v>
      </c>
      <c r="AD383" s="44"/>
      <c r="AE383" s="44">
        <v>5</v>
      </c>
      <c r="AF383" s="44"/>
      <c r="AG383" s="45" t="s">
        <v>646</v>
      </c>
      <c r="AH383" s="45" t="s">
        <v>604</v>
      </c>
      <c r="AI383" s="44"/>
    </row>
    <row r="384" spans="1:35" s="4" customFormat="1" x14ac:dyDescent="0.25">
      <c r="A384" s="57">
        <v>130704</v>
      </c>
      <c r="B384" s="57" t="s">
        <v>1115</v>
      </c>
      <c r="C384" s="57" t="s">
        <v>870</v>
      </c>
      <c r="D384" s="57" t="s">
        <v>871</v>
      </c>
      <c r="E384" s="57" t="s">
        <v>872</v>
      </c>
      <c r="F384" s="57" t="s">
        <v>873</v>
      </c>
      <c r="G384" s="58">
        <v>3</v>
      </c>
      <c r="H384" s="58">
        <v>4</v>
      </c>
      <c r="I384" s="58">
        <v>3</v>
      </c>
      <c r="J384" s="58">
        <v>4</v>
      </c>
      <c r="K384" s="58">
        <v>540375</v>
      </c>
      <c r="L384" s="58">
        <v>600</v>
      </c>
      <c r="M384" s="58">
        <v>6094</v>
      </c>
      <c r="N384" s="58" t="s">
        <v>874</v>
      </c>
      <c r="O384" s="59" t="s">
        <v>875</v>
      </c>
      <c r="P384" s="58" t="s">
        <v>876</v>
      </c>
      <c r="Q384" s="61">
        <v>1100001</v>
      </c>
      <c r="R384" s="58">
        <v>0</v>
      </c>
      <c r="S384" s="58" t="s">
        <v>206</v>
      </c>
      <c r="T384" s="58">
        <v>1</v>
      </c>
      <c r="U384" s="58" t="s">
        <v>877</v>
      </c>
      <c r="V384" s="19" t="s">
        <v>785</v>
      </c>
      <c r="W384" s="58" t="s">
        <v>878</v>
      </c>
      <c r="X384" s="57">
        <v>15</v>
      </c>
      <c r="Y384" s="19" t="s">
        <v>935</v>
      </c>
      <c r="Z384" s="19" t="s">
        <v>936</v>
      </c>
      <c r="AA384" s="19" t="s">
        <v>937</v>
      </c>
      <c r="AB384" s="19">
        <v>8</v>
      </c>
      <c r="AC384" s="43" t="b">
        <v>0</v>
      </c>
      <c r="AD384" s="44"/>
      <c r="AE384" s="44">
        <v>5</v>
      </c>
      <c r="AF384" s="44"/>
      <c r="AG384" s="45" t="s">
        <v>646</v>
      </c>
      <c r="AH384" s="45" t="s">
        <v>604</v>
      </c>
      <c r="AI384" s="44"/>
    </row>
    <row r="385" spans="1:35" s="4" customFormat="1" x14ac:dyDescent="0.25">
      <c r="A385" s="57">
        <v>130705</v>
      </c>
      <c r="B385" s="57" t="s">
        <v>1116</v>
      </c>
      <c r="C385" s="57" t="s">
        <v>870</v>
      </c>
      <c r="D385" s="57" t="s">
        <v>871</v>
      </c>
      <c r="E385" s="57" t="s">
        <v>872</v>
      </c>
      <c r="F385" s="57" t="s">
        <v>873</v>
      </c>
      <c r="G385" s="58">
        <v>3</v>
      </c>
      <c r="H385" s="58">
        <v>4</v>
      </c>
      <c r="I385" s="58">
        <v>3</v>
      </c>
      <c r="J385" s="58">
        <v>5</v>
      </c>
      <c r="K385" s="58">
        <v>556214</v>
      </c>
      <c r="L385" s="58">
        <v>600</v>
      </c>
      <c r="M385" s="58">
        <v>6095</v>
      </c>
      <c r="N385" s="58" t="s">
        <v>874</v>
      </c>
      <c r="O385" s="59" t="s">
        <v>875</v>
      </c>
      <c r="P385" s="58" t="s">
        <v>876</v>
      </c>
      <c r="Q385" s="61">
        <v>1100001</v>
      </c>
      <c r="R385" s="58">
        <v>0</v>
      </c>
      <c r="S385" s="58" t="s">
        <v>206</v>
      </c>
      <c r="T385" s="58">
        <v>1</v>
      </c>
      <c r="U385" s="58" t="s">
        <v>877</v>
      </c>
      <c r="V385" s="19" t="s">
        <v>785</v>
      </c>
      <c r="W385" s="58" t="s">
        <v>878</v>
      </c>
      <c r="X385" s="57">
        <v>15</v>
      </c>
      <c r="Y385" s="19" t="s">
        <v>939</v>
      </c>
      <c r="Z385" s="19" t="s">
        <v>940</v>
      </c>
      <c r="AA385" s="19" t="s">
        <v>941</v>
      </c>
      <c r="AB385" s="19">
        <v>8</v>
      </c>
      <c r="AC385" s="43" t="b">
        <v>0</v>
      </c>
      <c r="AD385" s="44"/>
      <c r="AE385" s="44">
        <v>5</v>
      </c>
      <c r="AF385" s="44"/>
      <c r="AG385" s="45" t="s">
        <v>646</v>
      </c>
      <c r="AH385" s="45" t="s">
        <v>604</v>
      </c>
      <c r="AI385" s="44"/>
    </row>
    <row r="386" spans="1:35" s="4" customFormat="1" x14ac:dyDescent="0.25">
      <c r="A386" s="57">
        <v>130706</v>
      </c>
      <c r="B386" s="57" t="s">
        <v>1117</v>
      </c>
      <c r="C386" s="57" t="s">
        <v>870</v>
      </c>
      <c r="D386" s="57" t="s">
        <v>871</v>
      </c>
      <c r="E386" s="57" t="s">
        <v>872</v>
      </c>
      <c r="F386" s="57" t="s">
        <v>873</v>
      </c>
      <c r="G386" s="58">
        <v>3</v>
      </c>
      <c r="H386" s="58">
        <v>4</v>
      </c>
      <c r="I386" s="58">
        <v>3</v>
      </c>
      <c r="J386" s="58">
        <v>6</v>
      </c>
      <c r="K386" s="58">
        <v>588008</v>
      </c>
      <c r="L386" s="58">
        <v>600</v>
      </c>
      <c r="M386" s="58">
        <v>6096</v>
      </c>
      <c r="N386" s="58" t="s">
        <v>874</v>
      </c>
      <c r="O386" s="59" t="s">
        <v>875</v>
      </c>
      <c r="P386" s="58" t="s">
        <v>876</v>
      </c>
      <c r="Q386" s="61">
        <v>1100001</v>
      </c>
      <c r="R386" s="58">
        <v>0</v>
      </c>
      <c r="S386" s="58" t="s">
        <v>206</v>
      </c>
      <c r="T386" s="58">
        <v>1</v>
      </c>
      <c r="U386" s="58" t="s">
        <v>877</v>
      </c>
      <c r="V386" s="19" t="s">
        <v>785</v>
      </c>
      <c r="W386" s="58" t="s">
        <v>878</v>
      </c>
      <c r="X386" s="57">
        <v>15</v>
      </c>
      <c r="Y386" s="19" t="s">
        <v>947</v>
      </c>
      <c r="Z386" s="19" t="s">
        <v>948</v>
      </c>
      <c r="AA386" s="19" t="s">
        <v>949</v>
      </c>
      <c r="AB386" s="19">
        <v>8</v>
      </c>
      <c r="AC386" s="43" t="b">
        <v>0</v>
      </c>
      <c r="AD386" s="44"/>
      <c r="AE386" s="44">
        <v>5</v>
      </c>
      <c r="AF386" s="44"/>
      <c r="AG386" s="45" t="s">
        <v>646</v>
      </c>
      <c r="AH386" s="45" t="s">
        <v>604</v>
      </c>
      <c r="AI386" s="44"/>
    </row>
    <row r="387" spans="1:35" s="4" customFormat="1" x14ac:dyDescent="0.25">
      <c r="A387" s="57">
        <v>130707</v>
      </c>
      <c r="B387" s="57" t="s">
        <v>1118</v>
      </c>
      <c r="C387" s="57" t="s">
        <v>870</v>
      </c>
      <c r="D387" s="57" t="s">
        <v>871</v>
      </c>
      <c r="E387" s="57" t="s">
        <v>872</v>
      </c>
      <c r="F387" s="57" t="s">
        <v>873</v>
      </c>
      <c r="G387" s="58">
        <v>3</v>
      </c>
      <c r="H387" s="58">
        <v>4</v>
      </c>
      <c r="I387" s="58">
        <v>3</v>
      </c>
      <c r="J387" s="58">
        <v>7</v>
      </c>
      <c r="K387" s="58">
        <v>619744</v>
      </c>
      <c r="L387" s="58">
        <v>600</v>
      </c>
      <c r="M387" s="58">
        <v>6097</v>
      </c>
      <c r="N387" s="58" t="s">
        <v>874</v>
      </c>
      <c r="O387" s="59" t="s">
        <v>875</v>
      </c>
      <c r="P387" s="58" t="s">
        <v>876</v>
      </c>
      <c r="Q387" s="61">
        <v>1100001</v>
      </c>
      <c r="R387" s="58">
        <v>0</v>
      </c>
      <c r="S387" s="58" t="s">
        <v>206</v>
      </c>
      <c r="T387" s="58">
        <v>1</v>
      </c>
      <c r="U387" s="58" t="s">
        <v>877</v>
      </c>
      <c r="V387" s="19" t="s">
        <v>785</v>
      </c>
      <c r="W387" s="58" t="s">
        <v>878</v>
      </c>
      <c r="X387" s="57">
        <v>15</v>
      </c>
      <c r="Y387" s="19" t="s">
        <v>955</v>
      </c>
      <c r="Z387" s="19" t="s">
        <v>956</v>
      </c>
      <c r="AA387" s="19" t="s">
        <v>957</v>
      </c>
      <c r="AB387" s="19">
        <v>8</v>
      </c>
      <c r="AC387" s="43" t="b">
        <v>0</v>
      </c>
      <c r="AD387" s="44"/>
      <c r="AE387" s="44">
        <v>5</v>
      </c>
      <c r="AF387" s="44"/>
      <c r="AG387" s="45" t="s">
        <v>646</v>
      </c>
      <c r="AH387" s="45" t="s">
        <v>604</v>
      </c>
      <c r="AI387" s="44"/>
    </row>
    <row r="388" spans="1:35" s="4" customFormat="1" x14ac:dyDescent="0.25">
      <c r="A388" s="57">
        <v>130708</v>
      </c>
      <c r="B388" s="57" t="s">
        <v>1119</v>
      </c>
      <c r="C388" s="57" t="s">
        <v>870</v>
      </c>
      <c r="D388" s="57" t="s">
        <v>871</v>
      </c>
      <c r="E388" s="57" t="s">
        <v>872</v>
      </c>
      <c r="F388" s="57" t="s">
        <v>873</v>
      </c>
      <c r="G388" s="58">
        <v>3</v>
      </c>
      <c r="H388" s="58">
        <v>4</v>
      </c>
      <c r="I388" s="58">
        <v>3</v>
      </c>
      <c r="J388" s="58">
        <v>8</v>
      </c>
      <c r="K388" s="58">
        <v>756553</v>
      </c>
      <c r="L388" s="58">
        <v>600</v>
      </c>
      <c r="M388" s="58">
        <v>6098</v>
      </c>
      <c r="N388" s="58" t="s">
        <v>874</v>
      </c>
      <c r="O388" s="59" t="s">
        <v>875</v>
      </c>
      <c r="P388" s="58" t="s">
        <v>876</v>
      </c>
      <c r="Q388" s="61">
        <v>1100001</v>
      </c>
      <c r="R388" s="58">
        <v>0</v>
      </c>
      <c r="S388" s="58" t="s">
        <v>206</v>
      </c>
      <c r="T388" s="58">
        <v>1</v>
      </c>
      <c r="U388" s="58" t="s">
        <v>877</v>
      </c>
      <c r="V388" s="19" t="s">
        <v>785</v>
      </c>
      <c r="W388" s="58" t="s">
        <v>878</v>
      </c>
      <c r="X388" s="57">
        <v>15</v>
      </c>
      <c r="Y388" s="19" t="s">
        <v>963</v>
      </c>
      <c r="Z388" s="19" t="s">
        <v>964</v>
      </c>
      <c r="AA388" s="19" t="s">
        <v>965</v>
      </c>
      <c r="AB388" s="19">
        <v>8</v>
      </c>
      <c r="AC388" s="43" t="b">
        <v>0</v>
      </c>
      <c r="AD388" s="44"/>
      <c r="AE388" s="44">
        <v>5</v>
      </c>
      <c r="AF388" s="44"/>
      <c r="AG388" s="45" t="s">
        <v>646</v>
      </c>
      <c r="AH388" s="45" t="s">
        <v>604</v>
      </c>
      <c r="AI388" s="44"/>
    </row>
    <row r="389" spans="1:35" s="4" customFormat="1" x14ac:dyDescent="0.25">
      <c r="A389" s="57">
        <v>130709</v>
      </c>
      <c r="B389" s="57" t="s">
        <v>1120</v>
      </c>
      <c r="C389" s="57" t="s">
        <v>870</v>
      </c>
      <c r="D389" s="57" t="s">
        <v>871</v>
      </c>
      <c r="E389" s="57" t="s">
        <v>872</v>
      </c>
      <c r="F389" s="57" t="s">
        <v>873</v>
      </c>
      <c r="G389" s="58">
        <v>3</v>
      </c>
      <c r="H389" s="58">
        <v>4</v>
      </c>
      <c r="I389" s="58">
        <v>3</v>
      </c>
      <c r="J389" s="58">
        <v>9</v>
      </c>
      <c r="K389" s="58">
        <v>998283</v>
      </c>
      <c r="L389" s="58">
        <v>600</v>
      </c>
      <c r="M389" s="58">
        <v>6099</v>
      </c>
      <c r="N389" s="58" t="s">
        <v>874</v>
      </c>
      <c r="O389" s="59" t="s">
        <v>875</v>
      </c>
      <c r="P389" s="58" t="s">
        <v>876</v>
      </c>
      <c r="Q389" s="61">
        <v>1100001</v>
      </c>
      <c r="R389" s="58">
        <v>0</v>
      </c>
      <c r="S389" s="58" t="s">
        <v>206</v>
      </c>
      <c r="T389" s="58">
        <v>1</v>
      </c>
      <c r="U389" s="58" t="s">
        <v>877</v>
      </c>
      <c r="V389" s="19" t="s">
        <v>785</v>
      </c>
      <c r="W389" s="58" t="s">
        <v>878</v>
      </c>
      <c r="X389" s="57">
        <v>15</v>
      </c>
      <c r="Y389" s="19" t="s">
        <v>971</v>
      </c>
      <c r="Z389" s="19" t="s">
        <v>972</v>
      </c>
      <c r="AA389" s="19" t="s">
        <v>973</v>
      </c>
      <c r="AB389" s="19">
        <v>8</v>
      </c>
      <c r="AC389" s="43" t="b">
        <v>0</v>
      </c>
      <c r="AD389" s="44"/>
      <c r="AE389" s="44">
        <v>5</v>
      </c>
      <c r="AF389" s="44"/>
      <c r="AG389" s="45" t="s">
        <v>646</v>
      </c>
      <c r="AH389" s="45" t="s">
        <v>604</v>
      </c>
      <c r="AI389" s="44"/>
    </row>
    <row r="390" spans="1:35" s="4" customFormat="1" x14ac:dyDescent="0.25">
      <c r="A390" s="57">
        <v>130710</v>
      </c>
      <c r="B390" s="57" t="s">
        <v>1121</v>
      </c>
      <c r="C390" s="57" t="s">
        <v>870</v>
      </c>
      <c r="D390" s="57" t="s">
        <v>871</v>
      </c>
      <c r="E390" s="57" t="s">
        <v>872</v>
      </c>
      <c r="F390" s="57" t="s">
        <v>873</v>
      </c>
      <c r="G390" s="58">
        <v>3</v>
      </c>
      <c r="H390" s="58">
        <v>4</v>
      </c>
      <c r="I390" s="58">
        <v>3</v>
      </c>
      <c r="J390" s="58">
        <v>10</v>
      </c>
      <c r="K390" s="58">
        <v>1240013</v>
      </c>
      <c r="L390" s="58">
        <v>600</v>
      </c>
      <c r="M390" s="58">
        <v>6100</v>
      </c>
      <c r="N390" s="58" t="s">
        <v>874</v>
      </c>
      <c r="O390" s="59" t="s">
        <v>875</v>
      </c>
      <c r="P390" s="58" t="s">
        <v>876</v>
      </c>
      <c r="Q390" s="61">
        <v>1100001</v>
      </c>
      <c r="R390" s="58">
        <v>0</v>
      </c>
      <c r="S390" s="58" t="s">
        <v>206</v>
      </c>
      <c r="T390" s="58">
        <v>1</v>
      </c>
      <c r="U390" s="58" t="s">
        <v>877</v>
      </c>
      <c r="V390" s="19" t="s">
        <v>785</v>
      </c>
      <c r="W390" s="58" t="s">
        <v>878</v>
      </c>
      <c r="X390" s="57">
        <v>15</v>
      </c>
      <c r="Y390" s="19" t="s">
        <v>979</v>
      </c>
      <c r="Z390" s="19" t="s">
        <v>980</v>
      </c>
      <c r="AA390" s="19" t="s">
        <v>981</v>
      </c>
      <c r="AB390" s="19">
        <v>8</v>
      </c>
      <c r="AC390" s="43" t="b">
        <v>0</v>
      </c>
      <c r="AD390" s="44"/>
      <c r="AE390" s="44">
        <v>5</v>
      </c>
      <c r="AF390" s="44"/>
      <c r="AG390" s="45" t="s">
        <v>646</v>
      </c>
      <c r="AH390" s="45" t="s">
        <v>604</v>
      </c>
      <c r="AI390" s="44"/>
    </row>
    <row r="391" spans="1:35" s="4" customFormat="1" x14ac:dyDescent="0.25">
      <c r="A391" s="57">
        <v>130711</v>
      </c>
      <c r="B391" s="57" t="s">
        <v>1122</v>
      </c>
      <c r="C391" s="57" t="s">
        <v>870</v>
      </c>
      <c r="D391" s="57" t="s">
        <v>871</v>
      </c>
      <c r="E391" s="57" t="s">
        <v>872</v>
      </c>
      <c r="F391" s="57" t="s">
        <v>873</v>
      </c>
      <c r="G391" s="58">
        <v>3</v>
      </c>
      <c r="H391" s="58">
        <v>4</v>
      </c>
      <c r="I391" s="58">
        <v>3</v>
      </c>
      <c r="J391" s="58">
        <v>11</v>
      </c>
      <c r="K391" s="58">
        <v>1481743</v>
      </c>
      <c r="L391" s="58">
        <v>600</v>
      </c>
      <c r="M391" s="58">
        <v>6101</v>
      </c>
      <c r="N391" s="58" t="s">
        <v>874</v>
      </c>
      <c r="O391" s="59" t="s">
        <v>875</v>
      </c>
      <c r="P391" s="58" t="s">
        <v>876</v>
      </c>
      <c r="Q391" s="61">
        <v>1100001</v>
      </c>
      <c r="R391" s="58">
        <v>0</v>
      </c>
      <c r="S391" s="58" t="s">
        <v>206</v>
      </c>
      <c r="T391" s="58">
        <v>1</v>
      </c>
      <c r="U391" s="58" t="s">
        <v>877</v>
      </c>
      <c r="V391" s="19" t="s">
        <v>785</v>
      </c>
      <c r="W391" s="58" t="s">
        <v>878</v>
      </c>
      <c r="X391" s="57">
        <v>15</v>
      </c>
      <c r="Y391" s="19" t="s">
        <v>987</v>
      </c>
      <c r="Z391" s="19" t="s">
        <v>988</v>
      </c>
      <c r="AA391" s="19" t="s">
        <v>989</v>
      </c>
      <c r="AB391" s="19">
        <v>8</v>
      </c>
      <c r="AC391" s="43" t="b">
        <v>0</v>
      </c>
      <c r="AD391" s="44"/>
      <c r="AE391" s="44">
        <v>5</v>
      </c>
      <c r="AF391" s="44"/>
      <c r="AG391" s="45" t="s">
        <v>646</v>
      </c>
      <c r="AH391" s="45" t="s">
        <v>604</v>
      </c>
      <c r="AI391" s="44"/>
    </row>
    <row r="392" spans="1:35" s="4" customFormat="1" x14ac:dyDescent="0.25">
      <c r="A392" s="57">
        <v>130712</v>
      </c>
      <c r="B392" s="57" t="s">
        <v>1123</v>
      </c>
      <c r="C392" s="57" t="s">
        <v>870</v>
      </c>
      <c r="D392" s="57" t="s">
        <v>871</v>
      </c>
      <c r="E392" s="57" t="s">
        <v>872</v>
      </c>
      <c r="F392" s="57" t="s">
        <v>873</v>
      </c>
      <c r="G392" s="58">
        <v>3</v>
      </c>
      <c r="H392" s="58">
        <v>4</v>
      </c>
      <c r="I392" s="58">
        <v>3</v>
      </c>
      <c r="J392" s="58">
        <v>12</v>
      </c>
      <c r="K392" s="58">
        <v>1722810</v>
      </c>
      <c r="L392" s="58">
        <v>600</v>
      </c>
      <c r="M392" s="58">
        <v>6102</v>
      </c>
      <c r="N392" s="58" t="s">
        <v>874</v>
      </c>
      <c r="O392" s="59" t="s">
        <v>875</v>
      </c>
      <c r="P392" s="58" t="s">
        <v>876</v>
      </c>
      <c r="Q392" s="61">
        <v>1100001</v>
      </c>
      <c r="R392" s="58">
        <v>0</v>
      </c>
      <c r="S392" s="58" t="s">
        <v>206</v>
      </c>
      <c r="T392" s="58">
        <v>1</v>
      </c>
      <c r="U392" s="58" t="s">
        <v>877</v>
      </c>
      <c r="V392" s="19" t="s">
        <v>785</v>
      </c>
      <c r="W392" s="58" t="s">
        <v>878</v>
      </c>
      <c r="X392" s="57">
        <v>15</v>
      </c>
      <c r="Y392" s="19" t="s">
        <v>995</v>
      </c>
      <c r="Z392" s="19" t="s">
        <v>996</v>
      </c>
      <c r="AA392" s="19" t="s">
        <v>997</v>
      </c>
      <c r="AB392" s="19">
        <v>8</v>
      </c>
      <c r="AC392" s="43" t="b">
        <v>0</v>
      </c>
      <c r="AD392" s="44"/>
      <c r="AE392" s="44">
        <v>5</v>
      </c>
      <c r="AF392" s="44"/>
      <c r="AG392" s="45" t="s">
        <v>646</v>
      </c>
      <c r="AH392" s="45" t="s">
        <v>604</v>
      </c>
      <c r="AI392" s="44"/>
    </row>
    <row r="393" spans="1:35" s="4" customFormat="1" x14ac:dyDescent="0.25">
      <c r="A393" s="57">
        <v>130713</v>
      </c>
      <c r="B393" s="57" t="s">
        <v>1124</v>
      </c>
      <c r="C393" s="57" t="s">
        <v>870</v>
      </c>
      <c r="D393" s="57" t="s">
        <v>871</v>
      </c>
      <c r="E393" s="57" t="s">
        <v>872</v>
      </c>
      <c r="F393" s="57" t="s">
        <v>873</v>
      </c>
      <c r="G393" s="58">
        <v>3</v>
      </c>
      <c r="H393" s="58">
        <v>4</v>
      </c>
      <c r="I393" s="58">
        <v>3</v>
      </c>
      <c r="J393" s="58">
        <v>13</v>
      </c>
      <c r="K393" s="58">
        <v>2044910</v>
      </c>
      <c r="L393" s="58">
        <v>600</v>
      </c>
      <c r="M393" s="58">
        <v>6103</v>
      </c>
      <c r="N393" s="58" t="s">
        <v>874</v>
      </c>
      <c r="O393" s="59" t="s">
        <v>875</v>
      </c>
      <c r="P393" s="58" t="s">
        <v>876</v>
      </c>
      <c r="Q393" s="61">
        <v>1100001</v>
      </c>
      <c r="R393" s="58">
        <v>0</v>
      </c>
      <c r="S393" s="58" t="s">
        <v>206</v>
      </c>
      <c r="T393" s="58">
        <v>1</v>
      </c>
      <c r="U393" s="58" t="s">
        <v>877</v>
      </c>
      <c r="V393" s="19" t="s">
        <v>785</v>
      </c>
      <c r="W393" s="58" t="s">
        <v>878</v>
      </c>
      <c r="X393" s="57">
        <v>15</v>
      </c>
      <c r="Y393" s="19" t="s">
        <v>1024</v>
      </c>
      <c r="Z393" s="19" t="s">
        <v>1025</v>
      </c>
      <c r="AA393" s="19" t="s">
        <v>1026</v>
      </c>
      <c r="AB393" s="19">
        <v>8</v>
      </c>
      <c r="AC393" s="43" t="b">
        <v>0</v>
      </c>
      <c r="AD393" s="44"/>
      <c r="AE393" s="44">
        <v>5</v>
      </c>
      <c r="AF393" s="44"/>
      <c r="AG393" s="45" t="s">
        <v>646</v>
      </c>
      <c r="AH393" s="45" t="s">
        <v>604</v>
      </c>
      <c r="AI393" s="44"/>
    </row>
    <row r="394" spans="1:35" s="4" customFormat="1" x14ac:dyDescent="0.25">
      <c r="A394" s="57">
        <v>130714</v>
      </c>
      <c r="B394" s="57" t="s">
        <v>1125</v>
      </c>
      <c r="C394" s="57" t="s">
        <v>870</v>
      </c>
      <c r="D394" s="57" t="s">
        <v>871</v>
      </c>
      <c r="E394" s="57" t="s">
        <v>872</v>
      </c>
      <c r="F394" s="57" t="s">
        <v>873</v>
      </c>
      <c r="G394" s="58">
        <v>3</v>
      </c>
      <c r="H394" s="58">
        <v>4</v>
      </c>
      <c r="I394" s="58">
        <v>3</v>
      </c>
      <c r="J394" s="58">
        <v>14</v>
      </c>
      <c r="K394" s="58">
        <v>2367010</v>
      </c>
      <c r="L394" s="58">
        <v>600</v>
      </c>
      <c r="M394" s="58">
        <v>6104</v>
      </c>
      <c r="N394" s="58" t="s">
        <v>874</v>
      </c>
      <c r="O394" s="59" t="s">
        <v>875</v>
      </c>
      <c r="P394" s="58" t="s">
        <v>876</v>
      </c>
      <c r="Q394" s="61">
        <v>1100001</v>
      </c>
      <c r="R394" s="58">
        <v>0</v>
      </c>
      <c r="S394" s="58" t="s">
        <v>206</v>
      </c>
      <c r="T394" s="58">
        <v>1</v>
      </c>
      <c r="U394" s="58" t="s">
        <v>877</v>
      </c>
      <c r="V394" s="19" t="s">
        <v>785</v>
      </c>
      <c r="W394" s="58" t="s">
        <v>878</v>
      </c>
      <c r="X394" s="57">
        <v>15</v>
      </c>
      <c r="Y394" s="19" t="s">
        <v>1032</v>
      </c>
      <c r="Z394" s="19" t="s">
        <v>1033</v>
      </c>
      <c r="AA394" s="19" t="s">
        <v>1034</v>
      </c>
      <c r="AB394" s="19">
        <v>8</v>
      </c>
      <c r="AC394" s="43" t="b">
        <v>0</v>
      </c>
      <c r="AD394" s="44"/>
      <c r="AE394" s="44">
        <v>5</v>
      </c>
      <c r="AF394" s="44"/>
      <c r="AG394" s="45" t="s">
        <v>646</v>
      </c>
      <c r="AH394" s="45" t="s">
        <v>604</v>
      </c>
      <c r="AI394" s="44"/>
    </row>
    <row r="395" spans="1:35" s="4" customFormat="1" x14ac:dyDescent="0.25">
      <c r="A395" s="57">
        <v>130715</v>
      </c>
      <c r="B395" s="57" t="s">
        <v>1126</v>
      </c>
      <c r="C395" s="57" t="s">
        <v>870</v>
      </c>
      <c r="D395" s="57" t="s">
        <v>871</v>
      </c>
      <c r="E395" s="57" t="s">
        <v>872</v>
      </c>
      <c r="F395" s="57" t="s">
        <v>873</v>
      </c>
      <c r="G395" s="58">
        <v>3</v>
      </c>
      <c r="H395" s="58">
        <v>4</v>
      </c>
      <c r="I395" s="58">
        <v>3</v>
      </c>
      <c r="J395" s="58">
        <v>15</v>
      </c>
      <c r="K395" s="58">
        <v>2689110</v>
      </c>
      <c r="L395" s="58">
        <v>600</v>
      </c>
      <c r="M395" s="58">
        <v>6105</v>
      </c>
      <c r="N395" s="58" t="s">
        <v>874</v>
      </c>
      <c r="O395" s="59" t="s">
        <v>875</v>
      </c>
      <c r="P395" s="58" t="s">
        <v>876</v>
      </c>
      <c r="Q395" s="61">
        <v>1100001</v>
      </c>
      <c r="R395" s="58">
        <v>0</v>
      </c>
      <c r="S395" s="58" t="s">
        <v>206</v>
      </c>
      <c r="T395" s="58">
        <v>1</v>
      </c>
      <c r="U395" s="58" t="s">
        <v>877</v>
      </c>
      <c r="V395" s="19" t="s">
        <v>785</v>
      </c>
      <c r="W395" s="58" t="s">
        <v>878</v>
      </c>
      <c r="X395" s="57">
        <v>15</v>
      </c>
      <c r="Y395" s="19" t="s">
        <v>1040</v>
      </c>
      <c r="Z395" s="19" t="s">
        <v>1041</v>
      </c>
      <c r="AA395" s="19" t="s">
        <v>1042</v>
      </c>
      <c r="AB395" s="19">
        <v>8</v>
      </c>
      <c r="AC395" s="43" t="b">
        <v>0</v>
      </c>
      <c r="AD395" s="44"/>
      <c r="AE395" s="44">
        <v>5</v>
      </c>
      <c r="AF395" s="44"/>
      <c r="AG395" s="45" t="s">
        <v>646</v>
      </c>
      <c r="AH395" s="45" t="s">
        <v>604</v>
      </c>
      <c r="AI395" s="44"/>
    </row>
    <row r="396" spans="1:35" s="4" customFormat="1" x14ac:dyDescent="0.25">
      <c r="A396" s="57">
        <v>130716</v>
      </c>
      <c r="B396" s="57" t="s">
        <v>1127</v>
      </c>
      <c r="C396" s="57" t="s">
        <v>870</v>
      </c>
      <c r="D396" s="57" t="s">
        <v>871</v>
      </c>
      <c r="E396" s="57" t="s">
        <v>872</v>
      </c>
      <c r="F396" s="57" t="s">
        <v>873</v>
      </c>
      <c r="G396" s="58">
        <v>3</v>
      </c>
      <c r="H396" s="58">
        <v>4</v>
      </c>
      <c r="I396" s="58">
        <v>3</v>
      </c>
      <c r="J396" s="58">
        <v>16</v>
      </c>
      <c r="K396" s="58">
        <v>3011210</v>
      </c>
      <c r="L396" s="58">
        <v>600</v>
      </c>
      <c r="M396" s="58">
        <v>6106</v>
      </c>
      <c r="N396" s="58" t="s">
        <v>874</v>
      </c>
      <c r="O396" s="59" t="s">
        <v>875</v>
      </c>
      <c r="P396" s="58" t="s">
        <v>876</v>
      </c>
      <c r="Q396" s="61">
        <v>1100001</v>
      </c>
      <c r="R396" s="58">
        <v>0</v>
      </c>
      <c r="S396" s="58" t="s">
        <v>206</v>
      </c>
      <c r="T396" s="58">
        <v>1</v>
      </c>
      <c r="U396" s="58" t="s">
        <v>877</v>
      </c>
      <c r="V396" s="19" t="s">
        <v>785</v>
      </c>
      <c r="W396" s="58" t="s">
        <v>878</v>
      </c>
      <c r="X396" s="57">
        <v>15</v>
      </c>
      <c r="Y396" s="19" t="s">
        <v>1048</v>
      </c>
      <c r="Z396" s="19" t="s">
        <v>1049</v>
      </c>
      <c r="AA396" s="19" t="s">
        <v>1050</v>
      </c>
      <c r="AB396" s="19">
        <v>8</v>
      </c>
      <c r="AC396" s="43" t="b">
        <v>0</v>
      </c>
      <c r="AD396" s="44"/>
      <c r="AE396" s="44">
        <v>5</v>
      </c>
      <c r="AF396" s="44"/>
      <c r="AG396" s="45" t="s">
        <v>646</v>
      </c>
      <c r="AH396" s="45" t="s">
        <v>604</v>
      </c>
      <c r="AI396" s="44"/>
    </row>
    <row r="397" spans="1:35" s="4" customFormat="1" x14ac:dyDescent="0.25">
      <c r="A397" s="57">
        <v>130717</v>
      </c>
      <c r="B397" s="57" t="s">
        <v>1128</v>
      </c>
      <c r="C397" s="57" t="s">
        <v>870</v>
      </c>
      <c r="D397" s="57" t="s">
        <v>871</v>
      </c>
      <c r="E397" s="57" t="s">
        <v>872</v>
      </c>
      <c r="F397" s="57" t="s">
        <v>873</v>
      </c>
      <c r="G397" s="58">
        <v>3</v>
      </c>
      <c r="H397" s="58">
        <v>4</v>
      </c>
      <c r="I397" s="58">
        <v>3</v>
      </c>
      <c r="J397" s="58">
        <v>17</v>
      </c>
      <c r="K397" s="58">
        <v>3422464</v>
      </c>
      <c r="L397" s="58">
        <v>600</v>
      </c>
      <c r="M397" s="58">
        <v>6107</v>
      </c>
      <c r="N397" s="58" t="s">
        <v>874</v>
      </c>
      <c r="O397" s="59" t="s">
        <v>875</v>
      </c>
      <c r="P397" s="58" t="s">
        <v>876</v>
      </c>
      <c r="Q397" s="61">
        <v>1100001</v>
      </c>
      <c r="R397" s="58">
        <v>0</v>
      </c>
      <c r="S397" s="58" t="s">
        <v>206</v>
      </c>
      <c r="T397" s="58">
        <v>1</v>
      </c>
      <c r="U397" s="58" t="s">
        <v>877</v>
      </c>
      <c r="V397" s="19" t="s">
        <v>785</v>
      </c>
      <c r="W397" s="58" t="s">
        <v>878</v>
      </c>
      <c r="X397" s="57">
        <v>15</v>
      </c>
      <c r="Y397" s="19" t="s">
        <v>1077</v>
      </c>
      <c r="Z397" s="19" t="s">
        <v>1078</v>
      </c>
      <c r="AA397" s="19" t="s">
        <v>1079</v>
      </c>
      <c r="AB397" s="19">
        <v>8</v>
      </c>
      <c r="AC397" s="43" t="b">
        <v>0</v>
      </c>
      <c r="AD397" s="44"/>
      <c r="AE397" s="44">
        <v>5</v>
      </c>
      <c r="AF397" s="44"/>
      <c r="AG397" s="45" t="s">
        <v>646</v>
      </c>
      <c r="AH397" s="45" t="s">
        <v>604</v>
      </c>
      <c r="AI397" s="44"/>
    </row>
    <row r="398" spans="1:35" s="4" customFormat="1" x14ac:dyDescent="0.25">
      <c r="A398" s="57">
        <v>130718</v>
      </c>
      <c r="B398" s="57" t="s">
        <v>1129</v>
      </c>
      <c r="C398" s="57" t="s">
        <v>870</v>
      </c>
      <c r="D398" s="57" t="s">
        <v>871</v>
      </c>
      <c r="E398" s="57" t="s">
        <v>872</v>
      </c>
      <c r="F398" s="57" t="s">
        <v>873</v>
      </c>
      <c r="G398" s="58">
        <v>3</v>
      </c>
      <c r="H398" s="58">
        <v>4</v>
      </c>
      <c r="I398" s="58">
        <v>3</v>
      </c>
      <c r="J398" s="58">
        <v>18</v>
      </c>
      <c r="K398" s="58">
        <v>3923516</v>
      </c>
      <c r="L398" s="58">
        <v>600</v>
      </c>
      <c r="M398" s="58">
        <v>6108</v>
      </c>
      <c r="N398" s="58" t="s">
        <v>874</v>
      </c>
      <c r="O398" s="59" t="s">
        <v>875</v>
      </c>
      <c r="P398" s="58" t="s">
        <v>876</v>
      </c>
      <c r="Q398" s="61">
        <v>1100001</v>
      </c>
      <c r="R398" s="58">
        <v>0</v>
      </c>
      <c r="S398" s="58" t="s">
        <v>206</v>
      </c>
      <c r="T398" s="58">
        <v>1</v>
      </c>
      <c r="U398" s="58" t="s">
        <v>877</v>
      </c>
      <c r="V398" s="19" t="s">
        <v>785</v>
      </c>
      <c r="W398" s="58" t="s">
        <v>878</v>
      </c>
      <c r="X398" s="57">
        <v>15</v>
      </c>
      <c r="Y398" s="19" t="s">
        <v>1085</v>
      </c>
      <c r="Z398" s="19" t="s">
        <v>1086</v>
      </c>
      <c r="AA398" s="19" t="s">
        <v>1087</v>
      </c>
      <c r="AB398" s="19">
        <v>8</v>
      </c>
      <c r="AC398" s="43" t="b">
        <v>0</v>
      </c>
      <c r="AD398" s="44"/>
      <c r="AE398" s="44">
        <v>5</v>
      </c>
      <c r="AF398" s="44"/>
      <c r="AG398" s="45" t="s">
        <v>646</v>
      </c>
      <c r="AH398" s="45" t="s">
        <v>604</v>
      </c>
      <c r="AI398" s="44"/>
    </row>
    <row r="399" spans="1:35" s="4" customFormat="1" x14ac:dyDescent="0.25">
      <c r="A399" s="57">
        <v>130719</v>
      </c>
      <c r="B399" s="57" t="s">
        <v>1130</v>
      </c>
      <c r="C399" s="57" t="s">
        <v>870</v>
      </c>
      <c r="D399" s="57" t="s">
        <v>871</v>
      </c>
      <c r="E399" s="57" t="s">
        <v>872</v>
      </c>
      <c r="F399" s="57" t="s">
        <v>873</v>
      </c>
      <c r="G399" s="58">
        <v>3</v>
      </c>
      <c r="H399" s="58">
        <v>4</v>
      </c>
      <c r="I399" s="58">
        <v>3</v>
      </c>
      <c r="J399" s="58">
        <v>19</v>
      </c>
      <c r="K399" s="58">
        <v>4424568</v>
      </c>
      <c r="L399" s="58">
        <v>600</v>
      </c>
      <c r="M399" s="58">
        <v>6109</v>
      </c>
      <c r="N399" s="58" t="s">
        <v>874</v>
      </c>
      <c r="O399" s="59" t="s">
        <v>875</v>
      </c>
      <c r="P399" s="58" t="s">
        <v>876</v>
      </c>
      <c r="Q399" s="61">
        <v>1100001</v>
      </c>
      <c r="R399" s="58">
        <v>0</v>
      </c>
      <c r="S399" s="58" t="s">
        <v>206</v>
      </c>
      <c r="T399" s="58">
        <v>1</v>
      </c>
      <c r="U399" s="58" t="s">
        <v>877</v>
      </c>
      <c r="V399" s="19" t="s">
        <v>785</v>
      </c>
      <c r="W399" s="58" t="s">
        <v>878</v>
      </c>
      <c r="X399" s="57">
        <v>15</v>
      </c>
      <c r="Y399" s="19" t="s">
        <v>1093</v>
      </c>
      <c r="Z399" s="19" t="s">
        <v>1094</v>
      </c>
      <c r="AA399" s="19" t="s">
        <v>1095</v>
      </c>
      <c r="AB399" s="19">
        <v>8</v>
      </c>
      <c r="AC399" s="43" t="b">
        <v>0</v>
      </c>
      <c r="AD399" s="44"/>
      <c r="AE399" s="44">
        <v>5</v>
      </c>
      <c r="AF399" s="44"/>
      <c r="AG399" s="45" t="s">
        <v>646</v>
      </c>
      <c r="AH399" s="45" t="s">
        <v>604</v>
      </c>
      <c r="AI399" s="44"/>
    </row>
    <row r="400" spans="1:35" s="4" customFormat="1" x14ac:dyDescent="0.25">
      <c r="A400" s="57">
        <v>130720</v>
      </c>
      <c r="B400" s="57" t="s">
        <v>1131</v>
      </c>
      <c r="C400" s="57" t="s">
        <v>870</v>
      </c>
      <c r="D400" s="57" t="s">
        <v>871</v>
      </c>
      <c r="E400" s="57" t="s">
        <v>872</v>
      </c>
      <c r="F400" s="57" t="s">
        <v>873</v>
      </c>
      <c r="G400" s="58">
        <v>3</v>
      </c>
      <c r="H400" s="58">
        <v>4</v>
      </c>
      <c r="I400" s="58">
        <v>3</v>
      </c>
      <c r="J400" s="58">
        <v>20</v>
      </c>
      <c r="K400" s="58">
        <v>4925620</v>
      </c>
      <c r="L400" s="58">
        <v>600</v>
      </c>
      <c r="M400" s="58">
        <v>6110</v>
      </c>
      <c r="N400" s="58" t="s">
        <v>874</v>
      </c>
      <c r="O400" s="59" t="s">
        <v>875</v>
      </c>
      <c r="P400" s="58" t="s">
        <v>876</v>
      </c>
      <c r="Q400" s="61">
        <v>1100001</v>
      </c>
      <c r="R400" s="58">
        <v>0</v>
      </c>
      <c r="S400" s="58" t="s">
        <v>206</v>
      </c>
      <c r="T400" s="58">
        <v>1</v>
      </c>
      <c r="U400" s="58" t="s">
        <v>877</v>
      </c>
      <c r="V400" s="19" t="s">
        <v>785</v>
      </c>
      <c r="W400" s="58" t="s">
        <v>878</v>
      </c>
      <c r="X400" s="57">
        <v>15</v>
      </c>
      <c r="Y400" s="19" t="s">
        <v>1101</v>
      </c>
      <c r="Z400" s="19" t="s">
        <v>1102</v>
      </c>
      <c r="AA400" s="19" t="s">
        <v>1103</v>
      </c>
      <c r="AB400" s="19">
        <v>8</v>
      </c>
      <c r="AC400" s="43" t="b">
        <v>0</v>
      </c>
      <c r="AD400" s="44"/>
      <c r="AE400" s="44">
        <v>5</v>
      </c>
      <c r="AF400" s="44"/>
      <c r="AG400" s="45" t="s">
        <v>646</v>
      </c>
      <c r="AH400" s="45" t="s">
        <v>604</v>
      </c>
      <c r="AI400" s="44"/>
    </row>
    <row r="401" spans="1:35" s="4" customFormat="1" x14ac:dyDescent="0.25">
      <c r="A401" s="57">
        <v>130721</v>
      </c>
      <c r="B401" s="57" t="s">
        <v>1132</v>
      </c>
      <c r="C401" s="57" t="s">
        <v>870</v>
      </c>
      <c r="D401" s="57" t="s">
        <v>871</v>
      </c>
      <c r="E401" s="57" t="s">
        <v>872</v>
      </c>
      <c r="F401" s="57" t="s">
        <v>873</v>
      </c>
      <c r="G401" s="58">
        <v>3</v>
      </c>
      <c r="H401" s="58">
        <v>4</v>
      </c>
      <c r="I401" s="58">
        <v>3</v>
      </c>
      <c r="J401" s="58">
        <v>21</v>
      </c>
      <c r="K401" s="58">
        <v>5427276</v>
      </c>
      <c r="L401" s="58">
        <v>600</v>
      </c>
      <c r="M401" s="58">
        <v>6111</v>
      </c>
      <c r="N401" s="58" t="s">
        <v>874</v>
      </c>
      <c r="O401" s="59" t="s">
        <v>875</v>
      </c>
      <c r="P401" s="58" t="s">
        <v>876</v>
      </c>
      <c r="Q401" s="61">
        <v>1100001</v>
      </c>
      <c r="R401" s="58">
        <v>0</v>
      </c>
      <c r="S401" s="58" t="s">
        <v>206</v>
      </c>
      <c r="T401" s="58">
        <v>1</v>
      </c>
      <c r="U401" s="58" t="s">
        <v>877</v>
      </c>
      <c r="V401" s="19" t="s">
        <v>785</v>
      </c>
      <c r="W401" s="58" t="s">
        <v>878</v>
      </c>
      <c r="X401" s="57">
        <v>15</v>
      </c>
      <c r="Y401" s="19" t="s">
        <v>1109</v>
      </c>
      <c r="Z401" s="19" t="s">
        <v>1110</v>
      </c>
      <c r="AA401" s="19" t="s">
        <v>1111</v>
      </c>
      <c r="AB401" s="19">
        <v>8</v>
      </c>
      <c r="AC401" s="43" t="b">
        <v>0</v>
      </c>
      <c r="AD401" s="44"/>
      <c r="AE401" s="44">
        <v>5</v>
      </c>
      <c r="AF401" s="44"/>
      <c r="AG401" s="45" t="s">
        <v>646</v>
      </c>
      <c r="AH401" s="45" t="s">
        <v>604</v>
      </c>
      <c r="AI401" s="44"/>
    </row>
    <row r="402" spans="1:35" s="4" customFormat="1" x14ac:dyDescent="0.25">
      <c r="A402" s="57">
        <v>130722</v>
      </c>
      <c r="B402" s="57" t="s">
        <v>1133</v>
      </c>
      <c r="C402" s="57" t="s">
        <v>870</v>
      </c>
      <c r="D402" s="57" t="s">
        <v>871</v>
      </c>
      <c r="E402" s="57" t="s">
        <v>872</v>
      </c>
      <c r="F402" s="57" t="s">
        <v>873</v>
      </c>
      <c r="G402" s="58">
        <v>3</v>
      </c>
      <c r="H402" s="58">
        <v>4</v>
      </c>
      <c r="I402" s="58">
        <v>3</v>
      </c>
      <c r="J402" s="58">
        <v>22</v>
      </c>
      <c r="K402" s="58">
        <v>5742944</v>
      </c>
      <c r="L402" s="58">
        <v>600</v>
      </c>
      <c r="M402" s="58">
        <v>6112</v>
      </c>
      <c r="N402" s="58" t="s">
        <v>874</v>
      </c>
      <c r="O402" s="59" t="s">
        <v>875</v>
      </c>
      <c r="P402" s="58" t="s">
        <v>876</v>
      </c>
      <c r="Q402" s="61">
        <v>1100001</v>
      </c>
      <c r="R402" s="58">
        <v>0</v>
      </c>
      <c r="S402" s="58" t="s">
        <v>206</v>
      </c>
      <c r="T402" s="58">
        <v>1</v>
      </c>
      <c r="U402" s="58" t="s">
        <v>877</v>
      </c>
      <c r="V402" s="19" t="s">
        <v>785</v>
      </c>
      <c r="W402" s="58" t="s">
        <v>878</v>
      </c>
      <c r="X402" s="57">
        <v>15</v>
      </c>
      <c r="Y402" s="19" t="s">
        <v>1134</v>
      </c>
      <c r="Z402" s="19" t="s">
        <v>1135</v>
      </c>
      <c r="AA402" s="19" t="s">
        <v>1136</v>
      </c>
      <c r="AB402" s="19">
        <v>8</v>
      </c>
      <c r="AC402" s="43" t="b">
        <v>0</v>
      </c>
      <c r="AD402" s="44"/>
      <c r="AE402" s="44">
        <v>5</v>
      </c>
      <c r="AF402" s="44"/>
      <c r="AG402" s="45" t="s">
        <v>646</v>
      </c>
      <c r="AH402" s="45" t="s">
        <v>604</v>
      </c>
      <c r="AI402" s="44"/>
    </row>
    <row r="403" spans="1:35" s="4" customFormat="1" x14ac:dyDescent="0.25">
      <c r="A403" s="57">
        <v>130723</v>
      </c>
      <c r="B403" s="57" t="s">
        <v>1137</v>
      </c>
      <c r="C403" s="57" t="s">
        <v>870</v>
      </c>
      <c r="D403" s="57" t="s">
        <v>871</v>
      </c>
      <c r="E403" s="57" t="s">
        <v>872</v>
      </c>
      <c r="F403" s="57" t="s">
        <v>873</v>
      </c>
      <c r="G403" s="58">
        <v>3</v>
      </c>
      <c r="H403" s="58">
        <v>4</v>
      </c>
      <c r="I403" s="58">
        <v>3</v>
      </c>
      <c r="J403" s="58">
        <v>23</v>
      </c>
      <c r="K403" s="58">
        <v>6058612</v>
      </c>
      <c r="L403" s="58">
        <v>600</v>
      </c>
      <c r="M403" s="58">
        <v>6113</v>
      </c>
      <c r="N403" s="58" t="s">
        <v>874</v>
      </c>
      <c r="O403" s="59" t="s">
        <v>875</v>
      </c>
      <c r="P403" s="58" t="s">
        <v>876</v>
      </c>
      <c r="Q403" s="61">
        <v>1100001</v>
      </c>
      <c r="R403" s="58">
        <v>0</v>
      </c>
      <c r="S403" s="58" t="s">
        <v>206</v>
      </c>
      <c r="T403" s="58">
        <v>1</v>
      </c>
      <c r="U403" s="58" t="s">
        <v>877</v>
      </c>
      <c r="V403" s="19" t="s">
        <v>785</v>
      </c>
      <c r="W403" s="58" t="s">
        <v>878</v>
      </c>
      <c r="X403" s="57">
        <v>15</v>
      </c>
      <c r="Y403" s="19" t="s">
        <v>1138</v>
      </c>
      <c r="Z403" s="19" t="s">
        <v>1139</v>
      </c>
      <c r="AA403" s="19" t="s">
        <v>1140</v>
      </c>
      <c r="AB403" s="19">
        <v>8</v>
      </c>
      <c r="AC403" s="43" t="b">
        <v>0</v>
      </c>
      <c r="AD403" s="44"/>
      <c r="AE403" s="44">
        <v>5</v>
      </c>
      <c r="AF403" s="44"/>
      <c r="AG403" s="45" t="s">
        <v>646</v>
      </c>
      <c r="AH403" s="45" t="s">
        <v>604</v>
      </c>
      <c r="AI403" s="44"/>
    </row>
    <row r="404" spans="1:35" s="4" customFormat="1" x14ac:dyDescent="0.25">
      <c r="A404" s="57">
        <v>130724</v>
      </c>
      <c r="B404" s="57" t="s">
        <v>1141</v>
      </c>
      <c r="C404" s="57" t="s">
        <v>870</v>
      </c>
      <c r="D404" s="57" t="s">
        <v>871</v>
      </c>
      <c r="E404" s="57" t="s">
        <v>872</v>
      </c>
      <c r="F404" s="57" t="s">
        <v>873</v>
      </c>
      <c r="G404" s="58">
        <v>3</v>
      </c>
      <c r="H404" s="58">
        <v>4</v>
      </c>
      <c r="I404" s="58">
        <v>3</v>
      </c>
      <c r="J404" s="58">
        <v>24</v>
      </c>
      <c r="K404" s="58">
        <v>6374280</v>
      </c>
      <c r="L404" s="58">
        <v>600</v>
      </c>
      <c r="M404" s="58">
        <v>6114</v>
      </c>
      <c r="N404" s="58" t="s">
        <v>874</v>
      </c>
      <c r="O404" s="59" t="s">
        <v>875</v>
      </c>
      <c r="P404" s="58" t="s">
        <v>876</v>
      </c>
      <c r="Q404" s="61">
        <v>1100001</v>
      </c>
      <c r="R404" s="58">
        <v>0</v>
      </c>
      <c r="S404" s="58" t="s">
        <v>206</v>
      </c>
      <c r="T404" s="58">
        <v>1</v>
      </c>
      <c r="U404" s="58" t="s">
        <v>877</v>
      </c>
      <c r="V404" s="19" t="s">
        <v>785</v>
      </c>
      <c r="W404" s="58" t="s">
        <v>878</v>
      </c>
      <c r="X404" s="57">
        <v>15</v>
      </c>
      <c r="Y404" s="19" t="s">
        <v>1142</v>
      </c>
      <c r="Z404" s="19" t="s">
        <v>1143</v>
      </c>
      <c r="AA404" s="19" t="s">
        <v>1144</v>
      </c>
      <c r="AB404" s="19">
        <v>8</v>
      </c>
      <c r="AC404" s="43" t="b">
        <v>0</v>
      </c>
      <c r="AD404" s="44"/>
      <c r="AE404" s="44">
        <v>5</v>
      </c>
      <c r="AF404" s="44"/>
      <c r="AG404" s="45" t="s">
        <v>646</v>
      </c>
      <c r="AH404" s="45" t="s">
        <v>604</v>
      </c>
      <c r="AI404" s="44"/>
    </row>
    <row r="405" spans="1:35" s="4" customFormat="1" x14ac:dyDescent="0.25">
      <c r="A405" s="57">
        <v>130725</v>
      </c>
      <c r="B405" s="57" t="s">
        <v>1145</v>
      </c>
      <c r="C405" s="57" t="s">
        <v>870</v>
      </c>
      <c r="D405" s="57" t="s">
        <v>871</v>
      </c>
      <c r="E405" s="57" t="s">
        <v>872</v>
      </c>
      <c r="F405" s="57" t="s">
        <v>873</v>
      </c>
      <c r="G405" s="58">
        <v>3</v>
      </c>
      <c r="H405" s="58">
        <v>4</v>
      </c>
      <c r="I405" s="58">
        <v>3</v>
      </c>
      <c r="J405" s="58">
        <v>25</v>
      </c>
      <c r="K405" s="58">
        <v>6689948</v>
      </c>
      <c r="L405" s="58">
        <v>600</v>
      </c>
      <c r="M405" s="58">
        <v>6115</v>
      </c>
      <c r="N405" s="58" t="s">
        <v>874</v>
      </c>
      <c r="O405" s="59" t="s">
        <v>875</v>
      </c>
      <c r="P405" s="58" t="s">
        <v>876</v>
      </c>
      <c r="Q405" s="61">
        <v>1100001</v>
      </c>
      <c r="R405" s="58">
        <v>0</v>
      </c>
      <c r="S405" s="58" t="s">
        <v>206</v>
      </c>
      <c r="T405" s="58">
        <v>1</v>
      </c>
      <c r="U405" s="58" t="s">
        <v>877</v>
      </c>
      <c r="V405" s="19" t="s">
        <v>785</v>
      </c>
      <c r="W405" s="58" t="s">
        <v>878</v>
      </c>
      <c r="X405" s="57">
        <v>15</v>
      </c>
      <c r="Y405" s="19" t="s">
        <v>1146</v>
      </c>
      <c r="Z405" s="19" t="s">
        <v>1147</v>
      </c>
      <c r="AA405" s="19" t="s">
        <v>1148</v>
      </c>
      <c r="AB405" s="19">
        <v>8</v>
      </c>
      <c r="AC405" s="43" t="b">
        <v>0</v>
      </c>
      <c r="AD405" s="44"/>
      <c r="AE405" s="44">
        <v>5</v>
      </c>
      <c r="AF405" s="44"/>
      <c r="AG405" s="45" t="s">
        <v>646</v>
      </c>
      <c r="AH405" s="45" t="s">
        <v>604</v>
      </c>
      <c r="AI405" s="44"/>
    </row>
    <row r="406" spans="1:35" s="4" customFormat="1" x14ac:dyDescent="0.25">
      <c r="A406" s="57">
        <v>130726</v>
      </c>
      <c r="B406" s="57" t="s">
        <v>1149</v>
      </c>
      <c r="C406" s="57" t="s">
        <v>870</v>
      </c>
      <c r="D406" s="57" t="s">
        <v>871</v>
      </c>
      <c r="E406" s="57" t="s">
        <v>872</v>
      </c>
      <c r="F406" s="57" t="s">
        <v>873</v>
      </c>
      <c r="G406" s="58">
        <v>3</v>
      </c>
      <c r="H406" s="58">
        <v>4</v>
      </c>
      <c r="I406" s="58">
        <v>3</v>
      </c>
      <c r="J406" s="58">
        <v>26</v>
      </c>
      <c r="K406" s="58">
        <v>7005616</v>
      </c>
      <c r="L406" s="58">
        <v>600</v>
      </c>
      <c r="M406" s="58">
        <v>6116</v>
      </c>
      <c r="N406" s="58" t="s">
        <v>874</v>
      </c>
      <c r="O406" s="59" t="s">
        <v>875</v>
      </c>
      <c r="P406" s="58" t="s">
        <v>876</v>
      </c>
      <c r="Q406" s="61">
        <v>1100001</v>
      </c>
      <c r="R406" s="58">
        <v>0</v>
      </c>
      <c r="S406" s="58" t="s">
        <v>206</v>
      </c>
      <c r="T406" s="58">
        <v>1</v>
      </c>
      <c r="U406" s="58" t="s">
        <v>877</v>
      </c>
      <c r="V406" s="19" t="s">
        <v>785</v>
      </c>
      <c r="W406" s="58" t="s">
        <v>878</v>
      </c>
      <c r="X406" s="57">
        <v>15</v>
      </c>
      <c r="Y406" s="19" t="s">
        <v>1150</v>
      </c>
      <c r="Z406" s="19" t="s">
        <v>1151</v>
      </c>
      <c r="AA406" s="19" t="s">
        <v>1152</v>
      </c>
      <c r="AB406" s="19">
        <v>8</v>
      </c>
      <c r="AC406" s="43" t="b">
        <v>0</v>
      </c>
      <c r="AD406" s="44"/>
      <c r="AE406" s="44">
        <v>5</v>
      </c>
      <c r="AF406" s="44"/>
      <c r="AG406" s="45" t="s">
        <v>646</v>
      </c>
      <c r="AH406" s="45" t="s">
        <v>604</v>
      </c>
      <c r="AI406" s="44"/>
    </row>
    <row r="407" spans="1:35" s="4" customFormat="1" x14ac:dyDescent="0.25">
      <c r="A407" s="57">
        <v>130727</v>
      </c>
      <c r="B407" s="57" t="s">
        <v>1153</v>
      </c>
      <c r="C407" s="57" t="s">
        <v>870</v>
      </c>
      <c r="D407" s="57" t="s">
        <v>871</v>
      </c>
      <c r="E407" s="57" t="s">
        <v>872</v>
      </c>
      <c r="F407" s="57" t="s">
        <v>873</v>
      </c>
      <c r="G407" s="58">
        <v>3</v>
      </c>
      <c r="H407" s="58">
        <v>4</v>
      </c>
      <c r="I407" s="58">
        <v>3</v>
      </c>
      <c r="J407" s="58">
        <v>27</v>
      </c>
      <c r="K407" s="58">
        <v>7321284</v>
      </c>
      <c r="L407" s="58">
        <v>600</v>
      </c>
      <c r="M407" s="58">
        <v>6117</v>
      </c>
      <c r="N407" s="58" t="s">
        <v>874</v>
      </c>
      <c r="O407" s="59" t="s">
        <v>875</v>
      </c>
      <c r="P407" s="58" t="s">
        <v>876</v>
      </c>
      <c r="Q407" s="61">
        <v>1100001</v>
      </c>
      <c r="R407" s="58">
        <v>0</v>
      </c>
      <c r="S407" s="58" t="s">
        <v>206</v>
      </c>
      <c r="T407" s="58">
        <v>1</v>
      </c>
      <c r="U407" s="58" t="s">
        <v>877</v>
      </c>
      <c r="V407" s="19" t="s">
        <v>785</v>
      </c>
      <c r="W407" s="58" t="s">
        <v>878</v>
      </c>
      <c r="X407" s="57">
        <v>15</v>
      </c>
      <c r="Y407" s="19" t="s">
        <v>1154</v>
      </c>
      <c r="Z407" s="19" t="s">
        <v>1155</v>
      </c>
      <c r="AA407" s="19" t="s">
        <v>1156</v>
      </c>
      <c r="AB407" s="19">
        <v>8</v>
      </c>
      <c r="AC407" s="43" t="b">
        <v>0</v>
      </c>
      <c r="AD407" s="44"/>
      <c r="AE407" s="44">
        <v>5</v>
      </c>
      <c r="AF407" s="44"/>
      <c r="AG407" s="45" t="s">
        <v>646</v>
      </c>
      <c r="AH407" s="45" t="s">
        <v>604</v>
      </c>
      <c r="AI407" s="44"/>
    </row>
    <row r="408" spans="1:35" s="4" customFormat="1" x14ac:dyDescent="0.25">
      <c r="A408" s="57">
        <v>130728</v>
      </c>
      <c r="B408" s="57" t="s">
        <v>1157</v>
      </c>
      <c r="C408" s="57" t="s">
        <v>870</v>
      </c>
      <c r="D408" s="57" t="s">
        <v>871</v>
      </c>
      <c r="E408" s="57" t="s">
        <v>872</v>
      </c>
      <c r="F408" s="57" t="s">
        <v>873</v>
      </c>
      <c r="G408" s="58">
        <v>3</v>
      </c>
      <c r="H408" s="58">
        <v>4</v>
      </c>
      <c r="I408" s="58">
        <v>3</v>
      </c>
      <c r="J408" s="58">
        <v>28</v>
      </c>
      <c r="K408" s="58">
        <v>7636952</v>
      </c>
      <c r="L408" s="58">
        <v>600</v>
      </c>
      <c r="M408" s="58">
        <v>6118</v>
      </c>
      <c r="N408" s="58" t="s">
        <v>874</v>
      </c>
      <c r="O408" s="59" t="s">
        <v>875</v>
      </c>
      <c r="P408" s="58" t="s">
        <v>876</v>
      </c>
      <c r="Q408" s="61">
        <v>1100001</v>
      </c>
      <c r="R408" s="58">
        <v>0</v>
      </c>
      <c r="S408" s="58" t="s">
        <v>206</v>
      </c>
      <c r="T408" s="58">
        <v>1</v>
      </c>
      <c r="U408" s="58" t="s">
        <v>877</v>
      </c>
      <c r="V408" s="19" t="s">
        <v>785</v>
      </c>
      <c r="W408" s="58" t="s">
        <v>878</v>
      </c>
      <c r="X408" s="57">
        <v>15</v>
      </c>
      <c r="Y408" s="19" t="s">
        <v>1158</v>
      </c>
      <c r="Z408" s="19" t="s">
        <v>1159</v>
      </c>
      <c r="AA408" s="19" t="s">
        <v>1160</v>
      </c>
      <c r="AB408" s="19">
        <v>8</v>
      </c>
      <c r="AC408" s="43" t="b">
        <v>0</v>
      </c>
      <c r="AD408" s="44"/>
      <c r="AE408" s="44">
        <v>5</v>
      </c>
      <c r="AF408" s="44"/>
      <c r="AG408" s="45" t="s">
        <v>646</v>
      </c>
      <c r="AH408" s="45" t="s">
        <v>604</v>
      </c>
      <c r="AI408" s="44"/>
    </row>
    <row r="409" spans="1:35" s="4" customFormat="1" x14ac:dyDescent="0.25">
      <c r="A409" s="57">
        <v>130729</v>
      </c>
      <c r="B409" s="57" t="s">
        <v>1161</v>
      </c>
      <c r="C409" s="57" t="s">
        <v>870</v>
      </c>
      <c r="D409" s="57" t="s">
        <v>871</v>
      </c>
      <c r="E409" s="57" t="s">
        <v>872</v>
      </c>
      <c r="F409" s="57" t="s">
        <v>873</v>
      </c>
      <c r="G409" s="58">
        <v>3</v>
      </c>
      <c r="H409" s="58">
        <v>4</v>
      </c>
      <c r="I409" s="58">
        <v>3</v>
      </c>
      <c r="J409" s="58">
        <v>29</v>
      </c>
      <c r="K409" s="58">
        <v>7952620</v>
      </c>
      <c r="L409" s="58">
        <v>600</v>
      </c>
      <c r="M409" s="58">
        <v>6119</v>
      </c>
      <c r="N409" s="58" t="s">
        <v>874</v>
      </c>
      <c r="O409" s="59" t="s">
        <v>875</v>
      </c>
      <c r="P409" s="58" t="s">
        <v>876</v>
      </c>
      <c r="Q409" s="61">
        <v>1100001</v>
      </c>
      <c r="R409" s="58">
        <v>0</v>
      </c>
      <c r="S409" s="58" t="s">
        <v>206</v>
      </c>
      <c r="T409" s="58">
        <v>1</v>
      </c>
      <c r="U409" s="58" t="s">
        <v>877</v>
      </c>
      <c r="V409" s="19" t="s">
        <v>785</v>
      </c>
      <c r="W409" s="58" t="s">
        <v>878</v>
      </c>
      <c r="X409" s="57">
        <v>15</v>
      </c>
      <c r="Y409" s="19" t="s">
        <v>1162</v>
      </c>
      <c r="Z409" s="19" t="s">
        <v>1163</v>
      </c>
      <c r="AA409" s="19" t="s">
        <v>1164</v>
      </c>
      <c r="AB409" s="19">
        <v>8</v>
      </c>
      <c r="AC409" s="43" t="b">
        <v>0</v>
      </c>
      <c r="AD409" s="44"/>
      <c r="AE409" s="44">
        <v>5</v>
      </c>
      <c r="AF409" s="44"/>
      <c r="AG409" s="45" t="s">
        <v>646</v>
      </c>
      <c r="AH409" s="45" t="s">
        <v>604</v>
      </c>
      <c r="AI409" s="44"/>
    </row>
    <row r="410" spans="1:35" s="4" customFormat="1" x14ac:dyDescent="0.25">
      <c r="A410" s="57">
        <v>130730</v>
      </c>
      <c r="B410" s="57" t="s">
        <v>1165</v>
      </c>
      <c r="C410" s="57" t="s">
        <v>870</v>
      </c>
      <c r="D410" s="57" t="s">
        <v>871</v>
      </c>
      <c r="E410" s="57" t="s">
        <v>872</v>
      </c>
      <c r="F410" s="57" t="s">
        <v>873</v>
      </c>
      <c r="G410" s="58">
        <v>3</v>
      </c>
      <c r="H410" s="58">
        <v>4</v>
      </c>
      <c r="I410" s="58">
        <v>3</v>
      </c>
      <c r="J410" s="58">
        <v>30</v>
      </c>
      <c r="K410" s="58">
        <v>8267886</v>
      </c>
      <c r="L410" s="58">
        <v>600</v>
      </c>
      <c r="M410" s="58">
        <v>6120</v>
      </c>
      <c r="N410" s="58" t="s">
        <v>874</v>
      </c>
      <c r="O410" s="59" t="s">
        <v>875</v>
      </c>
      <c r="P410" s="58" t="s">
        <v>876</v>
      </c>
      <c r="Q410" s="61">
        <v>1100001</v>
      </c>
      <c r="R410" s="58">
        <v>0</v>
      </c>
      <c r="S410" s="58" t="s">
        <v>206</v>
      </c>
      <c r="T410" s="58">
        <v>1</v>
      </c>
      <c r="U410" s="58" t="s">
        <v>877</v>
      </c>
      <c r="V410" s="19" t="s">
        <v>785</v>
      </c>
      <c r="W410" s="58" t="s">
        <v>878</v>
      </c>
      <c r="X410" s="57">
        <v>15</v>
      </c>
      <c r="Y410" s="19" t="s">
        <v>1166</v>
      </c>
      <c r="Z410" s="19" t="s">
        <v>1167</v>
      </c>
      <c r="AA410" s="19" t="s">
        <v>1168</v>
      </c>
      <c r="AB410" s="19">
        <v>8</v>
      </c>
      <c r="AC410" s="43" t="b">
        <v>0</v>
      </c>
      <c r="AD410" s="44"/>
      <c r="AE410" s="44">
        <v>5</v>
      </c>
      <c r="AF410" s="44"/>
      <c r="AG410" s="45" t="s">
        <v>646</v>
      </c>
      <c r="AH410" s="45" t="s">
        <v>604</v>
      </c>
      <c r="AI410" s="44"/>
    </row>
    <row r="411" spans="1:35" s="4" customFormat="1" x14ac:dyDescent="0.25">
      <c r="A411" s="57">
        <v>130801</v>
      </c>
      <c r="B411" s="57" t="s">
        <v>1169</v>
      </c>
      <c r="C411" s="57" t="s">
        <v>870</v>
      </c>
      <c r="D411" s="57" t="s">
        <v>871</v>
      </c>
      <c r="E411" s="57" t="s">
        <v>872</v>
      </c>
      <c r="F411" s="57" t="s">
        <v>873</v>
      </c>
      <c r="G411" s="58">
        <v>3</v>
      </c>
      <c r="H411" s="58">
        <v>4</v>
      </c>
      <c r="I411" s="58">
        <v>3</v>
      </c>
      <c r="J411" s="58">
        <v>1</v>
      </c>
      <c r="K411" s="58">
        <v>619744</v>
      </c>
      <c r="L411" s="58">
        <v>600</v>
      </c>
      <c r="M411" s="58">
        <v>6121</v>
      </c>
      <c r="N411" s="58" t="s">
        <v>874</v>
      </c>
      <c r="O411" s="59" t="s">
        <v>875</v>
      </c>
      <c r="P411" s="58" t="s">
        <v>876</v>
      </c>
      <c r="Q411" s="61">
        <v>1100001</v>
      </c>
      <c r="R411" s="58">
        <v>0</v>
      </c>
      <c r="S411" s="58" t="s">
        <v>206</v>
      </c>
      <c r="T411" s="58">
        <v>1</v>
      </c>
      <c r="U411" s="58" t="s">
        <v>877</v>
      </c>
      <c r="V411" s="19" t="s">
        <v>785</v>
      </c>
      <c r="W411" s="58" t="s">
        <v>878</v>
      </c>
      <c r="X411" s="57">
        <v>15</v>
      </c>
      <c r="Y411" s="19" t="s">
        <v>955</v>
      </c>
      <c r="Z411" s="19" t="s">
        <v>956</v>
      </c>
      <c r="AA411" s="19" t="s">
        <v>957</v>
      </c>
      <c r="AB411" s="19">
        <v>8</v>
      </c>
      <c r="AC411" s="43" t="b">
        <v>0</v>
      </c>
      <c r="AD411" s="44"/>
      <c r="AE411" s="44">
        <v>5</v>
      </c>
      <c r="AF411" s="44"/>
      <c r="AG411" s="45" t="s">
        <v>646</v>
      </c>
      <c r="AH411" s="45" t="s">
        <v>604</v>
      </c>
      <c r="AI411" s="44"/>
    </row>
    <row r="412" spans="1:35" s="4" customFormat="1" x14ac:dyDescent="0.25">
      <c r="A412" s="57">
        <v>130802</v>
      </c>
      <c r="B412" s="57" t="s">
        <v>1170</v>
      </c>
      <c r="C412" s="57" t="s">
        <v>870</v>
      </c>
      <c r="D412" s="57" t="s">
        <v>871</v>
      </c>
      <c r="E412" s="57" t="s">
        <v>872</v>
      </c>
      <c r="F412" s="57" t="s">
        <v>873</v>
      </c>
      <c r="G412" s="58">
        <v>3</v>
      </c>
      <c r="H412" s="58">
        <v>4</v>
      </c>
      <c r="I412" s="58">
        <v>3</v>
      </c>
      <c r="J412" s="58">
        <v>2</v>
      </c>
      <c r="K412" s="58">
        <v>998283</v>
      </c>
      <c r="L412" s="58">
        <v>600</v>
      </c>
      <c r="M412" s="58">
        <v>6122</v>
      </c>
      <c r="N412" s="58" t="s">
        <v>874</v>
      </c>
      <c r="O412" s="59" t="s">
        <v>875</v>
      </c>
      <c r="P412" s="58" t="s">
        <v>876</v>
      </c>
      <c r="Q412" s="61">
        <v>1100001</v>
      </c>
      <c r="R412" s="58">
        <v>0</v>
      </c>
      <c r="S412" s="58" t="s">
        <v>206</v>
      </c>
      <c r="T412" s="58">
        <v>1</v>
      </c>
      <c r="U412" s="58" t="s">
        <v>877</v>
      </c>
      <c r="V412" s="19" t="s">
        <v>785</v>
      </c>
      <c r="W412" s="58" t="s">
        <v>878</v>
      </c>
      <c r="X412" s="57">
        <v>15</v>
      </c>
      <c r="Y412" s="19" t="s">
        <v>971</v>
      </c>
      <c r="Z412" s="19" t="s">
        <v>972</v>
      </c>
      <c r="AA412" s="19" t="s">
        <v>973</v>
      </c>
      <c r="AB412" s="19">
        <v>8</v>
      </c>
      <c r="AC412" s="43" t="b">
        <v>0</v>
      </c>
      <c r="AD412" s="44"/>
      <c r="AE412" s="44">
        <v>5</v>
      </c>
      <c r="AF412" s="44"/>
      <c r="AG412" s="45" t="s">
        <v>646</v>
      </c>
      <c r="AH412" s="45" t="s">
        <v>604</v>
      </c>
      <c r="AI412" s="44"/>
    </row>
    <row r="413" spans="1:35" s="4" customFormat="1" x14ac:dyDescent="0.25">
      <c r="A413" s="57">
        <v>130803</v>
      </c>
      <c r="B413" s="57" t="s">
        <v>1171</v>
      </c>
      <c r="C413" s="57" t="s">
        <v>870</v>
      </c>
      <c r="D413" s="57" t="s">
        <v>871</v>
      </c>
      <c r="E413" s="57" t="s">
        <v>872</v>
      </c>
      <c r="F413" s="57" t="s">
        <v>873</v>
      </c>
      <c r="G413" s="58">
        <v>3</v>
      </c>
      <c r="H413" s="58">
        <v>4</v>
      </c>
      <c r="I413" s="58">
        <v>3</v>
      </c>
      <c r="J413" s="58">
        <v>3</v>
      </c>
      <c r="K413" s="58">
        <v>1481743</v>
      </c>
      <c r="L413" s="58">
        <v>600</v>
      </c>
      <c r="M413" s="58">
        <v>6123</v>
      </c>
      <c r="N413" s="58" t="s">
        <v>874</v>
      </c>
      <c r="O413" s="59" t="s">
        <v>875</v>
      </c>
      <c r="P413" s="58" t="s">
        <v>876</v>
      </c>
      <c r="Q413" s="61">
        <v>1100001</v>
      </c>
      <c r="R413" s="58">
        <v>0</v>
      </c>
      <c r="S413" s="58" t="s">
        <v>206</v>
      </c>
      <c r="T413" s="58">
        <v>1</v>
      </c>
      <c r="U413" s="58" t="s">
        <v>877</v>
      </c>
      <c r="V413" s="19" t="s">
        <v>785</v>
      </c>
      <c r="W413" s="58" t="s">
        <v>878</v>
      </c>
      <c r="X413" s="57">
        <v>15</v>
      </c>
      <c r="Y413" s="19" t="s">
        <v>987</v>
      </c>
      <c r="Z413" s="19" t="s">
        <v>988</v>
      </c>
      <c r="AA413" s="19" t="s">
        <v>989</v>
      </c>
      <c r="AB413" s="19">
        <v>8</v>
      </c>
      <c r="AC413" s="43" t="b">
        <v>0</v>
      </c>
      <c r="AD413" s="44"/>
      <c r="AE413" s="44">
        <v>5</v>
      </c>
      <c r="AF413" s="44"/>
      <c r="AG413" s="45" t="s">
        <v>646</v>
      </c>
      <c r="AH413" s="45" t="s">
        <v>604</v>
      </c>
      <c r="AI413" s="44"/>
    </row>
    <row r="414" spans="1:35" s="4" customFormat="1" x14ac:dyDescent="0.25">
      <c r="A414" s="57">
        <v>130804</v>
      </c>
      <c r="B414" s="57" t="s">
        <v>1172</v>
      </c>
      <c r="C414" s="57" t="s">
        <v>870</v>
      </c>
      <c r="D414" s="57" t="s">
        <v>871</v>
      </c>
      <c r="E414" s="57" t="s">
        <v>872</v>
      </c>
      <c r="F414" s="57" t="s">
        <v>873</v>
      </c>
      <c r="G414" s="58">
        <v>3</v>
      </c>
      <c r="H414" s="58">
        <v>4</v>
      </c>
      <c r="I414" s="58">
        <v>3</v>
      </c>
      <c r="J414" s="58">
        <v>4</v>
      </c>
      <c r="K414" s="58">
        <v>2044910</v>
      </c>
      <c r="L414" s="58">
        <v>600</v>
      </c>
      <c r="M414" s="58">
        <v>6124</v>
      </c>
      <c r="N414" s="58" t="s">
        <v>874</v>
      </c>
      <c r="O414" s="59" t="s">
        <v>875</v>
      </c>
      <c r="P414" s="58" t="s">
        <v>876</v>
      </c>
      <c r="Q414" s="61">
        <v>1100001</v>
      </c>
      <c r="R414" s="58">
        <v>0</v>
      </c>
      <c r="S414" s="58" t="s">
        <v>206</v>
      </c>
      <c r="T414" s="58">
        <v>1</v>
      </c>
      <c r="U414" s="58" t="s">
        <v>877</v>
      </c>
      <c r="V414" s="19" t="s">
        <v>785</v>
      </c>
      <c r="W414" s="58" t="s">
        <v>878</v>
      </c>
      <c r="X414" s="57">
        <v>15</v>
      </c>
      <c r="Y414" s="19" t="s">
        <v>1024</v>
      </c>
      <c r="Z414" s="19" t="s">
        <v>1025</v>
      </c>
      <c r="AA414" s="19" t="s">
        <v>1026</v>
      </c>
      <c r="AB414" s="19">
        <v>8</v>
      </c>
      <c r="AC414" s="43" t="b">
        <v>0</v>
      </c>
      <c r="AD414" s="44"/>
      <c r="AE414" s="44">
        <v>5</v>
      </c>
      <c r="AF414" s="44"/>
      <c r="AG414" s="45" t="s">
        <v>646</v>
      </c>
      <c r="AH414" s="45" t="s">
        <v>604</v>
      </c>
      <c r="AI414" s="44"/>
    </row>
    <row r="415" spans="1:35" s="4" customFormat="1" x14ac:dyDescent="0.25">
      <c r="A415" s="57">
        <v>130805</v>
      </c>
      <c r="B415" s="57" t="s">
        <v>1173</v>
      </c>
      <c r="C415" s="57" t="s">
        <v>870</v>
      </c>
      <c r="D415" s="57" t="s">
        <v>871</v>
      </c>
      <c r="E415" s="57" t="s">
        <v>872</v>
      </c>
      <c r="F415" s="57" t="s">
        <v>873</v>
      </c>
      <c r="G415" s="58">
        <v>3</v>
      </c>
      <c r="H415" s="58">
        <v>4</v>
      </c>
      <c r="I415" s="58">
        <v>3</v>
      </c>
      <c r="J415" s="58">
        <v>5</v>
      </c>
      <c r="K415" s="58">
        <v>2689110</v>
      </c>
      <c r="L415" s="58">
        <v>600</v>
      </c>
      <c r="M415" s="58">
        <v>6125</v>
      </c>
      <c r="N415" s="58" t="s">
        <v>874</v>
      </c>
      <c r="O415" s="59" t="s">
        <v>875</v>
      </c>
      <c r="P415" s="58" t="s">
        <v>876</v>
      </c>
      <c r="Q415" s="61">
        <v>1100001</v>
      </c>
      <c r="R415" s="58">
        <v>0</v>
      </c>
      <c r="S415" s="58" t="s">
        <v>206</v>
      </c>
      <c r="T415" s="58">
        <v>1</v>
      </c>
      <c r="U415" s="58" t="s">
        <v>877</v>
      </c>
      <c r="V415" s="19" t="s">
        <v>785</v>
      </c>
      <c r="W415" s="58" t="s">
        <v>878</v>
      </c>
      <c r="X415" s="57">
        <v>15</v>
      </c>
      <c r="Y415" s="19" t="s">
        <v>1040</v>
      </c>
      <c r="Z415" s="19" t="s">
        <v>1041</v>
      </c>
      <c r="AA415" s="19" t="s">
        <v>1042</v>
      </c>
      <c r="AB415" s="19">
        <v>8</v>
      </c>
      <c r="AC415" s="43" t="b">
        <v>0</v>
      </c>
      <c r="AD415" s="44"/>
      <c r="AE415" s="44">
        <v>5</v>
      </c>
      <c r="AF415" s="44"/>
      <c r="AG415" s="45" t="s">
        <v>646</v>
      </c>
      <c r="AH415" s="45" t="s">
        <v>604</v>
      </c>
      <c r="AI415" s="44"/>
    </row>
    <row r="416" spans="1:35" s="4" customFormat="1" x14ac:dyDescent="0.25">
      <c r="A416" s="57">
        <v>130806</v>
      </c>
      <c r="B416" s="57" t="s">
        <v>1174</v>
      </c>
      <c r="C416" s="57" t="s">
        <v>870</v>
      </c>
      <c r="D416" s="57" t="s">
        <v>871</v>
      </c>
      <c r="E416" s="57" t="s">
        <v>872</v>
      </c>
      <c r="F416" s="57" t="s">
        <v>873</v>
      </c>
      <c r="G416" s="58">
        <v>3</v>
      </c>
      <c r="H416" s="58">
        <v>4</v>
      </c>
      <c r="I416" s="58">
        <v>3</v>
      </c>
      <c r="J416" s="58">
        <v>6</v>
      </c>
      <c r="K416" s="58">
        <v>3422464</v>
      </c>
      <c r="L416" s="58">
        <v>600</v>
      </c>
      <c r="M416" s="58">
        <v>6126</v>
      </c>
      <c r="N416" s="58" t="s">
        <v>874</v>
      </c>
      <c r="O416" s="59" t="s">
        <v>875</v>
      </c>
      <c r="P416" s="58" t="s">
        <v>876</v>
      </c>
      <c r="Q416" s="61">
        <v>1100001</v>
      </c>
      <c r="R416" s="58">
        <v>0</v>
      </c>
      <c r="S416" s="58" t="s">
        <v>206</v>
      </c>
      <c r="T416" s="58">
        <v>1</v>
      </c>
      <c r="U416" s="58" t="s">
        <v>877</v>
      </c>
      <c r="V416" s="19" t="s">
        <v>785</v>
      </c>
      <c r="W416" s="58" t="s">
        <v>878</v>
      </c>
      <c r="X416" s="57">
        <v>15</v>
      </c>
      <c r="Y416" s="19" t="s">
        <v>1077</v>
      </c>
      <c r="Z416" s="19" t="s">
        <v>1078</v>
      </c>
      <c r="AA416" s="19" t="s">
        <v>1079</v>
      </c>
      <c r="AB416" s="19">
        <v>8</v>
      </c>
      <c r="AC416" s="43" t="b">
        <v>0</v>
      </c>
      <c r="AD416" s="44"/>
      <c r="AE416" s="44">
        <v>5</v>
      </c>
      <c r="AF416" s="44"/>
      <c r="AG416" s="45" t="s">
        <v>646</v>
      </c>
      <c r="AH416" s="45" t="s">
        <v>604</v>
      </c>
      <c r="AI416" s="44"/>
    </row>
    <row r="417" spans="1:35" s="4" customFormat="1" x14ac:dyDescent="0.25">
      <c r="A417" s="57">
        <v>130807</v>
      </c>
      <c r="B417" s="57" t="s">
        <v>1175</v>
      </c>
      <c r="C417" s="57" t="s">
        <v>870</v>
      </c>
      <c r="D417" s="57" t="s">
        <v>871</v>
      </c>
      <c r="E417" s="57" t="s">
        <v>872</v>
      </c>
      <c r="F417" s="57" t="s">
        <v>873</v>
      </c>
      <c r="G417" s="58">
        <v>3</v>
      </c>
      <c r="H417" s="58">
        <v>4</v>
      </c>
      <c r="I417" s="58">
        <v>3</v>
      </c>
      <c r="J417" s="58">
        <v>7</v>
      </c>
      <c r="K417" s="58">
        <v>3672990</v>
      </c>
      <c r="L417" s="58">
        <v>600</v>
      </c>
      <c r="M417" s="58">
        <v>6127</v>
      </c>
      <c r="N417" s="58" t="s">
        <v>874</v>
      </c>
      <c r="O417" s="59" t="s">
        <v>875</v>
      </c>
      <c r="P417" s="58" t="s">
        <v>876</v>
      </c>
      <c r="Q417" s="61">
        <v>1100001</v>
      </c>
      <c r="R417" s="58">
        <v>0</v>
      </c>
      <c r="S417" s="58" t="s">
        <v>206</v>
      </c>
      <c r="T417" s="58">
        <v>1</v>
      </c>
      <c r="U417" s="58" t="s">
        <v>877</v>
      </c>
      <c r="V417" s="19" t="s">
        <v>785</v>
      </c>
      <c r="W417" s="58" t="s">
        <v>878</v>
      </c>
      <c r="X417" s="57">
        <v>15</v>
      </c>
      <c r="Y417" s="19" t="s">
        <v>1081</v>
      </c>
      <c r="Z417" s="19" t="s">
        <v>1082</v>
      </c>
      <c r="AA417" s="19" t="s">
        <v>1083</v>
      </c>
      <c r="AB417" s="19">
        <v>8</v>
      </c>
      <c r="AC417" s="43" t="b">
        <v>0</v>
      </c>
      <c r="AD417" s="44"/>
      <c r="AE417" s="44">
        <v>5</v>
      </c>
      <c r="AF417" s="44"/>
      <c r="AG417" s="45" t="s">
        <v>646</v>
      </c>
      <c r="AH417" s="45" t="s">
        <v>604</v>
      </c>
      <c r="AI417" s="44"/>
    </row>
    <row r="418" spans="1:35" s="4" customFormat="1" x14ac:dyDescent="0.25">
      <c r="A418" s="57">
        <v>130808</v>
      </c>
      <c r="B418" s="57" t="s">
        <v>1176</v>
      </c>
      <c r="C418" s="57" t="s">
        <v>870</v>
      </c>
      <c r="D418" s="57" t="s">
        <v>871</v>
      </c>
      <c r="E418" s="57" t="s">
        <v>872</v>
      </c>
      <c r="F418" s="57" t="s">
        <v>873</v>
      </c>
      <c r="G418" s="58">
        <v>3</v>
      </c>
      <c r="H418" s="58">
        <v>4</v>
      </c>
      <c r="I418" s="58">
        <v>3</v>
      </c>
      <c r="J418" s="58">
        <v>8</v>
      </c>
      <c r="K418" s="58">
        <v>3923516</v>
      </c>
      <c r="L418" s="58">
        <v>600</v>
      </c>
      <c r="M418" s="58">
        <v>6128</v>
      </c>
      <c r="N418" s="58" t="s">
        <v>874</v>
      </c>
      <c r="O418" s="59" t="s">
        <v>875</v>
      </c>
      <c r="P418" s="58" t="s">
        <v>876</v>
      </c>
      <c r="Q418" s="61">
        <v>1100001</v>
      </c>
      <c r="R418" s="58">
        <v>0</v>
      </c>
      <c r="S418" s="58" t="s">
        <v>206</v>
      </c>
      <c r="T418" s="58">
        <v>1</v>
      </c>
      <c r="U418" s="58" t="s">
        <v>877</v>
      </c>
      <c r="V418" s="19" t="s">
        <v>785</v>
      </c>
      <c r="W418" s="58" t="s">
        <v>878</v>
      </c>
      <c r="X418" s="57">
        <v>15</v>
      </c>
      <c r="Y418" s="19" t="s">
        <v>1085</v>
      </c>
      <c r="Z418" s="19" t="s">
        <v>1086</v>
      </c>
      <c r="AA418" s="19" t="s">
        <v>1087</v>
      </c>
      <c r="AB418" s="19">
        <v>8</v>
      </c>
      <c r="AC418" s="43" t="b">
        <v>0</v>
      </c>
      <c r="AD418" s="44"/>
      <c r="AE418" s="44">
        <v>5</v>
      </c>
      <c r="AF418" s="44"/>
      <c r="AG418" s="45" t="s">
        <v>646</v>
      </c>
      <c r="AH418" s="45" t="s">
        <v>604</v>
      </c>
      <c r="AI418" s="44"/>
    </row>
    <row r="419" spans="1:35" s="4" customFormat="1" x14ac:dyDescent="0.25">
      <c r="A419" s="57">
        <v>130809</v>
      </c>
      <c r="B419" s="57" t="s">
        <v>1177</v>
      </c>
      <c r="C419" s="57" t="s">
        <v>870</v>
      </c>
      <c r="D419" s="57" t="s">
        <v>871</v>
      </c>
      <c r="E419" s="57" t="s">
        <v>872</v>
      </c>
      <c r="F419" s="57" t="s">
        <v>873</v>
      </c>
      <c r="G419" s="58">
        <v>3</v>
      </c>
      <c r="H419" s="58">
        <v>4</v>
      </c>
      <c r="I419" s="58">
        <v>3</v>
      </c>
      <c r="J419" s="58">
        <v>9</v>
      </c>
      <c r="K419" s="58">
        <v>4174042</v>
      </c>
      <c r="L419" s="58">
        <v>600</v>
      </c>
      <c r="M419" s="58">
        <v>6129</v>
      </c>
      <c r="N419" s="58" t="s">
        <v>874</v>
      </c>
      <c r="O419" s="59" t="s">
        <v>875</v>
      </c>
      <c r="P419" s="58" t="s">
        <v>876</v>
      </c>
      <c r="Q419" s="61">
        <v>1100001</v>
      </c>
      <c r="R419" s="58">
        <v>0</v>
      </c>
      <c r="S419" s="58" t="s">
        <v>206</v>
      </c>
      <c r="T419" s="58">
        <v>1</v>
      </c>
      <c r="U419" s="58" t="s">
        <v>877</v>
      </c>
      <c r="V419" s="19" t="s">
        <v>785</v>
      </c>
      <c r="W419" s="58" t="s">
        <v>878</v>
      </c>
      <c r="X419" s="57">
        <v>15</v>
      </c>
      <c r="Y419" s="19" t="s">
        <v>1089</v>
      </c>
      <c r="Z419" s="19" t="s">
        <v>1090</v>
      </c>
      <c r="AA419" s="19" t="s">
        <v>1091</v>
      </c>
      <c r="AB419" s="19">
        <v>8</v>
      </c>
      <c r="AC419" s="43" t="b">
        <v>0</v>
      </c>
      <c r="AD419" s="44"/>
      <c r="AE419" s="44">
        <v>5</v>
      </c>
      <c r="AF419" s="44"/>
      <c r="AG419" s="45" t="s">
        <v>646</v>
      </c>
      <c r="AH419" s="45" t="s">
        <v>604</v>
      </c>
      <c r="AI419" s="44"/>
    </row>
    <row r="420" spans="1:35" s="4" customFormat="1" x14ac:dyDescent="0.25">
      <c r="A420" s="57">
        <v>130810</v>
      </c>
      <c r="B420" s="57" t="s">
        <v>1178</v>
      </c>
      <c r="C420" s="57" t="s">
        <v>870</v>
      </c>
      <c r="D420" s="57" t="s">
        <v>871</v>
      </c>
      <c r="E420" s="57" t="s">
        <v>872</v>
      </c>
      <c r="F420" s="57" t="s">
        <v>873</v>
      </c>
      <c r="G420" s="58">
        <v>3</v>
      </c>
      <c r="H420" s="58">
        <v>4</v>
      </c>
      <c r="I420" s="58">
        <v>3</v>
      </c>
      <c r="J420" s="58">
        <v>10</v>
      </c>
      <c r="K420" s="58">
        <v>4424568</v>
      </c>
      <c r="L420" s="58">
        <v>600</v>
      </c>
      <c r="M420" s="58">
        <v>6130</v>
      </c>
      <c r="N420" s="58" t="s">
        <v>874</v>
      </c>
      <c r="O420" s="59" t="s">
        <v>875</v>
      </c>
      <c r="P420" s="58" t="s">
        <v>876</v>
      </c>
      <c r="Q420" s="61">
        <v>1100001</v>
      </c>
      <c r="R420" s="58">
        <v>0</v>
      </c>
      <c r="S420" s="58" t="s">
        <v>206</v>
      </c>
      <c r="T420" s="58">
        <v>1</v>
      </c>
      <c r="U420" s="58" t="s">
        <v>877</v>
      </c>
      <c r="V420" s="19" t="s">
        <v>785</v>
      </c>
      <c r="W420" s="58" t="s">
        <v>878</v>
      </c>
      <c r="X420" s="57">
        <v>15</v>
      </c>
      <c r="Y420" s="19" t="s">
        <v>1093</v>
      </c>
      <c r="Z420" s="19" t="s">
        <v>1094</v>
      </c>
      <c r="AA420" s="19" t="s">
        <v>1095</v>
      </c>
      <c r="AB420" s="19">
        <v>8</v>
      </c>
      <c r="AC420" s="43" t="b">
        <v>0</v>
      </c>
      <c r="AD420" s="44"/>
      <c r="AE420" s="44">
        <v>5</v>
      </c>
      <c r="AF420" s="44"/>
      <c r="AG420" s="45" t="s">
        <v>646</v>
      </c>
      <c r="AH420" s="45" t="s">
        <v>604</v>
      </c>
      <c r="AI420" s="44"/>
    </row>
    <row r="421" spans="1:35" s="4" customFormat="1" x14ac:dyDescent="0.25">
      <c r="A421" s="57">
        <v>130811</v>
      </c>
      <c r="B421" s="57" t="s">
        <v>1179</v>
      </c>
      <c r="C421" s="57" t="s">
        <v>870</v>
      </c>
      <c r="D421" s="57" t="s">
        <v>871</v>
      </c>
      <c r="E421" s="57" t="s">
        <v>872</v>
      </c>
      <c r="F421" s="57" t="s">
        <v>873</v>
      </c>
      <c r="G421" s="58">
        <v>3</v>
      </c>
      <c r="H421" s="58">
        <v>4</v>
      </c>
      <c r="I421" s="58">
        <v>3</v>
      </c>
      <c r="J421" s="58">
        <v>11</v>
      </c>
      <c r="K421" s="58">
        <v>4675094</v>
      </c>
      <c r="L421" s="58">
        <v>600</v>
      </c>
      <c r="M421" s="58">
        <v>6131</v>
      </c>
      <c r="N421" s="58" t="s">
        <v>874</v>
      </c>
      <c r="O421" s="59" t="s">
        <v>875</v>
      </c>
      <c r="P421" s="58" t="s">
        <v>876</v>
      </c>
      <c r="Q421" s="61">
        <v>1100001</v>
      </c>
      <c r="R421" s="58">
        <v>0</v>
      </c>
      <c r="S421" s="58" t="s">
        <v>206</v>
      </c>
      <c r="T421" s="58">
        <v>1</v>
      </c>
      <c r="U421" s="58" t="s">
        <v>877</v>
      </c>
      <c r="V421" s="19" t="s">
        <v>785</v>
      </c>
      <c r="W421" s="58" t="s">
        <v>878</v>
      </c>
      <c r="X421" s="57">
        <v>15</v>
      </c>
      <c r="Y421" s="19" t="s">
        <v>1097</v>
      </c>
      <c r="Z421" s="19" t="s">
        <v>1098</v>
      </c>
      <c r="AA421" s="19" t="s">
        <v>1099</v>
      </c>
      <c r="AB421" s="19">
        <v>8</v>
      </c>
      <c r="AC421" s="43" t="b">
        <v>0</v>
      </c>
      <c r="AD421" s="44"/>
      <c r="AE421" s="44">
        <v>5</v>
      </c>
      <c r="AF421" s="44"/>
      <c r="AG421" s="45" t="s">
        <v>646</v>
      </c>
      <c r="AH421" s="45" t="s">
        <v>604</v>
      </c>
      <c r="AI421" s="44"/>
    </row>
    <row r="422" spans="1:35" s="4" customFormat="1" x14ac:dyDescent="0.25">
      <c r="A422" s="57">
        <v>130812</v>
      </c>
      <c r="B422" s="57" t="s">
        <v>1180</v>
      </c>
      <c r="C422" s="57" t="s">
        <v>870</v>
      </c>
      <c r="D422" s="57" t="s">
        <v>871</v>
      </c>
      <c r="E422" s="57" t="s">
        <v>872</v>
      </c>
      <c r="F422" s="57" t="s">
        <v>873</v>
      </c>
      <c r="G422" s="58">
        <v>3</v>
      </c>
      <c r="H422" s="58">
        <v>4</v>
      </c>
      <c r="I422" s="58">
        <v>3</v>
      </c>
      <c r="J422" s="58">
        <v>12</v>
      </c>
      <c r="K422" s="58">
        <v>4925620</v>
      </c>
      <c r="L422" s="58">
        <v>600</v>
      </c>
      <c r="M422" s="58">
        <v>6132</v>
      </c>
      <c r="N422" s="58" t="s">
        <v>874</v>
      </c>
      <c r="O422" s="59" t="s">
        <v>875</v>
      </c>
      <c r="P422" s="58" t="s">
        <v>876</v>
      </c>
      <c r="Q422" s="61">
        <v>1100001</v>
      </c>
      <c r="R422" s="58">
        <v>0</v>
      </c>
      <c r="S422" s="58" t="s">
        <v>206</v>
      </c>
      <c r="T422" s="58">
        <v>1</v>
      </c>
      <c r="U422" s="58" t="s">
        <v>877</v>
      </c>
      <c r="V422" s="19" t="s">
        <v>785</v>
      </c>
      <c r="W422" s="58" t="s">
        <v>878</v>
      </c>
      <c r="X422" s="57">
        <v>15</v>
      </c>
      <c r="Y422" s="19" t="s">
        <v>1101</v>
      </c>
      <c r="Z422" s="19" t="s">
        <v>1102</v>
      </c>
      <c r="AA422" s="19" t="s">
        <v>1103</v>
      </c>
      <c r="AB422" s="19">
        <v>8</v>
      </c>
      <c r="AC422" s="43" t="b">
        <v>0</v>
      </c>
      <c r="AD422" s="44"/>
      <c r="AE422" s="44">
        <v>5</v>
      </c>
      <c r="AF422" s="44"/>
      <c r="AG422" s="45" t="s">
        <v>646</v>
      </c>
      <c r="AH422" s="45" t="s">
        <v>604</v>
      </c>
      <c r="AI422" s="44"/>
    </row>
    <row r="423" spans="1:35" s="4" customFormat="1" x14ac:dyDescent="0.25">
      <c r="A423" s="57">
        <v>130813</v>
      </c>
      <c r="B423" s="57" t="s">
        <v>1181</v>
      </c>
      <c r="C423" s="57" t="s">
        <v>870</v>
      </c>
      <c r="D423" s="57" t="s">
        <v>871</v>
      </c>
      <c r="E423" s="57" t="s">
        <v>872</v>
      </c>
      <c r="F423" s="57" t="s">
        <v>873</v>
      </c>
      <c r="G423" s="58">
        <v>3</v>
      </c>
      <c r="H423" s="58">
        <v>4</v>
      </c>
      <c r="I423" s="58">
        <v>3</v>
      </c>
      <c r="J423" s="58">
        <v>13</v>
      </c>
      <c r="K423" s="58">
        <v>5176146</v>
      </c>
      <c r="L423" s="58">
        <v>600</v>
      </c>
      <c r="M423" s="58">
        <v>6133</v>
      </c>
      <c r="N423" s="58" t="s">
        <v>874</v>
      </c>
      <c r="O423" s="59" t="s">
        <v>875</v>
      </c>
      <c r="P423" s="58" t="s">
        <v>876</v>
      </c>
      <c r="Q423" s="61">
        <v>1100001</v>
      </c>
      <c r="R423" s="58">
        <v>0</v>
      </c>
      <c r="S423" s="58" t="s">
        <v>206</v>
      </c>
      <c r="T423" s="58">
        <v>1</v>
      </c>
      <c r="U423" s="58" t="s">
        <v>877</v>
      </c>
      <c r="V423" s="19" t="s">
        <v>785</v>
      </c>
      <c r="W423" s="58" t="s">
        <v>878</v>
      </c>
      <c r="X423" s="57">
        <v>15</v>
      </c>
      <c r="Y423" s="19" t="s">
        <v>1105</v>
      </c>
      <c r="Z423" s="19" t="s">
        <v>1106</v>
      </c>
      <c r="AA423" s="19" t="s">
        <v>1107</v>
      </c>
      <c r="AB423" s="19">
        <v>8</v>
      </c>
      <c r="AC423" s="43" t="b">
        <v>0</v>
      </c>
      <c r="AD423" s="44"/>
      <c r="AE423" s="44">
        <v>5</v>
      </c>
      <c r="AF423" s="44"/>
      <c r="AG423" s="45" t="s">
        <v>646</v>
      </c>
      <c r="AH423" s="45" t="s">
        <v>604</v>
      </c>
      <c r="AI423" s="44"/>
    </row>
    <row r="424" spans="1:35" s="4" customFormat="1" x14ac:dyDescent="0.25">
      <c r="A424" s="57">
        <v>130814</v>
      </c>
      <c r="B424" s="57" t="s">
        <v>1182</v>
      </c>
      <c r="C424" s="57" t="s">
        <v>870</v>
      </c>
      <c r="D424" s="57" t="s">
        <v>871</v>
      </c>
      <c r="E424" s="57" t="s">
        <v>872</v>
      </c>
      <c r="F424" s="57" t="s">
        <v>873</v>
      </c>
      <c r="G424" s="58">
        <v>3</v>
      </c>
      <c r="H424" s="58">
        <v>4</v>
      </c>
      <c r="I424" s="58">
        <v>3</v>
      </c>
      <c r="J424" s="58">
        <v>14</v>
      </c>
      <c r="K424" s="58">
        <v>5427276</v>
      </c>
      <c r="L424" s="58">
        <v>600</v>
      </c>
      <c r="M424" s="58">
        <v>6134</v>
      </c>
      <c r="N424" s="58" t="s">
        <v>874</v>
      </c>
      <c r="O424" s="59" t="s">
        <v>875</v>
      </c>
      <c r="P424" s="58" t="s">
        <v>876</v>
      </c>
      <c r="Q424" s="61">
        <v>1100001</v>
      </c>
      <c r="R424" s="58">
        <v>0</v>
      </c>
      <c r="S424" s="58" t="s">
        <v>206</v>
      </c>
      <c r="T424" s="58">
        <v>1</v>
      </c>
      <c r="U424" s="58" t="s">
        <v>877</v>
      </c>
      <c r="V424" s="19" t="s">
        <v>785</v>
      </c>
      <c r="W424" s="58" t="s">
        <v>878</v>
      </c>
      <c r="X424" s="57">
        <v>15</v>
      </c>
      <c r="Y424" s="19" t="s">
        <v>1109</v>
      </c>
      <c r="Z424" s="19" t="s">
        <v>1110</v>
      </c>
      <c r="AA424" s="19" t="s">
        <v>1111</v>
      </c>
      <c r="AB424" s="19">
        <v>8</v>
      </c>
      <c r="AC424" s="43" t="b">
        <v>0</v>
      </c>
      <c r="AD424" s="44"/>
      <c r="AE424" s="44">
        <v>5</v>
      </c>
      <c r="AF424" s="44"/>
      <c r="AG424" s="45" t="s">
        <v>646</v>
      </c>
      <c r="AH424" s="45" t="s">
        <v>604</v>
      </c>
      <c r="AI424" s="44"/>
    </row>
    <row r="425" spans="1:35" s="4" customFormat="1" x14ac:dyDescent="0.25">
      <c r="A425" s="57">
        <v>130815</v>
      </c>
      <c r="B425" s="57" t="s">
        <v>1183</v>
      </c>
      <c r="C425" s="57" t="s">
        <v>870</v>
      </c>
      <c r="D425" s="57" t="s">
        <v>871</v>
      </c>
      <c r="E425" s="57" t="s">
        <v>872</v>
      </c>
      <c r="F425" s="57" t="s">
        <v>873</v>
      </c>
      <c r="G425" s="58">
        <v>3</v>
      </c>
      <c r="H425" s="58">
        <v>4</v>
      </c>
      <c r="I425" s="58">
        <v>3</v>
      </c>
      <c r="J425" s="58">
        <v>15</v>
      </c>
      <c r="K425" s="58">
        <v>5742944</v>
      </c>
      <c r="L425" s="58">
        <v>600</v>
      </c>
      <c r="M425" s="58">
        <v>6135</v>
      </c>
      <c r="N425" s="58" t="s">
        <v>874</v>
      </c>
      <c r="O425" s="59" t="s">
        <v>875</v>
      </c>
      <c r="P425" s="58" t="s">
        <v>876</v>
      </c>
      <c r="Q425" s="61">
        <v>1100001</v>
      </c>
      <c r="R425" s="58">
        <v>0</v>
      </c>
      <c r="S425" s="58" t="s">
        <v>206</v>
      </c>
      <c r="T425" s="58">
        <v>1</v>
      </c>
      <c r="U425" s="58" t="s">
        <v>877</v>
      </c>
      <c r="V425" s="19" t="s">
        <v>785</v>
      </c>
      <c r="W425" s="58" t="s">
        <v>878</v>
      </c>
      <c r="X425" s="57">
        <v>15</v>
      </c>
      <c r="Y425" s="19" t="s">
        <v>1134</v>
      </c>
      <c r="Z425" s="19" t="s">
        <v>1135</v>
      </c>
      <c r="AA425" s="19" t="s">
        <v>1136</v>
      </c>
      <c r="AB425" s="19">
        <v>8</v>
      </c>
      <c r="AC425" s="43" t="b">
        <v>0</v>
      </c>
      <c r="AD425" s="44"/>
      <c r="AE425" s="44">
        <v>5</v>
      </c>
      <c r="AF425" s="44"/>
      <c r="AG425" s="45" t="s">
        <v>646</v>
      </c>
      <c r="AH425" s="45" t="s">
        <v>604</v>
      </c>
      <c r="AI425" s="44"/>
    </row>
    <row r="426" spans="1:35" s="4" customFormat="1" x14ac:dyDescent="0.25">
      <c r="A426" s="57">
        <v>130816</v>
      </c>
      <c r="B426" s="57" t="s">
        <v>1184</v>
      </c>
      <c r="C426" s="57" t="s">
        <v>870</v>
      </c>
      <c r="D426" s="57" t="s">
        <v>871</v>
      </c>
      <c r="E426" s="57" t="s">
        <v>872</v>
      </c>
      <c r="F426" s="57" t="s">
        <v>873</v>
      </c>
      <c r="G426" s="58">
        <v>3</v>
      </c>
      <c r="H426" s="58">
        <v>4</v>
      </c>
      <c r="I426" s="58">
        <v>3</v>
      </c>
      <c r="J426" s="58">
        <v>16</v>
      </c>
      <c r="K426" s="58">
        <v>6058612</v>
      </c>
      <c r="L426" s="58">
        <v>600</v>
      </c>
      <c r="M426" s="58">
        <v>6136</v>
      </c>
      <c r="N426" s="58" t="s">
        <v>874</v>
      </c>
      <c r="O426" s="59" t="s">
        <v>875</v>
      </c>
      <c r="P426" s="58" t="s">
        <v>876</v>
      </c>
      <c r="Q426" s="61">
        <v>1100001</v>
      </c>
      <c r="R426" s="58">
        <v>0</v>
      </c>
      <c r="S426" s="58" t="s">
        <v>206</v>
      </c>
      <c r="T426" s="58">
        <v>1</v>
      </c>
      <c r="U426" s="58" t="s">
        <v>877</v>
      </c>
      <c r="V426" s="19" t="s">
        <v>785</v>
      </c>
      <c r="W426" s="58" t="s">
        <v>878</v>
      </c>
      <c r="X426" s="57">
        <v>15</v>
      </c>
      <c r="Y426" s="19" t="s">
        <v>1138</v>
      </c>
      <c r="Z426" s="19" t="s">
        <v>1139</v>
      </c>
      <c r="AA426" s="19" t="s">
        <v>1140</v>
      </c>
      <c r="AB426" s="19">
        <v>8</v>
      </c>
      <c r="AC426" s="43" t="b">
        <v>0</v>
      </c>
      <c r="AD426" s="44"/>
      <c r="AE426" s="44">
        <v>5</v>
      </c>
      <c r="AF426" s="44"/>
      <c r="AG426" s="45" t="s">
        <v>646</v>
      </c>
      <c r="AH426" s="45" t="s">
        <v>604</v>
      </c>
      <c r="AI426" s="44"/>
    </row>
    <row r="427" spans="1:35" s="4" customFormat="1" x14ac:dyDescent="0.25">
      <c r="A427" s="57">
        <v>130817</v>
      </c>
      <c r="B427" s="57" t="s">
        <v>1185</v>
      </c>
      <c r="C427" s="57" t="s">
        <v>870</v>
      </c>
      <c r="D427" s="57" t="s">
        <v>871</v>
      </c>
      <c r="E427" s="57" t="s">
        <v>872</v>
      </c>
      <c r="F427" s="57" t="s">
        <v>873</v>
      </c>
      <c r="G427" s="58">
        <v>3</v>
      </c>
      <c r="H427" s="58">
        <v>4</v>
      </c>
      <c r="I427" s="58">
        <v>3</v>
      </c>
      <c r="J427" s="58">
        <v>17</v>
      </c>
      <c r="K427" s="58">
        <v>6374280</v>
      </c>
      <c r="L427" s="58">
        <v>600</v>
      </c>
      <c r="M427" s="58">
        <v>6137</v>
      </c>
      <c r="N427" s="58" t="s">
        <v>874</v>
      </c>
      <c r="O427" s="59" t="s">
        <v>875</v>
      </c>
      <c r="P427" s="58" t="s">
        <v>876</v>
      </c>
      <c r="Q427" s="61">
        <v>1100001</v>
      </c>
      <c r="R427" s="58">
        <v>0</v>
      </c>
      <c r="S427" s="58" t="s">
        <v>206</v>
      </c>
      <c r="T427" s="58">
        <v>1</v>
      </c>
      <c r="U427" s="58" t="s">
        <v>877</v>
      </c>
      <c r="V427" s="19" t="s">
        <v>785</v>
      </c>
      <c r="W427" s="58" t="s">
        <v>878</v>
      </c>
      <c r="X427" s="57">
        <v>15</v>
      </c>
      <c r="Y427" s="19" t="s">
        <v>1142</v>
      </c>
      <c r="Z427" s="19" t="s">
        <v>1143</v>
      </c>
      <c r="AA427" s="19" t="s">
        <v>1144</v>
      </c>
      <c r="AB427" s="19">
        <v>8</v>
      </c>
      <c r="AC427" s="43" t="b">
        <v>0</v>
      </c>
      <c r="AD427" s="44"/>
      <c r="AE427" s="44">
        <v>5</v>
      </c>
      <c r="AF427" s="44"/>
      <c r="AG427" s="45" t="s">
        <v>646</v>
      </c>
      <c r="AH427" s="45" t="s">
        <v>604</v>
      </c>
      <c r="AI427" s="44"/>
    </row>
    <row r="428" spans="1:35" s="4" customFormat="1" x14ac:dyDescent="0.25">
      <c r="A428" s="57">
        <v>130818</v>
      </c>
      <c r="B428" s="57" t="s">
        <v>1186</v>
      </c>
      <c r="C428" s="57" t="s">
        <v>870</v>
      </c>
      <c r="D428" s="57" t="s">
        <v>871</v>
      </c>
      <c r="E428" s="57" t="s">
        <v>872</v>
      </c>
      <c r="F428" s="57" t="s">
        <v>873</v>
      </c>
      <c r="G428" s="58">
        <v>3</v>
      </c>
      <c r="H428" s="58">
        <v>4</v>
      </c>
      <c r="I428" s="58">
        <v>3</v>
      </c>
      <c r="J428" s="58">
        <v>18</v>
      </c>
      <c r="K428" s="58">
        <v>6689948</v>
      </c>
      <c r="L428" s="58">
        <v>600</v>
      </c>
      <c r="M428" s="58">
        <v>6138</v>
      </c>
      <c r="N428" s="58" t="s">
        <v>874</v>
      </c>
      <c r="O428" s="59" t="s">
        <v>875</v>
      </c>
      <c r="P428" s="58" t="s">
        <v>876</v>
      </c>
      <c r="Q428" s="61">
        <v>1100001</v>
      </c>
      <c r="R428" s="58">
        <v>0</v>
      </c>
      <c r="S428" s="58" t="s">
        <v>206</v>
      </c>
      <c r="T428" s="58">
        <v>1</v>
      </c>
      <c r="U428" s="58" t="s">
        <v>877</v>
      </c>
      <c r="V428" s="19" t="s">
        <v>785</v>
      </c>
      <c r="W428" s="58" t="s">
        <v>878</v>
      </c>
      <c r="X428" s="57">
        <v>15</v>
      </c>
      <c r="Y428" s="19" t="s">
        <v>1146</v>
      </c>
      <c r="Z428" s="19" t="s">
        <v>1147</v>
      </c>
      <c r="AA428" s="19" t="s">
        <v>1148</v>
      </c>
      <c r="AB428" s="19">
        <v>8</v>
      </c>
      <c r="AC428" s="43" t="b">
        <v>0</v>
      </c>
      <c r="AD428" s="44"/>
      <c r="AE428" s="44">
        <v>5</v>
      </c>
      <c r="AF428" s="44"/>
      <c r="AG428" s="45" t="s">
        <v>646</v>
      </c>
      <c r="AH428" s="45" t="s">
        <v>604</v>
      </c>
      <c r="AI428" s="44"/>
    </row>
    <row r="429" spans="1:35" s="4" customFormat="1" x14ac:dyDescent="0.25">
      <c r="A429" s="57">
        <v>130819</v>
      </c>
      <c r="B429" s="57" t="s">
        <v>1187</v>
      </c>
      <c r="C429" s="57" t="s">
        <v>870</v>
      </c>
      <c r="D429" s="57" t="s">
        <v>871</v>
      </c>
      <c r="E429" s="57" t="s">
        <v>872</v>
      </c>
      <c r="F429" s="57" t="s">
        <v>873</v>
      </c>
      <c r="G429" s="58">
        <v>3</v>
      </c>
      <c r="H429" s="58">
        <v>4</v>
      </c>
      <c r="I429" s="58">
        <v>3</v>
      </c>
      <c r="J429" s="58">
        <v>19</v>
      </c>
      <c r="K429" s="58">
        <v>7636952</v>
      </c>
      <c r="L429" s="58">
        <v>600</v>
      </c>
      <c r="M429" s="58">
        <v>6139</v>
      </c>
      <c r="N429" s="58" t="s">
        <v>874</v>
      </c>
      <c r="O429" s="59" t="s">
        <v>875</v>
      </c>
      <c r="P429" s="58" t="s">
        <v>876</v>
      </c>
      <c r="Q429" s="61">
        <v>1100001</v>
      </c>
      <c r="R429" s="58">
        <v>0</v>
      </c>
      <c r="S429" s="58" t="s">
        <v>206</v>
      </c>
      <c r="T429" s="58">
        <v>1</v>
      </c>
      <c r="U429" s="58" t="s">
        <v>877</v>
      </c>
      <c r="V429" s="19" t="s">
        <v>785</v>
      </c>
      <c r="W429" s="58" t="s">
        <v>878</v>
      </c>
      <c r="X429" s="57">
        <v>15</v>
      </c>
      <c r="Y429" s="19" t="s">
        <v>1158</v>
      </c>
      <c r="Z429" s="19" t="s">
        <v>1159</v>
      </c>
      <c r="AA429" s="19" t="s">
        <v>1160</v>
      </c>
      <c r="AB429" s="19">
        <v>8</v>
      </c>
      <c r="AC429" s="43" t="b">
        <v>0</v>
      </c>
      <c r="AD429" s="44"/>
      <c r="AE429" s="44">
        <v>5</v>
      </c>
      <c r="AF429" s="44"/>
      <c r="AG429" s="45" t="s">
        <v>646</v>
      </c>
      <c r="AH429" s="45" t="s">
        <v>604</v>
      </c>
      <c r="AI429" s="44"/>
    </row>
    <row r="430" spans="1:35" s="4" customFormat="1" x14ac:dyDescent="0.25">
      <c r="A430" s="57">
        <v>130820</v>
      </c>
      <c r="B430" s="57" t="s">
        <v>1188</v>
      </c>
      <c r="C430" s="57" t="s">
        <v>870</v>
      </c>
      <c r="D430" s="57" t="s">
        <v>871</v>
      </c>
      <c r="E430" s="57" t="s">
        <v>872</v>
      </c>
      <c r="F430" s="57" t="s">
        <v>873</v>
      </c>
      <c r="G430" s="58">
        <v>3</v>
      </c>
      <c r="H430" s="58">
        <v>4</v>
      </c>
      <c r="I430" s="58">
        <v>3</v>
      </c>
      <c r="J430" s="58">
        <v>20</v>
      </c>
      <c r="K430" s="58">
        <v>7952620</v>
      </c>
      <c r="L430" s="58">
        <v>600</v>
      </c>
      <c r="M430" s="58">
        <v>6140</v>
      </c>
      <c r="N430" s="58" t="s">
        <v>874</v>
      </c>
      <c r="O430" s="59" t="s">
        <v>875</v>
      </c>
      <c r="P430" s="58" t="s">
        <v>876</v>
      </c>
      <c r="Q430" s="61">
        <v>1100001</v>
      </c>
      <c r="R430" s="58">
        <v>0</v>
      </c>
      <c r="S430" s="58" t="s">
        <v>206</v>
      </c>
      <c r="T430" s="58">
        <v>1</v>
      </c>
      <c r="U430" s="58" t="s">
        <v>877</v>
      </c>
      <c r="V430" s="19" t="s">
        <v>785</v>
      </c>
      <c r="W430" s="58" t="s">
        <v>878</v>
      </c>
      <c r="X430" s="57">
        <v>15</v>
      </c>
      <c r="Y430" s="19" t="s">
        <v>1162</v>
      </c>
      <c r="Z430" s="19" t="s">
        <v>1163</v>
      </c>
      <c r="AA430" s="19" t="s">
        <v>1164</v>
      </c>
      <c r="AB430" s="19">
        <v>8</v>
      </c>
      <c r="AC430" s="43" t="b">
        <v>0</v>
      </c>
      <c r="AD430" s="44"/>
      <c r="AE430" s="44">
        <v>5</v>
      </c>
      <c r="AF430" s="44"/>
      <c r="AG430" s="45" t="s">
        <v>646</v>
      </c>
      <c r="AH430" s="45" t="s">
        <v>604</v>
      </c>
      <c r="AI430" s="44"/>
    </row>
    <row r="431" spans="1:35" s="4" customFormat="1" x14ac:dyDescent="0.25">
      <c r="A431" s="57">
        <v>130821</v>
      </c>
      <c r="B431" s="57" t="s">
        <v>1189</v>
      </c>
      <c r="C431" s="57" t="s">
        <v>870</v>
      </c>
      <c r="D431" s="57" t="s">
        <v>871</v>
      </c>
      <c r="E431" s="57" t="s">
        <v>872</v>
      </c>
      <c r="F431" s="57" t="s">
        <v>873</v>
      </c>
      <c r="G431" s="58">
        <v>3</v>
      </c>
      <c r="H431" s="58">
        <v>4</v>
      </c>
      <c r="I431" s="58">
        <v>3</v>
      </c>
      <c r="J431" s="58">
        <v>21</v>
      </c>
      <c r="K431" s="58">
        <v>8267886</v>
      </c>
      <c r="L431" s="58">
        <v>600</v>
      </c>
      <c r="M431" s="58">
        <v>6141</v>
      </c>
      <c r="N431" s="58" t="s">
        <v>874</v>
      </c>
      <c r="O431" s="59" t="s">
        <v>875</v>
      </c>
      <c r="P431" s="58" t="s">
        <v>876</v>
      </c>
      <c r="Q431" s="61">
        <v>1100001</v>
      </c>
      <c r="R431" s="58">
        <v>0</v>
      </c>
      <c r="S431" s="58" t="s">
        <v>206</v>
      </c>
      <c r="T431" s="58">
        <v>1</v>
      </c>
      <c r="U431" s="58" t="s">
        <v>877</v>
      </c>
      <c r="V431" s="19" t="s">
        <v>785</v>
      </c>
      <c r="W431" s="58" t="s">
        <v>878</v>
      </c>
      <c r="X431" s="57">
        <v>15</v>
      </c>
      <c r="Y431" s="19" t="s">
        <v>1166</v>
      </c>
      <c r="Z431" s="19" t="s">
        <v>1167</v>
      </c>
      <c r="AA431" s="19" t="s">
        <v>1168</v>
      </c>
      <c r="AB431" s="19">
        <v>8</v>
      </c>
      <c r="AC431" s="43" t="b">
        <v>0</v>
      </c>
      <c r="AD431" s="44"/>
      <c r="AE431" s="44">
        <v>5</v>
      </c>
      <c r="AF431" s="44"/>
      <c r="AG431" s="45" t="s">
        <v>646</v>
      </c>
      <c r="AH431" s="45" t="s">
        <v>604</v>
      </c>
      <c r="AI431" s="44"/>
    </row>
    <row r="432" spans="1:35" s="4" customFormat="1" x14ac:dyDescent="0.25">
      <c r="A432" s="57">
        <v>130822</v>
      </c>
      <c r="B432" s="57" t="s">
        <v>1190</v>
      </c>
      <c r="C432" s="57" t="s">
        <v>870</v>
      </c>
      <c r="D432" s="57" t="s">
        <v>871</v>
      </c>
      <c r="E432" s="57" t="s">
        <v>872</v>
      </c>
      <c r="F432" s="57" t="s">
        <v>873</v>
      </c>
      <c r="G432" s="58">
        <v>3</v>
      </c>
      <c r="H432" s="58">
        <v>4</v>
      </c>
      <c r="I432" s="58">
        <v>3</v>
      </c>
      <c r="J432" s="58">
        <v>22</v>
      </c>
      <c r="K432" s="58">
        <v>8650636</v>
      </c>
      <c r="L432" s="58">
        <v>600</v>
      </c>
      <c r="M432" s="58">
        <v>6142</v>
      </c>
      <c r="N432" s="58" t="s">
        <v>874</v>
      </c>
      <c r="O432" s="59" t="s">
        <v>875</v>
      </c>
      <c r="P432" s="58" t="s">
        <v>876</v>
      </c>
      <c r="Q432" s="61">
        <v>1100001</v>
      </c>
      <c r="R432" s="58">
        <v>0</v>
      </c>
      <c r="S432" s="58" t="s">
        <v>206</v>
      </c>
      <c r="T432" s="58">
        <v>1</v>
      </c>
      <c r="U432" s="58" t="s">
        <v>877</v>
      </c>
      <c r="V432" s="19" t="s">
        <v>785</v>
      </c>
      <c r="W432" s="58" t="s">
        <v>878</v>
      </c>
      <c r="X432" s="57">
        <v>15</v>
      </c>
      <c r="Y432" s="19" t="s">
        <v>1191</v>
      </c>
      <c r="Z432" s="19" t="s">
        <v>1192</v>
      </c>
      <c r="AA432" s="19" t="s">
        <v>1193</v>
      </c>
      <c r="AB432" s="19">
        <v>8</v>
      </c>
      <c r="AC432" s="43" t="b">
        <v>0</v>
      </c>
      <c r="AD432" s="44"/>
      <c r="AE432" s="44">
        <v>5</v>
      </c>
      <c r="AF432" s="44"/>
      <c r="AG432" s="45" t="s">
        <v>646</v>
      </c>
      <c r="AH432" s="45" t="s">
        <v>604</v>
      </c>
      <c r="AI432" s="44"/>
    </row>
    <row r="433" spans="1:35" s="4" customFormat="1" x14ac:dyDescent="0.25">
      <c r="A433" s="57">
        <v>130823</v>
      </c>
      <c r="B433" s="57" t="s">
        <v>1194</v>
      </c>
      <c r="C433" s="57" t="s">
        <v>870</v>
      </c>
      <c r="D433" s="57" t="s">
        <v>871</v>
      </c>
      <c r="E433" s="57" t="s">
        <v>872</v>
      </c>
      <c r="F433" s="57" t="s">
        <v>873</v>
      </c>
      <c r="G433" s="58">
        <v>3</v>
      </c>
      <c r="H433" s="58">
        <v>4</v>
      </c>
      <c r="I433" s="58">
        <v>3</v>
      </c>
      <c r="J433" s="58">
        <v>23</v>
      </c>
      <c r="K433" s="58">
        <v>9033386</v>
      </c>
      <c r="L433" s="58">
        <v>600</v>
      </c>
      <c r="M433" s="58">
        <v>6143</v>
      </c>
      <c r="N433" s="58" t="s">
        <v>874</v>
      </c>
      <c r="O433" s="59" t="s">
        <v>875</v>
      </c>
      <c r="P433" s="58" t="s">
        <v>876</v>
      </c>
      <c r="Q433" s="61">
        <v>1100001</v>
      </c>
      <c r="R433" s="58">
        <v>0</v>
      </c>
      <c r="S433" s="58" t="s">
        <v>206</v>
      </c>
      <c r="T433" s="58">
        <v>1</v>
      </c>
      <c r="U433" s="58" t="s">
        <v>877</v>
      </c>
      <c r="V433" s="19" t="s">
        <v>785</v>
      </c>
      <c r="W433" s="58" t="s">
        <v>878</v>
      </c>
      <c r="X433" s="57">
        <v>15</v>
      </c>
      <c r="Y433" s="19" t="s">
        <v>1195</v>
      </c>
      <c r="Z433" s="19" t="s">
        <v>1196</v>
      </c>
      <c r="AA433" s="19" t="s">
        <v>1197</v>
      </c>
      <c r="AB433" s="19">
        <v>8</v>
      </c>
      <c r="AC433" s="43" t="b">
        <v>0</v>
      </c>
      <c r="AD433" s="44"/>
      <c r="AE433" s="44">
        <v>5</v>
      </c>
      <c r="AF433" s="44"/>
      <c r="AG433" s="45" t="s">
        <v>646</v>
      </c>
      <c r="AH433" s="45" t="s">
        <v>604</v>
      </c>
      <c r="AI433" s="44"/>
    </row>
    <row r="434" spans="1:35" s="4" customFormat="1" x14ac:dyDescent="0.25">
      <c r="A434" s="57">
        <v>130824</v>
      </c>
      <c r="B434" s="57" t="s">
        <v>1198</v>
      </c>
      <c r="C434" s="57" t="s">
        <v>870</v>
      </c>
      <c r="D434" s="57" t="s">
        <v>871</v>
      </c>
      <c r="E434" s="57" t="s">
        <v>872</v>
      </c>
      <c r="F434" s="57" t="s">
        <v>873</v>
      </c>
      <c r="G434" s="58">
        <v>3</v>
      </c>
      <c r="H434" s="58">
        <v>4</v>
      </c>
      <c r="I434" s="58">
        <v>3</v>
      </c>
      <c r="J434" s="58">
        <v>24</v>
      </c>
      <c r="K434" s="58">
        <v>9416136</v>
      </c>
      <c r="L434" s="58">
        <v>600</v>
      </c>
      <c r="M434" s="58">
        <v>6144</v>
      </c>
      <c r="N434" s="58" t="s">
        <v>874</v>
      </c>
      <c r="O434" s="59" t="s">
        <v>875</v>
      </c>
      <c r="P434" s="58" t="s">
        <v>876</v>
      </c>
      <c r="Q434" s="61">
        <v>1100001</v>
      </c>
      <c r="R434" s="58">
        <v>0</v>
      </c>
      <c r="S434" s="58" t="s">
        <v>206</v>
      </c>
      <c r="T434" s="58">
        <v>1</v>
      </c>
      <c r="U434" s="58" t="s">
        <v>877</v>
      </c>
      <c r="V434" s="19" t="s">
        <v>785</v>
      </c>
      <c r="W434" s="58" t="s">
        <v>878</v>
      </c>
      <c r="X434" s="57">
        <v>15</v>
      </c>
      <c r="Y434" s="19" t="s">
        <v>1199</v>
      </c>
      <c r="Z434" s="19" t="s">
        <v>1200</v>
      </c>
      <c r="AA434" s="19" t="s">
        <v>1201</v>
      </c>
      <c r="AB434" s="19">
        <v>8</v>
      </c>
      <c r="AC434" s="43" t="b">
        <v>0</v>
      </c>
      <c r="AD434" s="44"/>
      <c r="AE434" s="44">
        <v>5</v>
      </c>
      <c r="AF434" s="44"/>
      <c r="AG434" s="45" t="s">
        <v>646</v>
      </c>
      <c r="AH434" s="45" t="s">
        <v>604</v>
      </c>
      <c r="AI434" s="44"/>
    </row>
    <row r="435" spans="1:35" s="4" customFormat="1" x14ac:dyDescent="0.25">
      <c r="A435" s="57">
        <v>130825</v>
      </c>
      <c r="B435" s="57" t="s">
        <v>1202</v>
      </c>
      <c r="C435" s="57" t="s">
        <v>870</v>
      </c>
      <c r="D435" s="57" t="s">
        <v>871</v>
      </c>
      <c r="E435" s="57" t="s">
        <v>872</v>
      </c>
      <c r="F435" s="57" t="s">
        <v>873</v>
      </c>
      <c r="G435" s="58">
        <v>3</v>
      </c>
      <c r="H435" s="58">
        <v>4</v>
      </c>
      <c r="I435" s="58">
        <v>3</v>
      </c>
      <c r="J435" s="58">
        <v>25</v>
      </c>
      <c r="K435" s="58">
        <v>9798886</v>
      </c>
      <c r="L435" s="58">
        <v>600</v>
      </c>
      <c r="M435" s="58">
        <v>6145</v>
      </c>
      <c r="N435" s="58" t="s">
        <v>874</v>
      </c>
      <c r="O435" s="59" t="s">
        <v>875</v>
      </c>
      <c r="P435" s="58" t="s">
        <v>876</v>
      </c>
      <c r="Q435" s="61">
        <v>1100001</v>
      </c>
      <c r="R435" s="58">
        <v>0</v>
      </c>
      <c r="S435" s="58" t="s">
        <v>206</v>
      </c>
      <c r="T435" s="58">
        <v>1</v>
      </c>
      <c r="U435" s="58" t="s">
        <v>877</v>
      </c>
      <c r="V435" s="19" t="s">
        <v>785</v>
      </c>
      <c r="W435" s="58" t="s">
        <v>878</v>
      </c>
      <c r="X435" s="57">
        <v>15</v>
      </c>
      <c r="Y435" s="19" t="s">
        <v>1203</v>
      </c>
      <c r="Z435" s="19" t="s">
        <v>1204</v>
      </c>
      <c r="AA435" s="19" t="s">
        <v>1205</v>
      </c>
      <c r="AB435" s="19">
        <v>8</v>
      </c>
      <c r="AC435" s="43" t="b">
        <v>0</v>
      </c>
      <c r="AD435" s="44"/>
      <c r="AE435" s="44">
        <v>5</v>
      </c>
      <c r="AF435" s="44"/>
      <c r="AG435" s="45" t="s">
        <v>646</v>
      </c>
      <c r="AH435" s="45" t="s">
        <v>604</v>
      </c>
      <c r="AI435" s="44"/>
    </row>
    <row r="436" spans="1:35" s="4" customFormat="1" x14ac:dyDescent="0.25">
      <c r="A436" s="57">
        <v>130826</v>
      </c>
      <c r="B436" s="57" t="s">
        <v>1206</v>
      </c>
      <c r="C436" s="57" t="s">
        <v>870</v>
      </c>
      <c r="D436" s="57" t="s">
        <v>871</v>
      </c>
      <c r="E436" s="57" t="s">
        <v>872</v>
      </c>
      <c r="F436" s="57" t="s">
        <v>873</v>
      </c>
      <c r="G436" s="58">
        <v>3</v>
      </c>
      <c r="H436" s="58">
        <v>4</v>
      </c>
      <c r="I436" s="58">
        <v>3</v>
      </c>
      <c r="J436" s="58">
        <v>26</v>
      </c>
      <c r="K436" s="58">
        <v>10181636</v>
      </c>
      <c r="L436" s="58">
        <v>600</v>
      </c>
      <c r="M436" s="58">
        <v>6146</v>
      </c>
      <c r="N436" s="58" t="s">
        <v>874</v>
      </c>
      <c r="O436" s="59" t="s">
        <v>875</v>
      </c>
      <c r="P436" s="58" t="s">
        <v>876</v>
      </c>
      <c r="Q436" s="61">
        <v>1100001</v>
      </c>
      <c r="R436" s="58">
        <v>0</v>
      </c>
      <c r="S436" s="58" t="s">
        <v>206</v>
      </c>
      <c r="T436" s="58">
        <v>1</v>
      </c>
      <c r="U436" s="58" t="s">
        <v>877</v>
      </c>
      <c r="V436" s="19" t="s">
        <v>785</v>
      </c>
      <c r="W436" s="58" t="s">
        <v>878</v>
      </c>
      <c r="X436" s="57">
        <v>15</v>
      </c>
      <c r="Y436" s="19" t="s">
        <v>1207</v>
      </c>
      <c r="Z436" s="19" t="s">
        <v>1208</v>
      </c>
      <c r="AA436" s="19" t="s">
        <v>1209</v>
      </c>
      <c r="AB436" s="19">
        <v>8</v>
      </c>
      <c r="AC436" s="43" t="b">
        <v>0</v>
      </c>
      <c r="AD436" s="44"/>
      <c r="AE436" s="44">
        <v>5</v>
      </c>
      <c r="AF436" s="44"/>
      <c r="AG436" s="45" t="s">
        <v>646</v>
      </c>
      <c r="AH436" s="45" t="s">
        <v>604</v>
      </c>
      <c r="AI436" s="44"/>
    </row>
    <row r="437" spans="1:35" s="4" customFormat="1" x14ac:dyDescent="0.25">
      <c r="A437" s="57">
        <v>130827</v>
      </c>
      <c r="B437" s="57" t="s">
        <v>1210</v>
      </c>
      <c r="C437" s="57" t="s">
        <v>870</v>
      </c>
      <c r="D437" s="57" t="s">
        <v>871</v>
      </c>
      <c r="E437" s="57" t="s">
        <v>872</v>
      </c>
      <c r="F437" s="57" t="s">
        <v>873</v>
      </c>
      <c r="G437" s="58">
        <v>3</v>
      </c>
      <c r="H437" s="58">
        <v>4</v>
      </c>
      <c r="I437" s="58">
        <v>3</v>
      </c>
      <c r="J437" s="58">
        <v>27</v>
      </c>
      <c r="K437" s="58">
        <v>10564386</v>
      </c>
      <c r="L437" s="58">
        <v>600</v>
      </c>
      <c r="M437" s="58">
        <v>6147</v>
      </c>
      <c r="N437" s="58" t="s">
        <v>874</v>
      </c>
      <c r="O437" s="59" t="s">
        <v>875</v>
      </c>
      <c r="P437" s="58" t="s">
        <v>876</v>
      </c>
      <c r="Q437" s="61">
        <v>1100001</v>
      </c>
      <c r="R437" s="58">
        <v>0</v>
      </c>
      <c r="S437" s="58" t="s">
        <v>206</v>
      </c>
      <c r="T437" s="58">
        <v>1</v>
      </c>
      <c r="U437" s="58" t="s">
        <v>877</v>
      </c>
      <c r="V437" s="19" t="s">
        <v>785</v>
      </c>
      <c r="W437" s="58" t="s">
        <v>878</v>
      </c>
      <c r="X437" s="57">
        <v>15</v>
      </c>
      <c r="Y437" s="19" t="s">
        <v>1211</v>
      </c>
      <c r="Z437" s="19" t="s">
        <v>1212</v>
      </c>
      <c r="AA437" s="19" t="s">
        <v>1213</v>
      </c>
      <c r="AB437" s="19">
        <v>8</v>
      </c>
      <c r="AC437" s="43" t="b">
        <v>0</v>
      </c>
      <c r="AD437" s="44"/>
      <c r="AE437" s="44">
        <v>5</v>
      </c>
      <c r="AF437" s="44"/>
      <c r="AG437" s="45" t="s">
        <v>646</v>
      </c>
      <c r="AH437" s="45" t="s">
        <v>604</v>
      </c>
      <c r="AI437" s="44"/>
    </row>
    <row r="438" spans="1:35" s="4" customFormat="1" x14ac:dyDescent="0.25">
      <c r="A438" s="57">
        <v>130828</v>
      </c>
      <c r="B438" s="57" t="s">
        <v>1214</v>
      </c>
      <c r="C438" s="57" t="s">
        <v>870</v>
      </c>
      <c r="D438" s="57" t="s">
        <v>871</v>
      </c>
      <c r="E438" s="57" t="s">
        <v>872</v>
      </c>
      <c r="F438" s="57" t="s">
        <v>873</v>
      </c>
      <c r="G438" s="58">
        <v>3</v>
      </c>
      <c r="H438" s="58">
        <v>4</v>
      </c>
      <c r="I438" s="58">
        <v>3</v>
      </c>
      <c r="J438" s="58">
        <v>28</v>
      </c>
      <c r="K438" s="58">
        <v>10947136</v>
      </c>
      <c r="L438" s="58">
        <v>600</v>
      </c>
      <c r="M438" s="58">
        <v>6148</v>
      </c>
      <c r="N438" s="58" t="s">
        <v>874</v>
      </c>
      <c r="O438" s="59" t="s">
        <v>875</v>
      </c>
      <c r="P438" s="58" t="s">
        <v>876</v>
      </c>
      <c r="Q438" s="61">
        <v>1100001</v>
      </c>
      <c r="R438" s="58">
        <v>0</v>
      </c>
      <c r="S438" s="58" t="s">
        <v>206</v>
      </c>
      <c r="T438" s="58">
        <v>1</v>
      </c>
      <c r="U438" s="58" t="s">
        <v>877</v>
      </c>
      <c r="V438" s="19" t="s">
        <v>785</v>
      </c>
      <c r="W438" s="58" t="s">
        <v>878</v>
      </c>
      <c r="X438" s="57">
        <v>15</v>
      </c>
      <c r="Y438" s="19" t="s">
        <v>1215</v>
      </c>
      <c r="Z438" s="19" t="s">
        <v>1216</v>
      </c>
      <c r="AA438" s="19" t="s">
        <v>1217</v>
      </c>
      <c r="AB438" s="19">
        <v>8</v>
      </c>
      <c r="AC438" s="43" t="b">
        <v>0</v>
      </c>
      <c r="AD438" s="44"/>
      <c r="AE438" s="44">
        <v>5</v>
      </c>
      <c r="AF438" s="44"/>
      <c r="AG438" s="45" t="s">
        <v>646</v>
      </c>
      <c r="AH438" s="45" t="s">
        <v>604</v>
      </c>
      <c r="AI438" s="44"/>
    </row>
    <row r="439" spans="1:35" s="4" customFormat="1" x14ac:dyDescent="0.25">
      <c r="A439" s="57">
        <v>130829</v>
      </c>
      <c r="B439" s="57" t="s">
        <v>1218</v>
      </c>
      <c r="C439" s="57" t="s">
        <v>870</v>
      </c>
      <c r="D439" s="57" t="s">
        <v>871</v>
      </c>
      <c r="E439" s="57" t="s">
        <v>872</v>
      </c>
      <c r="F439" s="57" t="s">
        <v>873</v>
      </c>
      <c r="G439" s="58">
        <v>3</v>
      </c>
      <c r="H439" s="58">
        <v>4</v>
      </c>
      <c r="I439" s="58">
        <v>3</v>
      </c>
      <c r="J439" s="58">
        <v>29</v>
      </c>
      <c r="K439" s="58">
        <v>11329886</v>
      </c>
      <c r="L439" s="58">
        <v>600</v>
      </c>
      <c r="M439" s="58">
        <v>6149</v>
      </c>
      <c r="N439" s="58" t="s">
        <v>874</v>
      </c>
      <c r="O439" s="59" t="s">
        <v>875</v>
      </c>
      <c r="P439" s="58" t="s">
        <v>876</v>
      </c>
      <c r="Q439" s="61">
        <v>1100001</v>
      </c>
      <c r="R439" s="58">
        <v>0</v>
      </c>
      <c r="S439" s="58" t="s">
        <v>206</v>
      </c>
      <c r="T439" s="58">
        <v>1</v>
      </c>
      <c r="U439" s="58" t="s">
        <v>877</v>
      </c>
      <c r="V439" s="19" t="s">
        <v>785</v>
      </c>
      <c r="W439" s="58" t="s">
        <v>878</v>
      </c>
      <c r="X439" s="57">
        <v>15</v>
      </c>
      <c r="Y439" s="19" t="s">
        <v>1219</v>
      </c>
      <c r="Z439" s="19" t="s">
        <v>1220</v>
      </c>
      <c r="AA439" s="19" t="s">
        <v>1221</v>
      </c>
      <c r="AB439" s="19">
        <v>8</v>
      </c>
      <c r="AC439" s="43" t="b">
        <v>0</v>
      </c>
      <c r="AD439" s="44"/>
      <c r="AE439" s="44">
        <v>5</v>
      </c>
      <c r="AF439" s="44"/>
      <c r="AG439" s="45" t="s">
        <v>646</v>
      </c>
      <c r="AH439" s="45" t="s">
        <v>604</v>
      </c>
      <c r="AI439" s="44"/>
    </row>
    <row r="440" spans="1:35" s="4" customFormat="1" x14ac:dyDescent="0.25">
      <c r="A440" s="57">
        <v>130830</v>
      </c>
      <c r="B440" s="57" t="s">
        <v>1222</v>
      </c>
      <c r="C440" s="57" t="s">
        <v>870</v>
      </c>
      <c r="D440" s="57" t="s">
        <v>871</v>
      </c>
      <c r="E440" s="57" t="s">
        <v>872</v>
      </c>
      <c r="F440" s="57" t="s">
        <v>873</v>
      </c>
      <c r="G440" s="58">
        <v>3</v>
      </c>
      <c r="H440" s="58">
        <v>4</v>
      </c>
      <c r="I440" s="58">
        <v>3</v>
      </c>
      <c r="J440" s="58">
        <v>30</v>
      </c>
      <c r="K440" s="58">
        <v>11713077</v>
      </c>
      <c r="L440" s="58">
        <v>600</v>
      </c>
      <c r="M440" s="58">
        <v>6150</v>
      </c>
      <c r="N440" s="58" t="s">
        <v>874</v>
      </c>
      <c r="O440" s="59" t="s">
        <v>875</v>
      </c>
      <c r="P440" s="58" t="s">
        <v>876</v>
      </c>
      <c r="Q440" s="61">
        <v>1100001</v>
      </c>
      <c r="R440" s="58">
        <v>0</v>
      </c>
      <c r="S440" s="58" t="s">
        <v>206</v>
      </c>
      <c r="T440" s="58">
        <v>1</v>
      </c>
      <c r="U440" s="58" t="s">
        <v>877</v>
      </c>
      <c r="V440" s="19" t="s">
        <v>785</v>
      </c>
      <c r="W440" s="58" t="s">
        <v>878</v>
      </c>
      <c r="X440" s="57">
        <v>15</v>
      </c>
      <c r="Y440" s="19" t="s">
        <v>1223</v>
      </c>
      <c r="Z440" s="19" t="s">
        <v>1224</v>
      </c>
      <c r="AA440" s="19" t="s">
        <v>1225</v>
      </c>
      <c r="AB440" s="19">
        <v>8</v>
      </c>
      <c r="AC440" s="43" t="b">
        <v>0</v>
      </c>
      <c r="AD440" s="44"/>
      <c r="AE440" s="44">
        <v>5</v>
      </c>
      <c r="AF440" s="44"/>
      <c r="AG440" s="45" t="s">
        <v>646</v>
      </c>
      <c r="AH440" s="45" t="s">
        <v>604</v>
      </c>
      <c r="AI440" s="44"/>
    </row>
    <row r="441" spans="1:35" s="4" customFormat="1" x14ac:dyDescent="0.25">
      <c r="A441" s="57">
        <v>130901</v>
      </c>
      <c r="B441" s="57" t="s">
        <v>1226</v>
      </c>
      <c r="C441" s="57" t="s">
        <v>870</v>
      </c>
      <c r="D441" s="57" t="s">
        <v>871</v>
      </c>
      <c r="E441" s="57" t="s">
        <v>872</v>
      </c>
      <c r="F441" s="57" t="s">
        <v>873</v>
      </c>
      <c r="G441" s="58">
        <v>3</v>
      </c>
      <c r="H441" s="58">
        <v>4</v>
      </c>
      <c r="I441" s="58">
        <v>3</v>
      </c>
      <c r="J441" s="58">
        <v>1</v>
      </c>
      <c r="K441" s="58">
        <v>1722810</v>
      </c>
      <c r="L441" s="58">
        <v>600</v>
      </c>
      <c r="M441" s="58">
        <v>6151</v>
      </c>
      <c r="N441" s="58" t="s">
        <v>874</v>
      </c>
      <c r="O441" s="59" t="s">
        <v>875</v>
      </c>
      <c r="P441" s="58" t="s">
        <v>876</v>
      </c>
      <c r="Q441" s="61">
        <v>1100001</v>
      </c>
      <c r="R441" s="58">
        <v>0</v>
      </c>
      <c r="S441" s="58" t="s">
        <v>206</v>
      </c>
      <c r="T441" s="58">
        <v>1</v>
      </c>
      <c r="U441" s="58" t="s">
        <v>877</v>
      </c>
      <c r="V441" s="19" t="s">
        <v>785</v>
      </c>
      <c r="W441" s="58" t="s">
        <v>878</v>
      </c>
      <c r="X441" s="57">
        <v>15</v>
      </c>
      <c r="Y441" s="19" t="s">
        <v>995</v>
      </c>
      <c r="Z441" s="19" t="s">
        <v>996</v>
      </c>
      <c r="AA441" s="19" t="s">
        <v>997</v>
      </c>
      <c r="AB441" s="19">
        <v>8</v>
      </c>
      <c r="AC441" s="43" t="b">
        <v>0</v>
      </c>
      <c r="AD441" s="44"/>
      <c r="AE441" s="44">
        <v>5</v>
      </c>
      <c r="AF441" s="44"/>
      <c r="AG441" s="45" t="s">
        <v>646</v>
      </c>
      <c r="AH441" s="45" t="s">
        <v>604</v>
      </c>
      <c r="AI441" s="44"/>
    </row>
    <row r="442" spans="1:35" s="4" customFormat="1" x14ac:dyDescent="0.25">
      <c r="A442" s="57">
        <v>130902</v>
      </c>
      <c r="B442" s="57" t="s">
        <v>1227</v>
      </c>
      <c r="C442" s="57" t="s">
        <v>870</v>
      </c>
      <c r="D442" s="57" t="s">
        <v>871</v>
      </c>
      <c r="E442" s="57" t="s">
        <v>872</v>
      </c>
      <c r="F442" s="57" t="s">
        <v>873</v>
      </c>
      <c r="G442" s="58">
        <v>3</v>
      </c>
      <c r="H442" s="58">
        <v>4</v>
      </c>
      <c r="I442" s="58">
        <v>3</v>
      </c>
      <c r="J442" s="58">
        <v>2</v>
      </c>
      <c r="K442" s="58">
        <v>2528060</v>
      </c>
      <c r="L442" s="58">
        <v>600</v>
      </c>
      <c r="M442" s="58">
        <v>6152</v>
      </c>
      <c r="N442" s="58" t="s">
        <v>874</v>
      </c>
      <c r="O442" s="59" t="s">
        <v>875</v>
      </c>
      <c r="P442" s="58" t="s">
        <v>876</v>
      </c>
      <c r="Q442" s="61">
        <v>1100001</v>
      </c>
      <c r="R442" s="58">
        <v>0</v>
      </c>
      <c r="S442" s="58" t="s">
        <v>206</v>
      </c>
      <c r="T442" s="58">
        <v>1</v>
      </c>
      <c r="U442" s="58" t="s">
        <v>877</v>
      </c>
      <c r="V442" s="19" t="s">
        <v>785</v>
      </c>
      <c r="W442" s="58" t="s">
        <v>878</v>
      </c>
      <c r="X442" s="57">
        <v>15</v>
      </c>
      <c r="Y442" s="19" t="s">
        <v>1036</v>
      </c>
      <c r="Z442" s="19" t="s">
        <v>1037</v>
      </c>
      <c r="AA442" s="19" t="s">
        <v>1038</v>
      </c>
      <c r="AB442" s="19">
        <v>8</v>
      </c>
      <c r="AC442" s="43" t="b">
        <v>0</v>
      </c>
      <c r="AD442" s="44"/>
      <c r="AE442" s="44">
        <v>5</v>
      </c>
      <c r="AF442" s="44"/>
      <c r="AG442" s="45" t="s">
        <v>646</v>
      </c>
      <c r="AH442" s="45" t="s">
        <v>604</v>
      </c>
      <c r="AI442" s="44"/>
    </row>
    <row r="443" spans="1:35" s="4" customFormat="1" x14ac:dyDescent="0.25">
      <c r="A443" s="57">
        <v>130903</v>
      </c>
      <c r="B443" s="57" t="s">
        <v>1228</v>
      </c>
      <c r="C443" s="57" t="s">
        <v>870</v>
      </c>
      <c r="D443" s="57" t="s">
        <v>871</v>
      </c>
      <c r="E443" s="57" t="s">
        <v>872</v>
      </c>
      <c r="F443" s="57" t="s">
        <v>873</v>
      </c>
      <c r="G443" s="58">
        <v>3</v>
      </c>
      <c r="H443" s="58">
        <v>4</v>
      </c>
      <c r="I443" s="58">
        <v>3</v>
      </c>
      <c r="J443" s="58">
        <v>3</v>
      </c>
      <c r="K443" s="58">
        <v>3422464</v>
      </c>
      <c r="L443" s="58">
        <v>600</v>
      </c>
      <c r="M443" s="58">
        <v>6153</v>
      </c>
      <c r="N443" s="58" t="s">
        <v>874</v>
      </c>
      <c r="O443" s="59" t="s">
        <v>875</v>
      </c>
      <c r="P443" s="58" t="s">
        <v>876</v>
      </c>
      <c r="Q443" s="61">
        <v>1100001</v>
      </c>
      <c r="R443" s="58">
        <v>0</v>
      </c>
      <c r="S443" s="58" t="s">
        <v>206</v>
      </c>
      <c r="T443" s="58">
        <v>1</v>
      </c>
      <c r="U443" s="58" t="s">
        <v>877</v>
      </c>
      <c r="V443" s="19" t="s">
        <v>785</v>
      </c>
      <c r="W443" s="58" t="s">
        <v>878</v>
      </c>
      <c r="X443" s="57">
        <v>15</v>
      </c>
      <c r="Y443" s="19" t="s">
        <v>1077</v>
      </c>
      <c r="Z443" s="19" t="s">
        <v>1078</v>
      </c>
      <c r="AA443" s="19" t="s">
        <v>1079</v>
      </c>
      <c r="AB443" s="19">
        <v>8</v>
      </c>
      <c r="AC443" s="43" t="b">
        <v>0</v>
      </c>
      <c r="AD443" s="44"/>
      <c r="AE443" s="44">
        <v>5</v>
      </c>
      <c r="AF443" s="44"/>
      <c r="AG443" s="45" t="s">
        <v>646</v>
      </c>
      <c r="AH443" s="45" t="s">
        <v>604</v>
      </c>
      <c r="AI443" s="44"/>
    </row>
    <row r="444" spans="1:35" s="4" customFormat="1" x14ac:dyDescent="0.25">
      <c r="A444" s="57">
        <v>130904</v>
      </c>
      <c r="B444" s="57" t="s">
        <v>1229</v>
      </c>
      <c r="C444" s="57" t="s">
        <v>870</v>
      </c>
      <c r="D444" s="57" t="s">
        <v>871</v>
      </c>
      <c r="E444" s="57" t="s">
        <v>872</v>
      </c>
      <c r="F444" s="57" t="s">
        <v>873</v>
      </c>
      <c r="G444" s="58">
        <v>3</v>
      </c>
      <c r="H444" s="58">
        <v>4</v>
      </c>
      <c r="I444" s="58">
        <v>3</v>
      </c>
      <c r="J444" s="58">
        <v>4</v>
      </c>
      <c r="K444" s="58">
        <v>4675094</v>
      </c>
      <c r="L444" s="58">
        <v>600</v>
      </c>
      <c r="M444" s="58">
        <v>6154</v>
      </c>
      <c r="N444" s="58" t="s">
        <v>874</v>
      </c>
      <c r="O444" s="59" t="s">
        <v>875</v>
      </c>
      <c r="P444" s="58" t="s">
        <v>876</v>
      </c>
      <c r="Q444" s="61">
        <v>1100001</v>
      </c>
      <c r="R444" s="58">
        <v>0</v>
      </c>
      <c r="S444" s="58" t="s">
        <v>206</v>
      </c>
      <c r="T444" s="58">
        <v>1</v>
      </c>
      <c r="U444" s="58" t="s">
        <v>877</v>
      </c>
      <c r="V444" s="19" t="s">
        <v>785</v>
      </c>
      <c r="W444" s="58" t="s">
        <v>878</v>
      </c>
      <c r="X444" s="57">
        <v>15</v>
      </c>
      <c r="Y444" s="19" t="s">
        <v>1097</v>
      </c>
      <c r="Z444" s="19" t="s">
        <v>1098</v>
      </c>
      <c r="AA444" s="19" t="s">
        <v>1099</v>
      </c>
      <c r="AB444" s="19">
        <v>8</v>
      </c>
      <c r="AC444" s="43" t="b">
        <v>0</v>
      </c>
      <c r="AD444" s="44"/>
      <c r="AE444" s="44">
        <v>5</v>
      </c>
      <c r="AF444" s="44"/>
      <c r="AG444" s="45" t="s">
        <v>646</v>
      </c>
      <c r="AH444" s="45" t="s">
        <v>604</v>
      </c>
      <c r="AI444" s="44"/>
    </row>
    <row r="445" spans="1:35" s="4" customFormat="1" x14ac:dyDescent="0.25">
      <c r="A445" s="57">
        <v>130905</v>
      </c>
      <c r="B445" s="57" t="s">
        <v>1230</v>
      </c>
      <c r="C445" s="57" t="s">
        <v>870</v>
      </c>
      <c r="D445" s="57" t="s">
        <v>871</v>
      </c>
      <c r="E445" s="57" t="s">
        <v>872</v>
      </c>
      <c r="F445" s="57" t="s">
        <v>873</v>
      </c>
      <c r="G445" s="58">
        <v>3</v>
      </c>
      <c r="H445" s="58">
        <v>4</v>
      </c>
      <c r="I445" s="58">
        <v>3</v>
      </c>
      <c r="J445" s="58">
        <v>5</v>
      </c>
      <c r="K445" s="58">
        <v>6058612</v>
      </c>
      <c r="L445" s="58">
        <v>600</v>
      </c>
      <c r="M445" s="58">
        <v>6155</v>
      </c>
      <c r="N445" s="58" t="s">
        <v>874</v>
      </c>
      <c r="O445" s="59" t="s">
        <v>875</v>
      </c>
      <c r="P445" s="58" t="s">
        <v>876</v>
      </c>
      <c r="Q445" s="61">
        <v>1100001</v>
      </c>
      <c r="R445" s="58">
        <v>0</v>
      </c>
      <c r="S445" s="58" t="s">
        <v>206</v>
      </c>
      <c r="T445" s="58">
        <v>1</v>
      </c>
      <c r="U445" s="58" t="s">
        <v>877</v>
      </c>
      <c r="V445" s="19" t="s">
        <v>785</v>
      </c>
      <c r="W445" s="58" t="s">
        <v>878</v>
      </c>
      <c r="X445" s="57">
        <v>15</v>
      </c>
      <c r="Y445" s="19" t="s">
        <v>1138</v>
      </c>
      <c r="Z445" s="19" t="s">
        <v>1139</v>
      </c>
      <c r="AA445" s="19" t="s">
        <v>1140</v>
      </c>
      <c r="AB445" s="19">
        <v>8</v>
      </c>
      <c r="AC445" s="43" t="b">
        <v>0</v>
      </c>
      <c r="AD445" s="44"/>
      <c r="AE445" s="44">
        <v>5</v>
      </c>
      <c r="AF445" s="44"/>
      <c r="AG445" s="45" t="s">
        <v>646</v>
      </c>
      <c r="AH445" s="45" t="s">
        <v>604</v>
      </c>
      <c r="AI445" s="44"/>
    </row>
    <row r="446" spans="1:35" s="4" customFormat="1" x14ac:dyDescent="0.25">
      <c r="A446" s="57">
        <v>130906</v>
      </c>
      <c r="B446" s="57" t="s">
        <v>1231</v>
      </c>
      <c r="C446" s="57" t="s">
        <v>870</v>
      </c>
      <c r="D446" s="57" t="s">
        <v>871</v>
      </c>
      <c r="E446" s="57" t="s">
        <v>872</v>
      </c>
      <c r="F446" s="57" t="s">
        <v>873</v>
      </c>
      <c r="G446" s="58">
        <v>3</v>
      </c>
      <c r="H446" s="58">
        <v>4</v>
      </c>
      <c r="I446" s="58">
        <v>3</v>
      </c>
      <c r="J446" s="58">
        <v>6</v>
      </c>
      <c r="K446" s="58">
        <v>6689948</v>
      </c>
      <c r="L446" s="58">
        <v>600</v>
      </c>
      <c r="M446" s="58">
        <v>6156</v>
      </c>
      <c r="N446" s="58" t="s">
        <v>874</v>
      </c>
      <c r="O446" s="59" t="s">
        <v>875</v>
      </c>
      <c r="P446" s="58" t="s">
        <v>876</v>
      </c>
      <c r="Q446" s="61">
        <v>1100001</v>
      </c>
      <c r="R446" s="58">
        <v>0</v>
      </c>
      <c r="S446" s="58" t="s">
        <v>206</v>
      </c>
      <c r="T446" s="58">
        <v>1</v>
      </c>
      <c r="U446" s="58" t="s">
        <v>877</v>
      </c>
      <c r="V446" s="19" t="s">
        <v>785</v>
      </c>
      <c r="W446" s="58" t="s">
        <v>878</v>
      </c>
      <c r="X446" s="57">
        <v>15</v>
      </c>
      <c r="Y446" s="19" t="s">
        <v>1146</v>
      </c>
      <c r="Z446" s="19" t="s">
        <v>1147</v>
      </c>
      <c r="AA446" s="19" t="s">
        <v>1148</v>
      </c>
      <c r="AB446" s="19">
        <v>8</v>
      </c>
      <c r="AC446" s="43" t="b">
        <v>0</v>
      </c>
      <c r="AD446" s="44"/>
      <c r="AE446" s="44">
        <v>5</v>
      </c>
      <c r="AF446" s="44"/>
      <c r="AG446" s="45" t="s">
        <v>646</v>
      </c>
      <c r="AH446" s="45" t="s">
        <v>604</v>
      </c>
      <c r="AI446" s="44"/>
    </row>
    <row r="447" spans="1:35" s="4" customFormat="1" x14ac:dyDescent="0.25">
      <c r="A447" s="57">
        <v>130907</v>
      </c>
      <c r="B447" s="57" t="s">
        <v>1232</v>
      </c>
      <c r="C447" s="57" t="s">
        <v>870</v>
      </c>
      <c r="D447" s="57" t="s">
        <v>871</v>
      </c>
      <c r="E447" s="57" t="s">
        <v>872</v>
      </c>
      <c r="F447" s="57" t="s">
        <v>873</v>
      </c>
      <c r="G447" s="58">
        <v>3</v>
      </c>
      <c r="H447" s="58">
        <v>4</v>
      </c>
      <c r="I447" s="58">
        <v>3</v>
      </c>
      <c r="J447" s="58">
        <v>7</v>
      </c>
      <c r="K447" s="58">
        <v>7321284</v>
      </c>
      <c r="L447" s="58">
        <v>600</v>
      </c>
      <c r="M447" s="58">
        <v>6157</v>
      </c>
      <c r="N447" s="58" t="s">
        <v>874</v>
      </c>
      <c r="O447" s="59" t="s">
        <v>875</v>
      </c>
      <c r="P447" s="58" t="s">
        <v>876</v>
      </c>
      <c r="Q447" s="61">
        <v>1100001</v>
      </c>
      <c r="R447" s="58">
        <v>0</v>
      </c>
      <c r="S447" s="58" t="s">
        <v>206</v>
      </c>
      <c r="T447" s="58">
        <v>1</v>
      </c>
      <c r="U447" s="58" t="s">
        <v>877</v>
      </c>
      <c r="V447" s="19" t="s">
        <v>785</v>
      </c>
      <c r="W447" s="58" t="s">
        <v>878</v>
      </c>
      <c r="X447" s="57">
        <v>15</v>
      </c>
      <c r="Y447" s="19" t="s">
        <v>1154</v>
      </c>
      <c r="Z447" s="19" t="s">
        <v>1155</v>
      </c>
      <c r="AA447" s="19" t="s">
        <v>1156</v>
      </c>
      <c r="AB447" s="19">
        <v>8</v>
      </c>
      <c r="AC447" s="43" t="b">
        <v>0</v>
      </c>
      <c r="AD447" s="44"/>
      <c r="AE447" s="44">
        <v>5</v>
      </c>
      <c r="AF447" s="44"/>
      <c r="AG447" s="45" t="s">
        <v>646</v>
      </c>
      <c r="AH447" s="45" t="s">
        <v>604</v>
      </c>
      <c r="AI447" s="44"/>
    </row>
    <row r="448" spans="1:35" s="4" customFormat="1" x14ac:dyDescent="0.25">
      <c r="A448" s="57">
        <v>130908</v>
      </c>
      <c r="B448" s="57" t="s">
        <v>1233</v>
      </c>
      <c r="C448" s="57" t="s">
        <v>870</v>
      </c>
      <c r="D448" s="57" t="s">
        <v>871</v>
      </c>
      <c r="E448" s="57" t="s">
        <v>872</v>
      </c>
      <c r="F448" s="57" t="s">
        <v>873</v>
      </c>
      <c r="G448" s="58">
        <v>3</v>
      </c>
      <c r="H448" s="58">
        <v>4</v>
      </c>
      <c r="I448" s="58">
        <v>3</v>
      </c>
      <c r="J448" s="58">
        <v>8</v>
      </c>
      <c r="K448" s="58">
        <v>7952620</v>
      </c>
      <c r="L448" s="58">
        <v>600</v>
      </c>
      <c r="M448" s="58">
        <v>6158</v>
      </c>
      <c r="N448" s="58" t="s">
        <v>874</v>
      </c>
      <c r="O448" s="59" t="s">
        <v>875</v>
      </c>
      <c r="P448" s="58" t="s">
        <v>876</v>
      </c>
      <c r="Q448" s="61">
        <v>1100001</v>
      </c>
      <c r="R448" s="58">
        <v>0</v>
      </c>
      <c r="S448" s="58" t="s">
        <v>206</v>
      </c>
      <c r="T448" s="58">
        <v>1</v>
      </c>
      <c r="U448" s="58" t="s">
        <v>877</v>
      </c>
      <c r="V448" s="19" t="s">
        <v>785</v>
      </c>
      <c r="W448" s="58" t="s">
        <v>878</v>
      </c>
      <c r="X448" s="57">
        <v>15</v>
      </c>
      <c r="Y448" s="19" t="s">
        <v>1162</v>
      </c>
      <c r="Z448" s="19" t="s">
        <v>1163</v>
      </c>
      <c r="AA448" s="19" t="s">
        <v>1164</v>
      </c>
      <c r="AB448" s="19">
        <v>8</v>
      </c>
      <c r="AC448" s="43" t="b">
        <v>0</v>
      </c>
      <c r="AD448" s="44"/>
      <c r="AE448" s="44">
        <v>5</v>
      </c>
      <c r="AF448" s="44"/>
      <c r="AG448" s="45" t="s">
        <v>646</v>
      </c>
      <c r="AH448" s="45" t="s">
        <v>604</v>
      </c>
      <c r="AI448" s="44"/>
    </row>
    <row r="449" spans="1:35" s="4" customFormat="1" x14ac:dyDescent="0.25">
      <c r="A449" s="57">
        <v>130909</v>
      </c>
      <c r="B449" s="57" t="s">
        <v>1234</v>
      </c>
      <c r="C449" s="57" t="s">
        <v>870</v>
      </c>
      <c r="D449" s="57" t="s">
        <v>871</v>
      </c>
      <c r="E449" s="57" t="s">
        <v>872</v>
      </c>
      <c r="F449" s="57" t="s">
        <v>873</v>
      </c>
      <c r="G449" s="58">
        <v>3</v>
      </c>
      <c r="H449" s="58">
        <v>4</v>
      </c>
      <c r="I449" s="58">
        <v>3</v>
      </c>
      <c r="J449" s="58">
        <v>9</v>
      </c>
      <c r="K449" s="58">
        <v>8267886</v>
      </c>
      <c r="L449" s="58">
        <v>600</v>
      </c>
      <c r="M449" s="58">
        <v>6159</v>
      </c>
      <c r="N449" s="58" t="s">
        <v>874</v>
      </c>
      <c r="O449" s="59" t="s">
        <v>875</v>
      </c>
      <c r="P449" s="58" t="s">
        <v>876</v>
      </c>
      <c r="Q449" s="61">
        <v>1100001</v>
      </c>
      <c r="R449" s="58">
        <v>0</v>
      </c>
      <c r="S449" s="58" t="s">
        <v>206</v>
      </c>
      <c r="T449" s="58">
        <v>1</v>
      </c>
      <c r="U449" s="58" t="s">
        <v>877</v>
      </c>
      <c r="V449" s="19" t="s">
        <v>785</v>
      </c>
      <c r="W449" s="58" t="s">
        <v>878</v>
      </c>
      <c r="X449" s="57">
        <v>15</v>
      </c>
      <c r="Y449" s="19" t="s">
        <v>1166</v>
      </c>
      <c r="Z449" s="19" t="s">
        <v>1167</v>
      </c>
      <c r="AA449" s="19" t="s">
        <v>1168</v>
      </c>
      <c r="AB449" s="19">
        <v>8</v>
      </c>
      <c r="AC449" s="43" t="b">
        <v>0</v>
      </c>
      <c r="AD449" s="44"/>
      <c r="AE449" s="44">
        <v>5</v>
      </c>
      <c r="AF449" s="44"/>
      <c r="AG449" s="45" t="s">
        <v>646</v>
      </c>
      <c r="AH449" s="45" t="s">
        <v>604</v>
      </c>
      <c r="AI449" s="44"/>
    </row>
    <row r="450" spans="1:35" s="4" customFormat="1" x14ac:dyDescent="0.25">
      <c r="A450" s="57">
        <v>130910</v>
      </c>
      <c r="B450" s="57" t="s">
        <v>1235</v>
      </c>
      <c r="C450" s="57" t="s">
        <v>870</v>
      </c>
      <c r="D450" s="57" t="s">
        <v>871</v>
      </c>
      <c r="E450" s="57" t="s">
        <v>872</v>
      </c>
      <c r="F450" s="57" t="s">
        <v>873</v>
      </c>
      <c r="G450" s="58">
        <v>3</v>
      </c>
      <c r="H450" s="58">
        <v>4</v>
      </c>
      <c r="I450" s="58">
        <v>3</v>
      </c>
      <c r="J450" s="58">
        <v>10</v>
      </c>
      <c r="K450" s="58">
        <v>8650636</v>
      </c>
      <c r="L450" s="58">
        <v>600</v>
      </c>
      <c r="M450" s="58">
        <v>6160</v>
      </c>
      <c r="N450" s="58" t="s">
        <v>874</v>
      </c>
      <c r="O450" s="59" t="s">
        <v>875</v>
      </c>
      <c r="P450" s="58" t="s">
        <v>876</v>
      </c>
      <c r="Q450" s="61">
        <v>1100001</v>
      </c>
      <c r="R450" s="58">
        <v>0</v>
      </c>
      <c r="S450" s="58" t="s">
        <v>206</v>
      </c>
      <c r="T450" s="58">
        <v>1</v>
      </c>
      <c r="U450" s="58" t="s">
        <v>877</v>
      </c>
      <c r="V450" s="19" t="s">
        <v>785</v>
      </c>
      <c r="W450" s="58" t="s">
        <v>878</v>
      </c>
      <c r="X450" s="57">
        <v>15</v>
      </c>
      <c r="Y450" s="19" t="s">
        <v>1191</v>
      </c>
      <c r="Z450" s="19" t="s">
        <v>1192</v>
      </c>
      <c r="AA450" s="19" t="s">
        <v>1193</v>
      </c>
      <c r="AB450" s="19">
        <v>8</v>
      </c>
      <c r="AC450" s="43" t="b">
        <v>0</v>
      </c>
      <c r="AD450" s="44"/>
      <c r="AE450" s="44">
        <v>5</v>
      </c>
      <c r="AF450" s="44"/>
      <c r="AG450" s="45" t="s">
        <v>646</v>
      </c>
      <c r="AH450" s="45" t="s">
        <v>604</v>
      </c>
      <c r="AI450" s="44"/>
    </row>
    <row r="451" spans="1:35" s="4" customFormat="1" x14ac:dyDescent="0.25">
      <c r="A451" s="57">
        <v>130911</v>
      </c>
      <c r="B451" s="57" t="s">
        <v>1236</v>
      </c>
      <c r="C451" s="57" t="s">
        <v>870</v>
      </c>
      <c r="D451" s="57" t="s">
        <v>871</v>
      </c>
      <c r="E451" s="57" t="s">
        <v>872</v>
      </c>
      <c r="F451" s="57" t="s">
        <v>873</v>
      </c>
      <c r="G451" s="58">
        <v>3</v>
      </c>
      <c r="H451" s="58">
        <v>4</v>
      </c>
      <c r="I451" s="58">
        <v>3</v>
      </c>
      <c r="J451" s="58">
        <v>11</v>
      </c>
      <c r="K451" s="58">
        <v>9033386</v>
      </c>
      <c r="L451" s="58">
        <v>600</v>
      </c>
      <c r="M451" s="58">
        <v>6161</v>
      </c>
      <c r="N451" s="58" t="s">
        <v>874</v>
      </c>
      <c r="O451" s="59" t="s">
        <v>875</v>
      </c>
      <c r="P451" s="58" t="s">
        <v>876</v>
      </c>
      <c r="Q451" s="61">
        <v>1100001</v>
      </c>
      <c r="R451" s="58">
        <v>0</v>
      </c>
      <c r="S451" s="58" t="s">
        <v>206</v>
      </c>
      <c r="T451" s="58">
        <v>1</v>
      </c>
      <c r="U451" s="58" t="s">
        <v>877</v>
      </c>
      <c r="V451" s="19" t="s">
        <v>785</v>
      </c>
      <c r="W451" s="58" t="s">
        <v>878</v>
      </c>
      <c r="X451" s="57">
        <v>15</v>
      </c>
      <c r="Y451" s="19" t="s">
        <v>1195</v>
      </c>
      <c r="Z451" s="19" t="s">
        <v>1196</v>
      </c>
      <c r="AA451" s="19" t="s">
        <v>1197</v>
      </c>
      <c r="AB451" s="19">
        <v>8</v>
      </c>
      <c r="AC451" s="43" t="b">
        <v>0</v>
      </c>
      <c r="AD451" s="44"/>
      <c r="AE451" s="44">
        <v>5</v>
      </c>
      <c r="AF451" s="44"/>
      <c r="AG451" s="45" t="s">
        <v>646</v>
      </c>
      <c r="AH451" s="45" t="s">
        <v>604</v>
      </c>
      <c r="AI451" s="44"/>
    </row>
    <row r="452" spans="1:35" s="4" customFormat="1" x14ac:dyDescent="0.25">
      <c r="A452" s="57">
        <v>130912</v>
      </c>
      <c r="B452" s="57" t="s">
        <v>1237</v>
      </c>
      <c r="C452" s="57" t="s">
        <v>870</v>
      </c>
      <c r="D452" s="57" t="s">
        <v>871</v>
      </c>
      <c r="E452" s="57" t="s">
        <v>872</v>
      </c>
      <c r="F452" s="57" t="s">
        <v>873</v>
      </c>
      <c r="G452" s="58">
        <v>3</v>
      </c>
      <c r="H452" s="58">
        <v>4</v>
      </c>
      <c r="I452" s="58">
        <v>3</v>
      </c>
      <c r="J452" s="58">
        <v>12</v>
      </c>
      <c r="K452" s="58">
        <v>9416136</v>
      </c>
      <c r="L452" s="58">
        <v>600</v>
      </c>
      <c r="M452" s="58">
        <v>6162</v>
      </c>
      <c r="N452" s="58" t="s">
        <v>874</v>
      </c>
      <c r="O452" s="59" t="s">
        <v>875</v>
      </c>
      <c r="P452" s="58" t="s">
        <v>876</v>
      </c>
      <c r="Q452" s="61">
        <v>1100001</v>
      </c>
      <c r="R452" s="58">
        <v>0</v>
      </c>
      <c r="S452" s="58" t="s">
        <v>206</v>
      </c>
      <c r="T452" s="58">
        <v>1</v>
      </c>
      <c r="U452" s="58" t="s">
        <v>877</v>
      </c>
      <c r="V452" s="19" t="s">
        <v>785</v>
      </c>
      <c r="W452" s="58" t="s">
        <v>878</v>
      </c>
      <c r="X452" s="57">
        <v>15</v>
      </c>
      <c r="Y452" s="19" t="s">
        <v>1199</v>
      </c>
      <c r="Z452" s="19" t="s">
        <v>1200</v>
      </c>
      <c r="AA452" s="19" t="s">
        <v>1201</v>
      </c>
      <c r="AB452" s="19">
        <v>8</v>
      </c>
      <c r="AC452" s="43" t="b">
        <v>0</v>
      </c>
      <c r="AD452" s="44"/>
      <c r="AE452" s="44">
        <v>5</v>
      </c>
      <c r="AF452" s="44"/>
      <c r="AG452" s="45" t="s">
        <v>646</v>
      </c>
      <c r="AH452" s="45" t="s">
        <v>604</v>
      </c>
      <c r="AI452" s="44"/>
    </row>
    <row r="453" spans="1:35" s="4" customFormat="1" x14ac:dyDescent="0.25">
      <c r="A453" s="57">
        <v>130913</v>
      </c>
      <c r="B453" s="57" t="s">
        <v>1238</v>
      </c>
      <c r="C453" s="57" t="s">
        <v>870</v>
      </c>
      <c r="D453" s="57" t="s">
        <v>871</v>
      </c>
      <c r="E453" s="57" t="s">
        <v>872</v>
      </c>
      <c r="F453" s="57" t="s">
        <v>873</v>
      </c>
      <c r="G453" s="58">
        <v>3</v>
      </c>
      <c r="H453" s="58">
        <v>4</v>
      </c>
      <c r="I453" s="58">
        <v>3</v>
      </c>
      <c r="J453" s="58">
        <v>13</v>
      </c>
      <c r="K453" s="58">
        <v>9798886</v>
      </c>
      <c r="L453" s="58">
        <v>600</v>
      </c>
      <c r="M453" s="58">
        <v>6163</v>
      </c>
      <c r="N453" s="58" t="s">
        <v>874</v>
      </c>
      <c r="O453" s="59" t="s">
        <v>875</v>
      </c>
      <c r="P453" s="58" t="s">
        <v>876</v>
      </c>
      <c r="Q453" s="61">
        <v>1100001</v>
      </c>
      <c r="R453" s="58">
        <v>0</v>
      </c>
      <c r="S453" s="58" t="s">
        <v>206</v>
      </c>
      <c r="T453" s="58">
        <v>1</v>
      </c>
      <c r="U453" s="58" t="s">
        <v>877</v>
      </c>
      <c r="V453" s="19" t="s">
        <v>785</v>
      </c>
      <c r="W453" s="58" t="s">
        <v>878</v>
      </c>
      <c r="X453" s="57">
        <v>15</v>
      </c>
      <c r="Y453" s="19" t="s">
        <v>1203</v>
      </c>
      <c r="Z453" s="19" t="s">
        <v>1204</v>
      </c>
      <c r="AA453" s="19" t="s">
        <v>1205</v>
      </c>
      <c r="AB453" s="19">
        <v>8</v>
      </c>
      <c r="AC453" s="43" t="b">
        <v>0</v>
      </c>
      <c r="AD453" s="44"/>
      <c r="AE453" s="44">
        <v>5</v>
      </c>
      <c r="AF453" s="44"/>
      <c r="AG453" s="45" t="s">
        <v>646</v>
      </c>
      <c r="AH453" s="45" t="s">
        <v>604</v>
      </c>
      <c r="AI453" s="44"/>
    </row>
    <row r="454" spans="1:35" s="4" customFormat="1" x14ac:dyDescent="0.25">
      <c r="A454" s="57">
        <v>130914</v>
      </c>
      <c r="B454" s="57" t="s">
        <v>1239</v>
      </c>
      <c r="C454" s="57" t="s">
        <v>870</v>
      </c>
      <c r="D454" s="57" t="s">
        <v>871</v>
      </c>
      <c r="E454" s="57" t="s">
        <v>872</v>
      </c>
      <c r="F454" s="57" t="s">
        <v>873</v>
      </c>
      <c r="G454" s="58">
        <v>3</v>
      </c>
      <c r="H454" s="58">
        <v>4</v>
      </c>
      <c r="I454" s="58">
        <v>3</v>
      </c>
      <c r="J454" s="58">
        <v>14</v>
      </c>
      <c r="K454" s="58">
        <v>10181636</v>
      </c>
      <c r="L454" s="58">
        <v>600</v>
      </c>
      <c r="M454" s="58">
        <v>6164</v>
      </c>
      <c r="N454" s="58" t="s">
        <v>874</v>
      </c>
      <c r="O454" s="59" t="s">
        <v>875</v>
      </c>
      <c r="P454" s="58" t="s">
        <v>876</v>
      </c>
      <c r="Q454" s="61">
        <v>1100001</v>
      </c>
      <c r="R454" s="58">
        <v>0</v>
      </c>
      <c r="S454" s="58" t="s">
        <v>206</v>
      </c>
      <c r="T454" s="58">
        <v>1</v>
      </c>
      <c r="U454" s="58" t="s">
        <v>877</v>
      </c>
      <c r="V454" s="19" t="s">
        <v>785</v>
      </c>
      <c r="W454" s="58" t="s">
        <v>878</v>
      </c>
      <c r="X454" s="57">
        <v>15</v>
      </c>
      <c r="Y454" s="19" t="s">
        <v>1207</v>
      </c>
      <c r="Z454" s="19" t="s">
        <v>1208</v>
      </c>
      <c r="AA454" s="19" t="s">
        <v>1209</v>
      </c>
      <c r="AB454" s="19">
        <v>8</v>
      </c>
      <c r="AC454" s="43" t="b">
        <v>0</v>
      </c>
      <c r="AD454" s="44"/>
      <c r="AE454" s="44">
        <v>5</v>
      </c>
      <c r="AF454" s="44"/>
      <c r="AG454" s="45" t="s">
        <v>646</v>
      </c>
      <c r="AH454" s="45" t="s">
        <v>604</v>
      </c>
      <c r="AI454" s="44"/>
    </row>
    <row r="455" spans="1:35" s="4" customFormat="1" x14ac:dyDescent="0.25">
      <c r="A455" s="57">
        <v>130915</v>
      </c>
      <c r="B455" s="57" t="s">
        <v>1240</v>
      </c>
      <c r="C455" s="57" t="s">
        <v>870</v>
      </c>
      <c r="D455" s="57" t="s">
        <v>871</v>
      </c>
      <c r="E455" s="57" t="s">
        <v>872</v>
      </c>
      <c r="F455" s="57" t="s">
        <v>873</v>
      </c>
      <c r="G455" s="58">
        <v>3</v>
      </c>
      <c r="H455" s="58">
        <v>4</v>
      </c>
      <c r="I455" s="58">
        <v>3</v>
      </c>
      <c r="J455" s="58">
        <v>15</v>
      </c>
      <c r="K455" s="58">
        <v>10564386</v>
      </c>
      <c r="L455" s="58">
        <v>600</v>
      </c>
      <c r="M455" s="58">
        <v>6165</v>
      </c>
      <c r="N455" s="58" t="s">
        <v>874</v>
      </c>
      <c r="O455" s="59" t="s">
        <v>875</v>
      </c>
      <c r="P455" s="58" t="s">
        <v>876</v>
      </c>
      <c r="Q455" s="61">
        <v>1100001</v>
      </c>
      <c r="R455" s="58">
        <v>0</v>
      </c>
      <c r="S455" s="58" t="s">
        <v>206</v>
      </c>
      <c r="T455" s="58">
        <v>1</v>
      </c>
      <c r="U455" s="58" t="s">
        <v>877</v>
      </c>
      <c r="V455" s="19" t="s">
        <v>785</v>
      </c>
      <c r="W455" s="58" t="s">
        <v>878</v>
      </c>
      <c r="X455" s="57">
        <v>15</v>
      </c>
      <c r="Y455" s="19" t="s">
        <v>1211</v>
      </c>
      <c r="Z455" s="19" t="s">
        <v>1212</v>
      </c>
      <c r="AA455" s="19" t="s">
        <v>1213</v>
      </c>
      <c r="AB455" s="19">
        <v>8</v>
      </c>
      <c r="AC455" s="43" t="b">
        <v>0</v>
      </c>
      <c r="AD455" s="44"/>
      <c r="AE455" s="44">
        <v>5</v>
      </c>
      <c r="AF455" s="44"/>
      <c r="AG455" s="45" t="s">
        <v>646</v>
      </c>
      <c r="AH455" s="45" t="s">
        <v>604</v>
      </c>
      <c r="AI455" s="44"/>
    </row>
    <row r="456" spans="1:35" s="4" customFormat="1" x14ac:dyDescent="0.25">
      <c r="A456" s="57">
        <v>130916</v>
      </c>
      <c r="B456" s="57" t="s">
        <v>1241</v>
      </c>
      <c r="C456" s="57" t="s">
        <v>870</v>
      </c>
      <c r="D456" s="57" t="s">
        <v>871</v>
      </c>
      <c r="E456" s="57" t="s">
        <v>872</v>
      </c>
      <c r="F456" s="57" t="s">
        <v>873</v>
      </c>
      <c r="G456" s="58">
        <v>3</v>
      </c>
      <c r="H456" s="58">
        <v>4</v>
      </c>
      <c r="I456" s="58">
        <v>3</v>
      </c>
      <c r="J456" s="58">
        <v>16</v>
      </c>
      <c r="K456" s="58">
        <v>10947136</v>
      </c>
      <c r="L456" s="58">
        <v>600</v>
      </c>
      <c r="M456" s="58">
        <v>6166</v>
      </c>
      <c r="N456" s="58" t="s">
        <v>874</v>
      </c>
      <c r="O456" s="59" t="s">
        <v>875</v>
      </c>
      <c r="P456" s="58" t="s">
        <v>876</v>
      </c>
      <c r="Q456" s="61">
        <v>1100001</v>
      </c>
      <c r="R456" s="58">
        <v>0</v>
      </c>
      <c r="S456" s="58" t="s">
        <v>206</v>
      </c>
      <c r="T456" s="58">
        <v>1</v>
      </c>
      <c r="U456" s="58" t="s">
        <v>877</v>
      </c>
      <c r="V456" s="19" t="s">
        <v>785</v>
      </c>
      <c r="W456" s="58" t="s">
        <v>878</v>
      </c>
      <c r="X456" s="57">
        <v>15</v>
      </c>
      <c r="Y456" s="19" t="s">
        <v>1215</v>
      </c>
      <c r="Z456" s="19" t="s">
        <v>1216</v>
      </c>
      <c r="AA456" s="19" t="s">
        <v>1217</v>
      </c>
      <c r="AB456" s="19">
        <v>8</v>
      </c>
      <c r="AC456" s="43" t="b">
        <v>0</v>
      </c>
      <c r="AD456" s="44"/>
      <c r="AE456" s="44">
        <v>5</v>
      </c>
      <c r="AF456" s="44"/>
      <c r="AG456" s="45" t="s">
        <v>646</v>
      </c>
      <c r="AH456" s="45" t="s">
        <v>604</v>
      </c>
      <c r="AI456" s="44"/>
    </row>
    <row r="457" spans="1:35" s="4" customFormat="1" x14ac:dyDescent="0.25">
      <c r="A457" s="57">
        <v>130917</v>
      </c>
      <c r="B457" s="57" t="s">
        <v>1242</v>
      </c>
      <c r="C457" s="57" t="s">
        <v>870</v>
      </c>
      <c r="D457" s="57" t="s">
        <v>871</v>
      </c>
      <c r="E457" s="57" t="s">
        <v>872</v>
      </c>
      <c r="F457" s="57" t="s">
        <v>873</v>
      </c>
      <c r="G457" s="58">
        <v>3</v>
      </c>
      <c r="H457" s="58">
        <v>4</v>
      </c>
      <c r="I457" s="58">
        <v>3</v>
      </c>
      <c r="J457" s="58">
        <v>17</v>
      </c>
      <c r="K457" s="58">
        <v>11329886</v>
      </c>
      <c r="L457" s="58">
        <v>600</v>
      </c>
      <c r="M457" s="58">
        <v>6167</v>
      </c>
      <c r="N457" s="58" t="s">
        <v>874</v>
      </c>
      <c r="O457" s="59" t="s">
        <v>875</v>
      </c>
      <c r="P457" s="58" t="s">
        <v>876</v>
      </c>
      <c r="Q457" s="61">
        <v>1100001</v>
      </c>
      <c r="R457" s="58">
        <v>0</v>
      </c>
      <c r="S457" s="58" t="s">
        <v>206</v>
      </c>
      <c r="T457" s="58">
        <v>1</v>
      </c>
      <c r="U457" s="58" t="s">
        <v>877</v>
      </c>
      <c r="V457" s="19" t="s">
        <v>785</v>
      </c>
      <c r="W457" s="58" t="s">
        <v>878</v>
      </c>
      <c r="X457" s="57">
        <v>15</v>
      </c>
      <c r="Y457" s="19" t="s">
        <v>1219</v>
      </c>
      <c r="Z457" s="19" t="s">
        <v>1220</v>
      </c>
      <c r="AA457" s="19" t="s">
        <v>1221</v>
      </c>
      <c r="AB457" s="19">
        <v>8</v>
      </c>
      <c r="AC457" s="43" t="b">
        <v>0</v>
      </c>
      <c r="AD457" s="44"/>
      <c r="AE457" s="44">
        <v>5</v>
      </c>
      <c r="AF457" s="44"/>
      <c r="AG457" s="45" t="s">
        <v>646</v>
      </c>
      <c r="AH457" s="45" t="s">
        <v>604</v>
      </c>
      <c r="AI457" s="44"/>
    </row>
    <row r="458" spans="1:35" s="4" customFormat="1" x14ac:dyDescent="0.25">
      <c r="A458" s="57">
        <v>130918</v>
      </c>
      <c r="B458" s="57" t="s">
        <v>1243</v>
      </c>
      <c r="C458" s="57" t="s">
        <v>870</v>
      </c>
      <c r="D458" s="57" t="s">
        <v>871</v>
      </c>
      <c r="E458" s="57" t="s">
        <v>872</v>
      </c>
      <c r="F458" s="57" t="s">
        <v>873</v>
      </c>
      <c r="G458" s="58">
        <v>3</v>
      </c>
      <c r="H458" s="58">
        <v>4</v>
      </c>
      <c r="I458" s="58">
        <v>3</v>
      </c>
      <c r="J458" s="58">
        <v>18</v>
      </c>
      <c r="K458" s="58">
        <v>11713077</v>
      </c>
      <c r="L458" s="58">
        <v>600</v>
      </c>
      <c r="M458" s="58">
        <v>6168</v>
      </c>
      <c r="N458" s="58" t="s">
        <v>874</v>
      </c>
      <c r="O458" s="59" t="s">
        <v>875</v>
      </c>
      <c r="P458" s="58" t="s">
        <v>876</v>
      </c>
      <c r="Q458" s="61">
        <v>1100001</v>
      </c>
      <c r="R458" s="58">
        <v>0</v>
      </c>
      <c r="S458" s="58" t="s">
        <v>206</v>
      </c>
      <c r="T458" s="58">
        <v>1</v>
      </c>
      <c r="U458" s="58" t="s">
        <v>877</v>
      </c>
      <c r="V458" s="19" t="s">
        <v>785</v>
      </c>
      <c r="W458" s="58" t="s">
        <v>878</v>
      </c>
      <c r="X458" s="57">
        <v>15</v>
      </c>
      <c r="Y458" s="19" t="s">
        <v>1223</v>
      </c>
      <c r="Z458" s="19" t="s">
        <v>1224</v>
      </c>
      <c r="AA458" s="19" t="s">
        <v>1225</v>
      </c>
      <c r="AB458" s="19">
        <v>8</v>
      </c>
      <c r="AC458" s="43" t="b">
        <v>0</v>
      </c>
      <c r="AD458" s="44"/>
      <c r="AE458" s="44">
        <v>5</v>
      </c>
      <c r="AF458" s="44"/>
      <c r="AG458" s="45" t="s">
        <v>646</v>
      </c>
      <c r="AH458" s="45" t="s">
        <v>604</v>
      </c>
      <c r="AI458" s="44"/>
    </row>
    <row r="459" spans="1:35" s="4" customFormat="1" x14ac:dyDescent="0.25">
      <c r="A459" s="57">
        <v>130919</v>
      </c>
      <c r="B459" s="57" t="s">
        <v>1244</v>
      </c>
      <c r="C459" s="57" t="s">
        <v>870</v>
      </c>
      <c r="D459" s="57" t="s">
        <v>871</v>
      </c>
      <c r="E459" s="57" t="s">
        <v>872</v>
      </c>
      <c r="F459" s="57" t="s">
        <v>873</v>
      </c>
      <c r="G459" s="58">
        <v>3</v>
      </c>
      <c r="H459" s="58">
        <v>4</v>
      </c>
      <c r="I459" s="58">
        <v>3</v>
      </c>
      <c r="J459" s="58">
        <v>19</v>
      </c>
      <c r="K459" s="58">
        <v>12169389</v>
      </c>
      <c r="L459" s="58">
        <v>600</v>
      </c>
      <c r="M459" s="58">
        <v>6169</v>
      </c>
      <c r="N459" s="58" t="s">
        <v>874</v>
      </c>
      <c r="O459" s="59" t="s">
        <v>875</v>
      </c>
      <c r="P459" s="58" t="s">
        <v>876</v>
      </c>
      <c r="Q459" s="61">
        <v>1100001</v>
      </c>
      <c r="R459" s="58">
        <v>0</v>
      </c>
      <c r="S459" s="58" t="s">
        <v>206</v>
      </c>
      <c r="T459" s="58">
        <v>1</v>
      </c>
      <c r="U459" s="58" t="s">
        <v>877</v>
      </c>
      <c r="V459" s="19" t="s">
        <v>785</v>
      </c>
      <c r="W459" s="58" t="s">
        <v>878</v>
      </c>
      <c r="X459" s="57">
        <v>15</v>
      </c>
      <c r="Y459" s="19" t="s">
        <v>1245</v>
      </c>
      <c r="Z459" s="19" t="s">
        <v>1246</v>
      </c>
      <c r="AA459" s="19" t="s">
        <v>1247</v>
      </c>
      <c r="AB459" s="19">
        <v>8</v>
      </c>
      <c r="AC459" s="43" t="b">
        <v>0</v>
      </c>
      <c r="AD459" s="44"/>
      <c r="AE459" s="44">
        <v>5</v>
      </c>
      <c r="AF459" s="44"/>
      <c r="AG459" s="45" t="s">
        <v>646</v>
      </c>
      <c r="AH459" s="45" t="s">
        <v>604</v>
      </c>
      <c r="AI459" s="44"/>
    </row>
    <row r="460" spans="1:35" s="4" customFormat="1" x14ac:dyDescent="0.25">
      <c r="A460" s="57">
        <v>130920</v>
      </c>
      <c r="B460" s="57" t="s">
        <v>1248</v>
      </c>
      <c r="C460" s="57" t="s">
        <v>870</v>
      </c>
      <c r="D460" s="57" t="s">
        <v>871</v>
      </c>
      <c r="E460" s="57" t="s">
        <v>872</v>
      </c>
      <c r="F460" s="57" t="s">
        <v>873</v>
      </c>
      <c r="G460" s="58">
        <v>3</v>
      </c>
      <c r="H460" s="58">
        <v>4</v>
      </c>
      <c r="I460" s="58">
        <v>3</v>
      </c>
      <c r="J460" s="58">
        <v>20</v>
      </c>
      <c r="K460" s="58">
        <v>12625701</v>
      </c>
      <c r="L460" s="58">
        <v>600</v>
      </c>
      <c r="M460" s="58">
        <v>6170</v>
      </c>
      <c r="N460" s="58" t="s">
        <v>874</v>
      </c>
      <c r="O460" s="59" t="s">
        <v>875</v>
      </c>
      <c r="P460" s="58" t="s">
        <v>876</v>
      </c>
      <c r="Q460" s="61">
        <v>1100001</v>
      </c>
      <c r="R460" s="58">
        <v>0</v>
      </c>
      <c r="S460" s="58" t="s">
        <v>206</v>
      </c>
      <c r="T460" s="58">
        <v>1</v>
      </c>
      <c r="U460" s="58" t="s">
        <v>877</v>
      </c>
      <c r="V460" s="19" t="s">
        <v>785</v>
      </c>
      <c r="W460" s="58" t="s">
        <v>878</v>
      </c>
      <c r="X460" s="57">
        <v>15</v>
      </c>
      <c r="Y460" s="19" t="s">
        <v>1249</v>
      </c>
      <c r="Z460" s="19" t="s">
        <v>1250</v>
      </c>
      <c r="AA460" s="19" t="s">
        <v>1251</v>
      </c>
      <c r="AB460" s="19">
        <v>8</v>
      </c>
      <c r="AC460" s="43" t="b">
        <v>0</v>
      </c>
      <c r="AD460" s="44"/>
      <c r="AE460" s="44">
        <v>5</v>
      </c>
      <c r="AF460" s="44"/>
      <c r="AG460" s="45" t="s">
        <v>646</v>
      </c>
      <c r="AH460" s="45" t="s">
        <v>604</v>
      </c>
      <c r="AI460" s="44"/>
    </row>
    <row r="461" spans="1:35" s="4" customFormat="1" x14ac:dyDescent="0.25">
      <c r="A461" s="57">
        <v>130921</v>
      </c>
      <c r="B461" s="57" t="s">
        <v>1252</v>
      </c>
      <c r="C461" s="57" t="s">
        <v>870</v>
      </c>
      <c r="D461" s="57" t="s">
        <v>871</v>
      </c>
      <c r="E461" s="57" t="s">
        <v>872</v>
      </c>
      <c r="F461" s="57" t="s">
        <v>873</v>
      </c>
      <c r="G461" s="58">
        <v>3</v>
      </c>
      <c r="H461" s="58">
        <v>4</v>
      </c>
      <c r="I461" s="58">
        <v>3</v>
      </c>
      <c r="J461" s="58">
        <v>21</v>
      </c>
      <c r="K461" s="58">
        <v>13082013</v>
      </c>
      <c r="L461" s="58">
        <v>600</v>
      </c>
      <c r="M461" s="58">
        <v>6171</v>
      </c>
      <c r="N461" s="58" t="s">
        <v>874</v>
      </c>
      <c r="O461" s="59" t="s">
        <v>875</v>
      </c>
      <c r="P461" s="58" t="s">
        <v>876</v>
      </c>
      <c r="Q461" s="61">
        <v>1100001</v>
      </c>
      <c r="R461" s="58">
        <v>0</v>
      </c>
      <c r="S461" s="58" t="s">
        <v>206</v>
      </c>
      <c r="T461" s="58">
        <v>1</v>
      </c>
      <c r="U461" s="58" t="s">
        <v>877</v>
      </c>
      <c r="V461" s="19" t="s">
        <v>785</v>
      </c>
      <c r="W461" s="58" t="s">
        <v>878</v>
      </c>
      <c r="X461" s="57">
        <v>15</v>
      </c>
      <c r="Y461" s="19" t="s">
        <v>1253</v>
      </c>
      <c r="Z461" s="19" t="s">
        <v>1254</v>
      </c>
      <c r="AA461" s="19" t="s">
        <v>1255</v>
      </c>
      <c r="AB461" s="19">
        <v>8</v>
      </c>
      <c r="AC461" s="43" t="b">
        <v>0</v>
      </c>
      <c r="AD461" s="44"/>
      <c r="AE461" s="44">
        <v>5</v>
      </c>
      <c r="AF461" s="44"/>
      <c r="AG461" s="45" t="s">
        <v>646</v>
      </c>
      <c r="AH461" s="45" t="s">
        <v>604</v>
      </c>
      <c r="AI461" s="44"/>
    </row>
    <row r="462" spans="1:35" s="4" customFormat="1" x14ac:dyDescent="0.25">
      <c r="A462" s="57">
        <v>130922</v>
      </c>
      <c r="B462" s="57" t="s">
        <v>1256</v>
      </c>
      <c r="C462" s="57" t="s">
        <v>870</v>
      </c>
      <c r="D462" s="57" t="s">
        <v>871</v>
      </c>
      <c r="E462" s="57" t="s">
        <v>872</v>
      </c>
      <c r="F462" s="57" t="s">
        <v>873</v>
      </c>
      <c r="G462" s="58">
        <v>3</v>
      </c>
      <c r="H462" s="58">
        <v>4</v>
      </c>
      <c r="I462" s="58">
        <v>3</v>
      </c>
      <c r="J462" s="58">
        <v>22</v>
      </c>
      <c r="K462" s="58">
        <v>13538325</v>
      </c>
      <c r="L462" s="58">
        <v>600</v>
      </c>
      <c r="M462" s="58">
        <v>6172</v>
      </c>
      <c r="N462" s="58" t="s">
        <v>874</v>
      </c>
      <c r="O462" s="59" t="s">
        <v>875</v>
      </c>
      <c r="P462" s="58" t="s">
        <v>876</v>
      </c>
      <c r="Q462" s="61">
        <v>1100001</v>
      </c>
      <c r="R462" s="58">
        <v>0</v>
      </c>
      <c r="S462" s="58" t="s">
        <v>206</v>
      </c>
      <c r="T462" s="58">
        <v>1</v>
      </c>
      <c r="U462" s="58" t="s">
        <v>877</v>
      </c>
      <c r="V462" s="19" t="s">
        <v>785</v>
      </c>
      <c r="W462" s="58" t="s">
        <v>878</v>
      </c>
      <c r="X462" s="57">
        <v>15</v>
      </c>
      <c r="Y462" s="19" t="s">
        <v>1257</v>
      </c>
      <c r="Z462" s="19" t="s">
        <v>1258</v>
      </c>
      <c r="AA462" s="19" t="s">
        <v>1259</v>
      </c>
      <c r="AB462" s="19">
        <v>8</v>
      </c>
      <c r="AC462" s="43" t="b">
        <v>0</v>
      </c>
      <c r="AD462" s="44"/>
      <c r="AE462" s="44">
        <v>5</v>
      </c>
      <c r="AF462" s="44"/>
      <c r="AG462" s="45" t="s">
        <v>646</v>
      </c>
      <c r="AH462" s="45" t="s">
        <v>604</v>
      </c>
      <c r="AI462" s="44"/>
    </row>
    <row r="463" spans="1:35" s="4" customFormat="1" x14ac:dyDescent="0.25">
      <c r="A463" s="57">
        <v>130923</v>
      </c>
      <c r="B463" s="57" t="s">
        <v>1260</v>
      </c>
      <c r="C463" s="57" t="s">
        <v>870</v>
      </c>
      <c r="D463" s="57" t="s">
        <v>871</v>
      </c>
      <c r="E463" s="57" t="s">
        <v>872</v>
      </c>
      <c r="F463" s="57" t="s">
        <v>873</v>
      </c>
      <c r="G463" s="58">
        <v>3</v>
      </c>
      <c r="H463" s="58">
        <v>4</v>
      </c>
      <c r="I463" s="58">
        <v>3</v>
      </c>
      <c r="J463" s="58">
        <v>23</v>
      </c>
      <c r="K463" s="58">
        <v>13994637</v>
      </c>
      <c r="L463" s="58">
        <v>600</v>
      </c>
      <c r="M463" s="58">
        <v>6173</v>
      </c>
      <c r="N463" s="58" t="s">
        <v>874</v>
      </c>
      <c r="O463" s="59" t="s">
        <v>875</v>
      </c>
      <c r="P463" s="58" t="s">
        <v>876</v>
      </c>
      <c r="Q463" s="61">
        <v>1100001</v>
      </c>
      <c r="R463" s="58">
        <v>0</v>
      </c>
      <c r="S463" s="58" t="s">
        <v>206</v>
      </c>
      <c r="T463" s="58">
        <v>1</v>
      </c>
      <c r="U463" s="58" t="s">
        <v>877</v>
      </c>
      <c r="V463" s="19" t="s">
        <v>785</v>
      </c>
      <c r="W463" s="58" t="s">
        <v>878</v>
      </c>
      <c r="X463" s="57">
        <v>15</v>
      </c>
      <c r="Y463" s="19" t="s">
        <v>1261</v>
      </c>
      <c r="Z463" s="19" t="s">
        <v>1262</v>
      </c>
      <c r="AA463" s="19" t="s">
        <v>1263</v>
      </c>
      <c r="AB463" s="19">
        <v>8</v>
      </c>
      <c r="AC463" s="43" t="b">
        <v>0</v>
      </c>
      <c r="AD463" s="44"/>
      <c r="AE463" s="44">
        <v>5</v>
      </c>
      <c r="AF463" s="44"/>
      <c r="AG463" s="45" t="s">
        <v>646</v>
      </c>
      <c r="AH463" s="45" t="s">
        <v>604</v>
      </c>
      <c r="AI463" s="44"/>
    </row>
    <row r="464" spans="1:35" s="4" customFormat="1" x14ac:dyDescent="0.25">
      <c r="A464" s="57">
        <v>130924</v>
      </c>
      <c r="B464" s="57" t="s">
        <v>1264</v>
      </c>
      <c r="C464" s="57" t="s">
        <v>870</v>
      </c>
      <c r="D464" s="57" t="s">
        <v>871</v>
      </c>
      <c r="E464" s="57" t="s">
        <v>872</v>
      </c>
      <c r="F464" s="57" t="s">
        <v>873</v>
      </c>
      <c r="G464" s="58">
        <v>3</v>
      </c>
      <c r="H464" s="58">
        <v>4</v>
      </c>
      <c r="I464" s="58">
        <v>3</v>
      </c>
      <c r="J464" s="58">
        <v>24</v>
      </c>
      <c r="K464" s="58">
        <v>14450949</v>
      </c>
      <c r="L464" s="58">
        <v>600</v>
      </c>
      <c r="M464" s="58">
        <v>6174</v>
      </c>
      <c r="N464" s="58" t="s">
        <v>874</v>
      </c>
      <c r="O464" s="59" t="s">
        <v>875</v>
      </c>
      <c r="P464" s="58" t="s">
        <v>876</v>
      </c>
      <c r="Q464" s="61">
        <v>1100001</v>
      </c>
      <c r="R464" s="58">
        <v>0</v>
      </c>
      <c r="S464" s="58" t="s">
        <v>206</v>
      </c>
      <c r="T464" s="58">
        <v>1</v>
      </c>
      <c r="U464" s="58" t="s">
        <v>877</v>
      </c>
      <c r="V464" s="19" t="s">
        <v>785</v>
      </c>
      <c r="W464" s="58" t="s">
        <v>878</v>
      </c>
      <c r="X464" s="57">
        <v>15</v>
      </c>
      <c r="Y464" s="19" t="s">
        <v>1265</v>
      </c>
      <c r="Z464" s="19" t="s">
        <v>1266</v>
      </c>
      <c r="AA464" s="19" t="s">
        <v>1267</v>
      </c>
      <c r="AB464" s="19">
        <v>8</v>
      </c>
      <c r="AC464" s="43" t="b">
        <v>0</v>
      </c>
      <c r="AD464" s="44"/>
      <c r="AE464" s="44">
        <v>5</v>
      </c>
      <c r="AF464" s="44"/>
      <c r="AG464" s="45" t="s">
        <v>646</v>
      </c>
      <c r="AH464" s="45" t="s">
        <v>604</v>
      </c>
      <c r="AI464" s="44"/>
    </row>
    <row r="465" spans="1:35" s="4" customFormat="1" x14ac:dyDescent="0.25">
      <c r="A465" s="57">
        <v>130925</v>
      </c>
      <c r="B465" s="57" t="s">
        <v>1268</v>
      </c>
      <c r="C465" s="57" t="s">
        <v>870</v>
      </c>
      <c r="D465" s="57" t="s">
        <v>871</v>
      </c>
      <c r="E465" s="57" t="s">
        <v>872</v>
      </c>
      <c r="F465" s="57" t="s">
        <v>873</v>
      </c>
      <c r="G465" s="58">
        <v>3</v>
      </c>
      <c r="H465" s="58">
        <v>4</v>
      </c>
      <c r="I465" s="58">
        <v>3</v>
      </c>
      <c r="J465" s="58">
        <v>25</v>
      </c>
      <c r="K465" s="58">
        <v>14907261</v>
      </c>
      <c r="L465" s="58">
        <v>600</v>
      </c>
      <c r="M465" s="58">
        <v>6175</v>
      </c>
      <c r="N465" s="58" t="s">
        <v>874</v>
      </c>
      <c r="O465" s="59" t="s">
        <v>875</v>
      </c>
      <c r="P465" s="58" t="s">
        <v>876</v>
      </c>
      <c r="Q465" s="61">
        <v>1100001</v>
      </c>
      <c r="R465" s="58">
        <v>0</v>
      </c>
      <c r="S465" s="58" t="s">
        <v>206</v>
      </c>
      <c r="T465" s="58">
        <v>1</v>
      </c>
      <c r="U465" s="58" t="s">
        <v>877</v>
      </c>
      <c r="V465" s="19" t="s">
        <v>785</v>
      </c>
      <c r="W465" s="58" t="s">
        <v>878</v>
      </c>
      <c r="X465" s="57">
        <v>15</v>
      </c>
      <c r="Y465" s="19" t="s">
        <v>1269</v>
      </c>
      <c r="Z465" s="19" t="s">
        <v>1270</v>
      </c>
      <c r="AA465" s="19" t="s">
        <v>1271</v>
      </c>
      <c r="AB465" s="19">
        <v>8</v>
      </c>
      <c r="AC465" s="43" t="b">
        <v>0</v>
      </c>
      <c r="AD465" s="44"/>
      <c r="AE465" s="44">
        <v>5</v>
      </c>
      <c r="AF465" s="44"/>
      <c r="AG465" s="45" t="s">
        <v>646</v>
      </c>
      <c r="AH465" s="45" t="s">
        <v>604</v>
      </c>
      <c r="AI465" s="44"/>
    </row>
    <row r="466" spans="1:35" s="4" customFormat="1" x14ac:dyDescent="0.25">
      <c r="A466" s="57">
        <v>130926</v>
      </c>
      <c r="B466" s="57" t="s">
        <v>1272</v>
      </c>
      <c r="C466" s="57" t="s">
        <v>870</v>
      </c>
      <c r="D466" s="57" t="s">
        <v>871</v>
      </c>
      <c r="E466" s="57" t="s">
        <v>872</v>
      </c>
      <c r="F466" s="57" t="s">
        <v>873</v>
      </c>
      <c r="G466" s="58">
        <v>3</v>
      </c>
      <c r="H466" s="58">
        <v>4</v>
      </c>
      <c r="I466" s="58">
        <v>3</v>
      </c>
      <c r="J466" s="58">
        <v>26</v>
      </c>
      <c r="K466" s="58">
        <v>15363573</v>
      </c>
      <c r="L466" s="58">
        <v>600</v>
      </c>
      <c r="M466" s="58">
        <v>6176</v>
      </c>
      <c r="N466" s="58" t="s">
        <v>874</v>
      </c>
      <c r="O466" s="59" t="s">
        <v>875</v>
      </c>
      <c r="P466" s="58" t="s">
        <v>876</v>
      </c>
      <c r="Q466" s="61">
        <v>1100001</v>
      </c>
      <c r="R466" s="58">
        <v>0</v>
      </c>
      <c r="S466" s="58" t="s">
        <v>206</v>
      </c>
      <c r="T466" s="58">
        <v>1</v>
      </c>
      <c r="U466" s="58" t="s">
        <v>877</v>
      </c>
      <c r="V466" s="19" t="s">
        <v>785</v>
      </c>
      <c r="W466" s="58" t="s">
        <v>878</v>
      </c>
      <c r="X466" s="57">
        <v>15</v>
      </c>
      <c r="Y466" s="19" t="s">
        <v>1273</v>
      </c>
      <c r="Z466" s="19" t="s">
        <v>1274</v>
      </c>
      <c r="AA466" s="19" t="s">
        <v>1275</v>
      </c>
      <c r="AB466" s="19">
        <v>8</v>
      </c>
      <c r="AC466" s="43" t="b">
        <v>0</v>
      </c>
      <c r="AD466" s="44"/>
      <c r="AE466" s="44">
        <v>5</v>
      </c>
      <c r="AF466" s="44"/>
      <c r="AG466" s="45" t="s">
        <v>646</v>
      </c>
      <c r="AH466" s="45" t="s">
        <v>604</v>
      </c>
      <c r="AI466" s="44"/>
    </row>
    <row r="467" spans="1:35" s="4" customFormat="1" x14ac:dyDescent="0.25">
      <c r="A467" s="57">
        <v>130927</v>
      </c>
      <c r="B467" s="57" t="s">
        <v>1276</v>
      </c>
      <c r="C467" s="57" t="s">
        <v>870</v>
      </c>
      <c r="D467" s="57" t="s">
        <v>871</v>
      </c>
      <c r="E467" s="57" t="s">
        <v>872</v>
      </c>
      <c r="F467" s="57" t="s">
        <v>873</v>
      </c>
      <c r="G467" s="58">
        <v>3</v>
      </c>
      <c r="H467" s="58">
        <v>4</v>
      </c>
      <c r="I467" s="58">
        <v>3</v>
      </c>
      <c r="J467" s="58">
        <v>27</v>
      </c>
      <c r="K467" s="58">
        <v>15819885</v>
      </c>
      <c r="L467" s="58">
        <v>600</v>
      </c>
      <c r="M467" s="58">
        <v>6177</v>
      </c>
      <c r="N467" s="58" t="s">
        <v>874</v>
      </c>
      <c r="O467" s="59" t="s">
        <v>875</v>
      </c>
      <c r="P467" s="58" t="s">
        <v>876</v>
      </c>
      <c r="Q467" s="61">
        <v>1100001</v>
      </c>
      <c r="R467" s="58">
        <v>0</v>
      </c>
      <c r="S467" s="58" t="s">
        <v>206</v>
      </c>
      <c r="T467" s="58">
        <v>1</v>
      </c>
      <c r="U467" s="58" t="s">
        <v>877</v>
      </c>
      <c r="V467" s="19" t="s">
        <v>785</v>
      </c>
      <c r="W467" s="58" t="s">
        <v>878</v>
      </c>
      <c r="X467" s="57">
        <v>15</v>
      </c>
      <c r="Y467" s="19" t="s">
        <v>1277</v>
      </c>
      <c r="Z467" s="19" t="s">
        <v>1278</v>
      </c>
      <c r="AA467" s="19" t="s">
        <v>1279</v>
      </c>
      <c r="AB467" s="19">
        <v>8</v>
      </c>
      <c r="AC467" s="43" t="b">
        <v>0</v>
      </c>
      <c r="AD467" s="44"/>
      <c r="AE467" s="44">
        <v>5</v>
      </c>
      <c r="AF467" s="44"/>
      <c r="AG467" s="45" t="s">
        <v>646</v>
      </c>
      <c r="AH467" s="45" t="s">
        <v>604</v>
      </c>
      <c r="AI467" s="44"/>
    </row>
    <row r="468" spans="1:35" s="4" customFormat="1" x14ac:dyDescent="0.25">
      <c r="A468" s="57">
        <v>130928</v>
      </c>
      <c r="B468" s="57" t="s">
        <v>1280</v>
      </c>
      <c r="C468" s="57" t="s">
        <v>870</v>
      </c>
      <c r="D468" s="57" t="s">
        <v>871</v>
      </c>
      <c r="E468" s="57" t="s">
        <v>872</v>
      </c>
      <c r="F468" s="57" t="s">
        <v>873</v>
      </c>
      <c r="G468" s="58">
        <v>3</v>
      </c>
      <c r="H468" s="58">
        <v>4</v>
      </c>
      <c r="I468" s="58">
        <v>3</v>
      </c>
      <c r="J468" s="58">
        <v>28</v>
      </c>
      <c r="K468" s="58">
        <v>16276197</v>
      </c>
      <c r="L468" s="58">
        <v>600</v>
      </c>
      <c r="M468" s="58">
        <v>6178</v>
      </c>
      <c r="N468" s="58" t="s">
        <v>874</v>
      </c>
      <c r="O468" s="59" t="s">
        <v>875</v>
      </c>
      <c r="P468" s="58" t="s">
        <v>876</v>
      </c>
      <c r="Q468" s="61">
        <v>1100001</v>
      </c>
      <c r="R468" s="58">
        <v>0</v>
      </c>
      <c r="S468" s="58" t="s">
        <v>206</v>
      </c>
      <c r="T468" s="58">
        <v>1</v>
      </c>
      <c r="U468" s="58" t="s">
        <v>877</v>
      </c>
      <c r="V468" s="19" t="s">
        <v>785</v>
      </c>
      <c r="W468" s="58" t="s">
        <v>878</v>
      </c>
      <c r="X468" s="57">
        <v>15</v>
      </c>
      <c r="Y468" s="19" t="s">
        <v>1281</v>
      </c>
      <c r="Z468" s="19" t="s">
        <v>1282</v>
      </c>
      <c r="AA468" s="19" t="s">
        <v>1283</v>
      </c>
      <c r="AB468" s="19">
        <v>8</v>
      </c>
      <c r="AC468" s="43" t="b">
        <v>0</v>
      </c>
      <c r="AD468" s="44"/>
      <c r="AE468" s="44">
        <v>5</v>
      </c>
      <c r="AF468" s="44"/>
      <c r="AG468" s="45" t="s">
        <v>646</v>
      </c>
      <c r="AH468" s="45" t="s">
        <v>604</v>
      </c>
      <c r="AI468" s="44"/>
    </row>
    <row r="469" spans="1:35" s="4" customFormat="1" x14ac:dyDescent="0.25">
      <c r="A469" s="57">
        <v>130929</v>
      </c>
      <c r="B469" s="57" t="s">
        <v>1284</v>
      </c>
      <c r="C469" s="57" t="s">
        <v>870</v>
      </c>
      <c r="D469" s="57" t="s">
        <v>871</v>
      </c>
      <c r="E469" s="57" t="s">
        <v>872</v>
      </c>
      <c r="F469" s="57" t="s">
        <v>873</v>
      </c>
      <c r="G469" s="58">
        <v>3</v>
      </c>
      <c r="H469" s="58">
        <v>4</v>
      </c>
      <c r="I469" s="58">
        <v>3</v>
      </c>
      <c r="J469" s="58">
        <v>29</v>
      </c>
      <c r="K469" s="58">
        <v>16732509</v>
      </c>
      <c r="L469" s="58">
        <v>600</v>
      </c>
      <c r="M469" s="58">
        <v>6179</v>
      </c>
      <c r="N469" s="58" t="s">
        <v>874</v>
      </c>
      <c r="O469" s="59" t="s">
        <v>875</v>
      </c>
      <c r="P469" s="58" t="s">
        <v>876</v>
      </c>
      <c r="Q469" s="61">
        <v>1100001</v>
      </c>
      <c r="R469" s="58">
        <v>0</v>
      </c>
      <c r="S469" s="58" t="s">
        <v>206</v>
      </c>
      <c r="T469" s="58">
        <v>1</v>
      </c>
      <c r="U469" s="58" t="s">
        <v>877</v>
      </c>
      <c r="V469" s="19" t="s">
        <v>785</v>
      </c>
      <c r="W469" s="58" t="s">
        <v>878</v>
      </c>
      <c r="X469" s="57">
        <v>15</v>
      </c>
      <c r="Y469" s="19" t="s">
        <v>1285</v>
      </c>
      <c r="Z469" s="19" t="s">
        <v>1286</v>
      </c>
      <c r="AA469" s="19" t="s">
        <v>1287</v>
      </c>
      <c r="AB469" s="19">
        <v>8</v>
      </c>
      <c r="AC469" s="43" t="b">
        <v>0</v>
      </c>
      <c r="AD469" s="44"/>
      <c r="AE469" s="44">
        <v>5</v>
      </c>
      <c r="AF469" s="44"/>
      <c r="AG469" s="45" t="s">
        <v>646</v>
      </c>
      <c r="AH469" s="45" t="s">
        <v>604</v>
      </c>
      <c r="AI469" s="44"/>
    </row>
    <row r="470" spans="1:35" s="4" customFormat="1" x14ac:dyDescent="0.25">
      <c r="A470" s="57">
        <v>130930</v>
      </c>
      <c r="B470" s="57" t="s">
        <v>1288</v>
      </c>
      <c r="C470" s="57" t="s">
        <v>870</v>
      </c>
      <c r="D470" s="57" t="s">
        <v>871</v>
      </c>
      <c r="E470" s="57" t="s">
        <v>872</v>
      </c>
      <c r="F470" s="57" t="s">
        <v>873</v>
      </c>
      <c r="G470" s="58">
        <v>3</v>
      </c>
      <c r="H470" s="58">
        <v>4</v>
      </c>
      <c r="I470" s="58">
        <v>3</v>
      </c>
      <c r="J470" s="58">
        <v>30</v>
      </c>
      <c r="K470" s="58">
        <v>17188757</v>
      </c>
      <c r="L470" s="58">
        <v>600</v>
      </c>
      <c r="M470" s="58">
        <v>6180</v>
      </c>
      <c r="N470" s="58" t="s">
        <v>874</v>
      </c>
      <c r="O470" s="59" t="s">
        <v>875</v>
      </c>
      <c r="P470" s="58" t="s">
        <v>876</v>
      </c>
      <c r="Q470" s="61">
        <v>1100001</v>
      </c>
      <c r="R470" s="58">
        <v>0</v>
      </c>
      <c r="S470" s="58" t="s">
        <v>206</v>
      </c>
      <c r="T470" s="58">
        <v>1</v>
      </c>
      <c r="U470" s="58" t="s">
        <v>877</v>
      </c>
      <c r="V470" s="19" t="s">
        <v>785</v>
      </c>
      <c r="W470" s="58" t="s">
        <v>878</v>
      </c>
      <c r="X470" s="57">
        <v>15</v>
      </c>
      <c r="Y470" s="19" t="s">
        <v>1289</v>
      </c>
      <c r="Z470" s="19" t="s">
        <v>1290</v>
      </c>
      <c r="AA470" s="19" t="s">
        <v>1291</v>
      </c>
      <c r="AB470" s="19">
        <v>8</v>
      </c>
      <c r="AC470" s="43" t="b">
        <v>0</v>
      </c>
      <c r="AD470" s="44"/>
      <c r="AE470" s="44">
        <v>5</v>
      </c>
      <c r="AF470" s="44"/>
      <c r="AG470" s="45" t="s">
        <v>646</v>
      </c>
      <c r="AH470" s="45" t="s">
        <v>604</v>
      </c>
      <c r="AI470" s="44"/>
    </row>
    <row r="471" spans="1:35" s="4" customFormat="1" x14ac:dyDescent="0.25">
      <c r="A471" s="57">
        <v>131001</v>
      </c>
      <c r="B471" s="57" t="s">
        <v>1292</v>
      </c>
      <c r="C471" s="57" t="s">
        <v>870</v>
      </c>
      <c r="D471" s="57" t="s">
        <v>871</v>
      </c>
      <c r="E471" s="57" t="s">
        <v>872</v>
      </c>
      <c r="F471" s="57" t="s">
        <v>873</v>
      </c>
      <c r="G471" s="58">
        <v>3</v>
      </c>
      <c r="H471" s="58">
        <v>4</v>
      </c>
      <c r="I471" s="58">
        <v>3</v>
      </c>
      <c r="J471" s="58">
        <v>1</v>
      </c>
      <c r="K471" s="58">
        <v>3422464</v>
      </c>
      <c r="L471" s="58">
        <v>600</v>
      </c>
      <c r="M471" s="58">
        <v>6181</v>
      </c>
      <c r="N471" s="58" t="s">
        <v>874</v>
      </c>
      <c r="O471" s="59" t="s">
        <v>875</v>
      </c>
      <c r="P471" s="58" t="s">
        <v>876</v>
      </c>
      <c r="Q471" s="61">
        <v>1100001</v>
      </c>
      <c r="R471" s="58">
        <v>0</v>
      </c>
      <c r="S471" s="58" t="s">
        <v>206</v>
      </c>
      <c r="T471" s="58">
        <v>1</v>
      </c>
      <c r="U471" s="58" t="s">
        <v>877</v>
      </c>
      <c r="V471" s="19" t="s">
        <v>785</v>
      </c>
      <c r="W471" s="58" t="s">
        <v>878</v>
      </c>
      <c r="X471" s="57">
        <v>15</v>
      </c>
      <c r="Y471" s="19" t="s">
        <v>1077</v>
      </c>
      <c r="Z471" s="19" t="s">
        <v>1078</v>
      </c>
      <c r="AA471" s="19" t="s">
        <v>1079</v>
      </c>
      <c r="AB471" s="19">
        <v>8</v>
      </c>
      <c r="AC471" s="43" t="b">
        <v>0</v>
      </c>
      <c r="AD471" s="44"/>
      <c r="AE471" s="44">
        <v>5</v>
      </c>
      <c r="AF471" s="44"/>
      <c r="AG471" s="45" t="s">
        <v>646</v>
      </c>
      <c r="AH471" s="45" t="s">
        <v>604</v>
      </c>
      <c r="AI471" s="44"/>
    </row>
    <row r="472" spans="1:35" s="4" customFormat="1" x14ac:dyDescent="0.25">
      <c r="A472" s="57">
        <v>131002</v>
      </c>
      <c r="B472" s="57" t="s">
        <v>1293</v>
      </c>
      <c r="C472" s="57" t="s">
        <v>870</v>
      </c>
      <c r="D472" s="57" t="s">
        <v>871</v>
      </c>
      <c r="E472" s="57" t="s">
        <v>872</v>
      </c>
      <c r="F472" s="57" t="s">
        <v>873</v>
      </c>
      <c r="G472" s="58">
        <v>3</v>
      </c>
      <c r="H472" s="58">
        <v>4</v>
      </c>
      <c r="I472" s="58">
        <v>3</v>
      </c>
      <c r="J472" s="58">
        <v>2</v>
      </c>
      <c r="K472" s="58">
        <v>4675094</v>
      </c>
      <c r="L472" s="58">
        <v>600</v>
      </c>
      <c r="M472" s="58">
        <v>6182</v>
      </c>
      <c r="N472" s="58" t="s">
        <v>874</v>
      </c>
      <c r="O472" s="59" t="s">
        <v>875</v>
      </c>
      <c r="P472" s="58" t="s">
        <v>876</v>
      </c>
      <c r="Q472" s="61">
        <v>1100001</v>
      </c>
      <c r="R472" s="58">
        <v>0</v>
      </c>
      <c r="S472" s="58" t="s">
        <v>206</v>
      </c>
      <c r="T472" s="58">
        <v>1</v>
      </c>
      <c r="U472" s="58" t="s">
        <v>877</v>
      </c>
      <c r="V472" s="19" t="s">
        <v>785</v>
      </c>
      <c r="W472" s="58" t="s">
        <v>878</v>
      </c>
      <c r="X472" s="57">
        <v>15</v>
      </c>
      <c r="Y472" s="19" t="s">
        <v>1097</v>
      </c>
      <c r="Z472" s="19" t="s">
        <v>1098</v>
      </c>
      <c r="AA472" s="19" t="s">
        <v>1099</v>
      </c>
      <c r="AB472" s="19">
        <v>8</v>
      </c>
      <c r="AC472" s="43" t="b">
        <v>0</v>
      </c>
      <c r="AD472" s="44"/>
      <c r="AE472" s="44">
        <v>5</v>
      </c>
      <c r="AF472" s="44"/>
      <c r="AG472" s="45" t="s">
        <v>646</v>
      </c>
      <c r="AH472" s="45" t="s">
        <v>604</v>
      </c>
      <c r="AI472" s="44"/>
    </row>
    <row r="473" spans="1:35" s="4" customFormat="1" x14ac:dyDescent="0.25">
      <c r="A473" s="57">
        <v>131003</v>
      </c>
      <c r="B473" s="57" t="s">
        <v>1294</v>
      </c>
      <c r="C473" s="57" t="s">
        <v>870</v>
      </c>
      <c r="D473" s="57" t="s">
        <v>871</v>
      </c>
      <c r="E473" s="57" t="s">
        <v>872</v>
      </c>
      <c r="F473" s="57" t="s">
        <v>873</v>
      </c>
      <c r="G473" s="58">
        <v>3</v>
      </c>
      <c r="H473" s="58">
        <v>4</v>
      </c>
      <c r="I473" s="58">
        <v>3</v>
      </c>
      <c r="J473" s="58">
        <v>3</v>
      </c>
      <c r="K473" s="58">
        <v>6058612</v>
      </c>
      <c r="L473" s="58">
        <v>600</v>
      </c>
      <c r="M473" s="58">
        <v>6183</v>
      </c>
      <c r="N473" s="58" t="s">
        <v>874</v>
      </c>
      <c r="O473" s="59" t="s">
        <v>875</v>
      </c>
      <c r="P473" s="58" t="s">
        <v>876</v>
      </c>
      <c r="Q473" s="61">
        <v>1100001</v>
      </c>
      <c r="R473" s="58">
        <v>0</v>
      </c>
      <c r="S473" s="58" t="s">
        <v>206</v>
      </c>
      <c r="T473" s="58">
        <v>1</v>
      </c>
      <c r="U473" s="58" t="s">
        <v>877</v>
      </c>
      <c r="V473" s="19" t="s">
        <v>785</v>
      </c>
      <c r="W473" s="58" t="s">
        <v>878</v>
      </c>
      <c r="X473" s="57">
        <v>15</v>
      </c>
      <c r="Y473" s="19" t="s">
        <v>1138</v>
      </c>
      <c r="Z473" s="19" t="s">
        <v>1139</v>
      </c>
      <c r="AA473" s="19" t="s">
        <v>1140</v>
      </c>
      <c r="AB473" s="19">
        <v>8</v>
      </c>
      <c r="AC473" s="43" t="b">
        <v>0</v>
      </c>
      <c r="AD473" s="44"/>
      <c r="AE473" s="44">
        <v>5</v>
      </c>
      <c r="AF473" s="44"/>
      <c r="AG473" s="45" t="s">
        <v>646</v>
      </c>
      <c r="AH473" s="45" t="s">
        <v>604</v>
      </c>
      <c r="AI473" s="44"/>
    </row>
    <row r="474" spans="1:35" s="4" customFormat="1" x14ac:dyDescent="0.25">
      <c r="A474" s="57">
        <v>131004</v>
      </c>
      <c r="B474" s="57" t="s">
        <v>1295</v>
      </c>
      <c r="C474" s="57" t="s">
        <v>870</v>
      </c>
      <c r="D474" s="57" t="s">
        <v>871</v>
      </c>
      <c r="E474" s="57" t="s">
        <v>872</v>
      </c>
      <c r="F474" s="57" t="s">
        <v>873</v>
      </c>
      <c r="G474" s="58">
        <v>3</v>
      </c>
      <c r="H474" s="58">
        <v>4</v>
      </c>
      <c r="I474" s="58">
        <v>3</v>
      </c>
      <c r="J474" s="58">
        <v>4</v>
      </c>
      <c r="K474" s="58">
        <v>7636952</v>
      </c>
      <c r="L474" s="58">
        <v>600</v>
      </c>
      <c r="M474" s="58">
        <v>6184</v>
      </c>
      <c r="N474" s="58" t="s">
        <v>874</v>
      </c>
      <c r="O474" s="59" t="s">
        <v>875</v>
      </c>
      <c r="P474" s="58" t="s">
        <v>876</v>
      </c>
      <c r="Q474" s="61">
        <v>1100001</v>
      </c>
      <c r="R474" s="58">
        <v>0</v>
      </c>
      <c r="S474" s="58" t="s">
        <v>206</v>
      </c>
      <c r="T474" s="58">
        <v>1</v>
      </c>
      <c r="U474" s="58" t="s">
        <v>877</v>
      </c>
      <c r="V474" s="19" t="s">
        <v>785</v>
      </c>
      <c r="W474" s="58" t="s">
        <v>878</v>
      </c>
      <c r="X474" s="57">
        <v>15</v>
      </c>
      <c r="Y474" s="19" t="s">
        <v>1158</v>
      </c>
      <c r="Z474" s="19" t="s">
        <v>1159</v>
      </c>
      <c r="AA474" s="19" t="s">
        <v>1160</v>
      </c>
      <c r="AB474" s="19">
        <v>8</v>
      </c>
      <c r="AC474" s="43" t="b">
        <v>0</v>
      </c>
      <c r="AD474" s="44"/>
      <c r="AE474" s="44">
        <v>5</v>
      </c>
      <c r="AF474" s="44"/>
      <c r="AG474" s="45" t="s">
        <v>646</v>
      </c>
      <c r="AH474" s="45" t="s">
        <v>604</v>
      </c>
      <c r="AI474" s="44"/>
    </row>
    <row r="475" spans="1:35" s="4" customFormat="1" x14ac:dyDescent="0.25">
      <c r="A475" s="57">
        <v>131005</v>
      </c>
      <c r="B475" s="57" t="s">
        <v>1296</v>
      </c>
      <c r="C475" s="57" t="s">
        <v>870</v>
      </c>
      <c r="D475" s="57" t="s">
        <v>871</v>
      </c>
      <c r="E475" s="57" t="s">
        <v>872</v>
      </c>
      <c r="F475" s="57" t="s">
        <v>873</v>
      </c>
      <c r="G475" s="58">
        <v>3</v>
      </c>
      <c r="H475" s="58">
        <v>4</v>
      </c>
      <c r="I475" s="58">
        <v>3</v>
      </c>
      <c r="J475" s="58">
        <v>5</v>
      </c>
      <c r="K475" s="58">
        <v>9416136</v>
      </c>
      <c r="L475" s="58">
        <v>600</v>
      </c>
      <c r="M475" s="58">
        <v>6185</v>
      </c>
      <c r="N475" s="58" t="s">
        <v>874</v>
      </c>
      <c r="O475" s="59" t="s">
        <v>875</v>
      </c>
      <c r="P475" s="58" t="s">
        <v>876</v>
      </c>
      <c r="Q475" s="61">
        <v>1100001</v>
      </c>
      <c r="R475" s="58">
        <v>0</v>
      </c>
      <c r="S475" s="58" t="s">
        <v>206</v>
      </c>
      <c r="T475" s="58">
        <v>1</v>
      </c>
      <c r="U475" s="58" t="s">
        <v>877</v>
      </c>
      <c r="V475" s="19" t="s">
        <v>785</v>
      </c>
      <c r="W475" s="58" t="s">
        <v>878</v>
      </c>
      <c r="X475" s="57">
        <v>15</v>
      </c>
      <c r="Y475" s="19" t="s">
        <v>1199</v>
      </c>
      <c r="Z475" s="19" t="s">
        <v>1200</v>
      </c>
      <c r="AA475" s="19" t="s">
        <v>1201</v>
      </c>
      <c r="AB475" s="19">
        <v>8</v>
      </c>
      <c r="AC475" s="43" t="b">
        <v>0</v>
      </c>
      <c r="AD475" s="44"/>
      <c r="AE475" s="44">
        <v>5</v>
      </c>
      <c r="AF475" s="44"/>
      <c r="AG475" s="45" t="s">
        <v>646</v>
      </c>
      <c r="AH475" s="45" t="s">
        <v>604</v>
      </c>
      <c r="AI475" s="44"/>
    </row>
    <row r="476" spans="1:35" s="4" customFormat="1" x14ac:dyDescent="0.25">
      <c r="A476" s="57">
        <v>131006</v>
      </c>
      <c r="B476" s="57" t="s">
        <v>1297</v>
      </c>
      <c r="C476" s="57" t="s">
        <v>870</v>
      </c>
      <c r="D476" s="57" t="s">
        <v>871</v>
      </c>
      <c r="E476" s="57" t="s">
        <v>872</v>
      </c>
      <c r="F476" s="57" t="s">
        <v>873</v>
      </c>
      <c r="G476" s="58">
        <v>3</v>
      </c>
      <c r="H476" s="58">
        <v>4</v>
      </c>
      <c r="I476" s="58">
        <v>3</v>
      </c>
      <c r="J476" s="58">
        <v>6</v>
      </c>
      <c r="K476" s="58">
        <v>10564386</v>
      </c>
      <c r="L476" s="58">
        <v>600</v>
      </c>
      <c r="M476" s="58">
        <v>6186</v>
      </c>
      <c r="N476" s="58" t="s">
        <v>874</v>
      </c>
      <c r="O476" s="59" t="s">
        <v>875</v>
      </c>
      <c r="P476" s="58" t="s">
        <v>876</v>
      </c>
      <c r="Q476" s="61">
        <v>1100001</v>
      </c>
      <c r="R476" s="58">
        <v>0</v>
      </c>
      <c r="S476" s="58" t="s">
        <v>206</v>
      </c>
      <c r="T476" s="58">
        <v>1</v>
      </c>
      <c r="U476" s="58" t="s">
        <v>877</v>
      </c>
      <c r="V476" s="19" t="s">
        <v>785</v>
      </c>
      <c r="W476" s="58" t="s">
        <v>878</v>
      </c>
      <c r="X476" s="57">
        <v>15</v>
      </c>
      <c r="Y476" s="19" t="s">
        <v>1211</v>
      </c>
      <c r="Z476" s="19" t="s">
        <v>1212</v>
      </c>
      <c r="AA476" s="19" t="s">
        <v>1213</v>
      </c>
      <c r="AB476" s="19">
        <v>8</v>
      </c>
      <c r="AC476" s="43" t="b">
        <v>0</v>
      </c>
      <c r="AD476" s="44"/>
      <c r="AE476" s="44">
        <v>5</v>
      </c>
      <c r="AF476" s="44"/>
      <c r="AG476" s="45" t="s">
        <v>646</v>
      </c>
      <c r="AH476" s="45" t="s">
        <v>604</v>
      </c>
      <c r="AI476" s="44"/>
    </row>
    <row r="477" spans="1:35" s="4" customFormat="1" x14ac:dyDescent="0.25">
      <c r="A477" s="57">
        <v>131007</v>
      </c>
      <c r="B477" s="57" t="s">
        <v>1298</v>
      </c>
      <c r="C477" s="57" t="s">
        <v>870</v>
      </c>
      <c r="D477" s="57" t="s">
        <v>871</v>
      </c>
      <c r="E477" s="57" t="s">
        <v>872</v>
      </c>
      <c r="F477" s="57" t="s">
        <v>873</v>
      </c>
      <c r="G477" s="58">
        <v>3</v>
      </c>
      <c r="H477" s="58">
        <v>4</v>
      </c>
      <c r="I477" s="58">
        <v>3</v>
      </c>
      <c r="J477" s="58">
        <v>7</v>
      </c>
      <c r="K477" s="58">
        <v>11713077</v>
      </c>
      <c r="L477" s="58">
        <v>600</v>
      </c>
      <c r="M477" s="58">
        <v>6187</v>
      </c>
      <c r="N477" s="58" t="s">
        <v>874</v>
      </c>
      <c r="O477" s="59" t="s">
        <v>875</v>
      </c>
      <c r="P477" s="58" t="s">
        <v>876</v>
      </c>
      <c r="Q477" s="61">
        <v>1100001</v>
      </c>
      <c r="R477" s="58">
        <v>0</v>
      </c>
      <c r="S477" s="58" t="s">
        <v>206</v>
      </c>
      <c r="T477" s="58">
        <v>1</v>
      </c>
      <c r="U477" s="58" t="s">
        <v>877</v>
      </c>
      <c r="V477" s="19" t="s">
        <v>785</v>
      </c>
      <c r="W477" s="58" t="s">
        <v>878</v>
      </c>
      <c r="X477" s="57">
        <v>15</v>
      </c>
      <c r="Y477" s="19" t="s">
        <v>1223</v>
      </c>
      <c r="Z477" s="19" t="s">
        <v>1224</v>
      </c>
      <c r="AA477" s="19" t="s">
        <v>1225</v>
      </c>
      <c r="AB477" s="19">
        <v>8</v>
      </c>
      <c r="AC477" s="43" t="b">
        <v>0</v>
      </c>
      <c r="AD477" s="44"/>
      <c r="AE477" s="44">
        <v>5</v>
      </c>
      <c r="AF477" s="44"/>
      <c r="AG477" s="45" t="s">
        <v>646</v>
      </c>
      <c r="AH477" s="45" t="s">
        <v>604</v>
      </c>
      <c r="AI477" s="44"/>
    </row>
    <row r="478" spans="1:35" s="4" customFormat="1" x14ac:dyDescent="0.25">
      <c r="A478" s="57">
        <v>131008</v>
      </c>
      <c r="B478" s="57" t="s">
        <v>1299</v>
      </c>
      <c r="C478" s="57" t="s">
        <v>870</v>
      </c>
      <c r="D478" s="57" t="s">
        <v>871</v>
      </c>
      <c r="E478" s="57" t="s">
        <v>872</v>
      </c>
      <c r="F478" s="57" t="s">
        <v>873</v>
      </c>
      <c r="G478" s="58">
        <v>3</v>
      </c>
      <c r="H478" s="58">
        <v>4</v>
      </c>
      <c r="I478" s="58">
        <v>3</v>
      </c>
      <c r="J478" s="58">
        <v>8</v>
      </c>
      <c r="K478" s="58">
        <v>13082013</v>
      </c>
      <c r="L478" s="58">
        <v>600</v>
      </c>
      <c r="M478" s="58">
        <v>6188</v>
      </c>
      <c r="N478" s="58" t="s">
        <v>874</v>
      </c>
      <c r="O478" s="59" t="s">
        <v>875</v>
      </c>
      <c r="P478" s="58" t="s">
        <v>876</v>
      </c>
      <c r="Q478" s="61">
        <v>1100001</v>
      </c>
      <c r="R478" s="58">
        <v>0</v>
      </c>
      <c r="S478" s="58" t="s">
        <v>206</v>
      </c>
      <c r="T478" s="58">
        <v>1</v>
      </c>
      <c r="U478" s="58" t="s">
        <v>877</v>
      </c>
      <c r="V478" s="19" t="s">
        <v>785</v>
      </c>
      <c r="W478" s="58" t="s">
        <v>878</v>
      </c>
      <c r="X478" s="57">
        <v>15</v>
      </c>
      <c r="Y478" s="19" t="s">
        <v>1253</v>
      </c>
      <c r="Z478" s="19" t="s">
        <v>1254</v>
      </c>
      <c r="AA478" s="19" t="s">
        <v>1255</v>
      </c>
      <c r="AB478" s="19">
        <v>8</v>
      </c>
      <c r="AC478" s="43" t="b">
        <v>0</v>
      </c>
      <c r="AD478" s="44"/>
      <c r="AE478" s="44">
        <v>5</v>
      </c>
      <c r="AF478" s="44"/>
      <c r="AG478" s="45" t="s">
        <v>646</v>
      </c>
      <c r="AH478" s="45" t="s">
        <v>604</v>
      </c>
      <c r="AI478" s="44"/>
    </row>
    <row r="479" spans="1:35" s="4" customFormat="1" x14ac:dyDescent="0.25">
      <c r="A479" s="57">
        <v>131009</v>
      </c>
      <c r="B479" s="57" t="s">
        <v>1300</v>
      </c>
      <c r="C479" s="57" t="s">
        <v>870</v>
      </c>
      <c r="D479" s="57" t="s">
        <v>871</v>
      </c>
      <c r="E479" s="57" t="s">
        <v>872</v>
      </c>
      <c r="F479" s="57" t="s">
        <v>873</v>
      </c>
      <c r="G479" s="58">
        <v>3</v>
      </c>
      <c r="H479" s="58">
        <v>4</v>
      </c>
      <c r="I479" s="58">
        <v>3</v>
      </c>
      <c r="J479" s="58">
        <v>9</v>
      </c>
      <c r="K479" s="58">
        <v>14450949</v>
      </c>
      <c r="L479" s="58">
        <v>600</v>
      </c>
      <c r="M479" s="58">
        <v>6189</v>
      </c>
      <c r="N479" s="58" t="s">
        <v>874</v>
      </c>
      <c r="O479" s="59" t="s">
        <v>875</v>
      </c>
      <c r="P479" s="58" t="s">
        <v>876</v>
      </c>
      <c r="Q479" s="61">
        <v>1100001</v>
      </c>
      <c r="R479" s="58">
        <v>0</v>
      </c>
      <c r="S479" s="58" t="s">
        <v>206</v>
      </c>
      <c r="T479" s="58">
        <v>1</v>
      </c>
      <c r="U479" s="58" t="s">
        <v>877</v>
      </c>
      <c r="V479" s="19" t="s">
        <v>785</v>
      </c>
      <c r="W479" s="58" t="s">
        <v>878</v>
      </c>
      <c r="X479" s="57">
        <v>15</v>
      </c>
      <c r="Y479" s="19" t="s">
        <v>1265</v>
      </c>
      <c r="Z479" s="19" t="s">
        <v>1266</v>
      </c>
      <c r="AA479" s="19" t="s">
        <v>1267</v>
      </c>
      <c r="AB479" s="19">
        <v>8</v>
      </c>
      <c r="AC479" s="43" t="b">
        <v>0</v>
      </c>
      <c r="AD479" s="44"/>
      <c r="AE479" s="44">
        <v>5</v>
      </c>
      <c r="AF479" s="44"/>
      <c r="AG479" s="45" t="s">
        <v>646</v>
      </c>
      <c r="AH479" s="45" t="s">
        <v>604</v>
      </c>
      <c r="AI479" s="44"/>
    </row>
    <row r="480" spans="1:35" s="4" customFormat="1" x14ac:dyDescent="0.25">
      <c r="A480" s="57">
        <v>131010</v>
      </c>
      <c r="B480" s="57" t="s">
        <v>1301</v>
      </c>
      <c r="C480" s="57" t="s">
        <v>870</v>
      </c>
      <c r="D480" s="57" t="s">
        <v>871</v>
      </c>
      <c r="E480" s="57" t="s">
        <v>872</v>
      </c>
      <c r="F480" s="57" t="s">
        <v>873</v>
      </c>
      <c r="G480" s="58">
        <v>3</v>
      </c>
      <c r="H480" s="58">
        <v>4</v>
      </c>
      <c r="I480" s="58">
        <v>3</v>
      </c>
      <c r="J480" s="58">
        <v>10</v>
      </c>
      <c r="K480" s="58">
        <v>14907261</v>
      </c>
      <c r="L480" s="58">
        <v>600</v>
      </c>
      <c r="M480" s="58">
        <v>6190</v>
      </c>
      <c r="N480" s="58" t="s">
        <v>874</v>
      </c>
      <c r="O480" s="59" t="s">
        <v>875</v>
      </c>
      <c r="P480" s="58" t="s">
        <v>876</v>
      </c>
      <c r="Q480" s="61">
        <v>1100001</v>
      </c>
      <c r="R480" s="58">
        <v>0</v>
      </c>
      <c r="S480" s="58" t="s">
        <v>206</v>
      </c>
      <c r="T480" s="58">
        <v>1</v>
      </c>
      <c r="U480" s="58" t="s">
        <v>877</v>
      </c>
      <c r="V480" s="19" t="s">
        <v>785</v>
      </c>
      <c r="W480" s="58" t="s">
        <v>878</v>
      </c>
      <c r="X480" s="57">
        <v>15</v>
      </c>
      <c r="Y480" s="19" t="s">
        <v>1269</v>
      </c>
      <c r="Z480" s="19" t="s">
        <v>1270</v>
      </c>
      <c r="AA480" s="19" t="s">
        <v>1271</v>
      </c>
      <c r="AB480" s="19">
        <v>8</v>
      </c>
      <c r="AC480" s="43" t="b">
        <v>0</v>
      </c>
      <c r="AD480" s="44"/>
      <c r="AE480" s="44">
        <v>5</v>
      </c>
      <c r="AF480" s="44"/>
      <c r="AG480" s="45" t="s">
        <v>646</v>
      </c>
      <c r="AH480" s="45" t="s">
        <v>604</v>
      </c>
      <c r="AI480" s="44"/>
    </row>
    <row r="481" spans="1:35" s="4" customFormat="1" x14ac:dyDescent="0.25">
      <c r="A481" s="57">
        <v>131011</v>
      </c>
      <c r="B481" s="57" t="s">
        <v>1302</v>
      </c>
      <c r="C481" s="57" t="s">
        <v>870</v>
      </c>
      <c r="D481" s="57" t="s">
        <v>871</v>
      </c>
      <c r="E481" s="57" t="s">
        <v>872</v>
      </c>
      <c r="F481" s="57" t="s">
        <v>873</v>
      </c>
      <c r="G481" s="58">
        <v>3</v>
      </c>
      <c r="H481" s="58">
        <v>4</v>
      </c>
      <c r="I481" s="58">
        <v>3</v>
      </c>
      <c r="J481" s="58">
        <v>11</v>
      </c>
      <c r="K481" s="58">
        <v>15363573</v>
      </c>
      <c r="L481" s="58">
        <v>600</v>
      </c>
      <c r="M481" s="58">
        <v>6191</v>
      </c>
      <c r="N481" s="58" t="s">
        <v>874</v>
      </c>
      <c r="O481" s="59" t="s">
        <v>875</v>
      </c>
      <c r="P481" s="58" t="s">
        <v>876</v>
      </c>
      <c r="Q481" s="61">
        <v>1100001</v>
      </c>
      <c r="R481" s="58">
        <v>0</v>
      </c>
      <c r="S481" s="58" t="s">
        <v>206</v>
      </c>
      <c r="T481" s="58">
        <v>1</v>
      </c>
      <c r="U481" s="58" t="s">
        <v>877</v>
      </c>
      <c r="V481" s="19" t="s">
        <v>785</v>
      </c>
      <c r="W481" s="58" t="s">
        <v>878</v>
      </c>
      <c r="X481" s="57">
        <v>15</v>
      </c>
      <c r="Y481" s="19" t="s">
        <v>1273</v>
      </c>
      <c r="Z481" s="19" t="s">
        <v>1274</v>
      </c>
      <c r="AA481" s="19" t="s">
        <v>1275</v>
      </c>
      <c r="AB481" s="19">
        <v>8</v>
      </c>
      <c r="AC481" s="43" t="b">
        <v>0</v>
      </c>
      <c r="AD481" s="44"/>
      <c r="AE481" s="44">
        <v>5</v>
      </c>
      <c r="AF481" s="44"/>
      <c r="AG481" s="45" t="s">
        <v>646</v>
      </c>
      <c r="AH481" s="45" t="s">
        <v>604</v>
      </c>
      <c r="AI481" s="44"/>
    </row>
    <row r="482" spans="1:35" s="4" customFormat="1" x14ac:dyDescent="0.25">
      <c r="A482" s="57">
        <v>131012</v>
      </c>
      <c r="B482" s="57" t="s">
        <v>1303</v>
      </c>
      <c r="C482" s="57" t="s">
        <v>870</v>
      </c>
      <c r="D482" s="57" t="s">
        <v>871</v>
      </c>
      <c r="E482" s="57" t="s">
        <v>872</v>
      </c>
      <c r="F482" s="57" t="s">
        <v>873</v>
      </c>
      <c r="G482" s="58">
        <v>3</v>
      </c>
      <c r="H482" s="58">
        <v>4</v>
      </c>
      <c r="I482" s="58">
        <v>3</v>
      </c>
      <c r="J482" s="58">
        <v>12</v>
      </c>
      <c r="K482" s="58">
        <v>15819885</v>
      </c>
      <c r="L482" s="58">
        <v>600</v>
      </c>
      <c r="M482" s="58">
        <v>6192</v>
      </c>
      <c r="N482" s="58" t="s">
        <v>874</v>
      </c>
      <c r="O482" s="59" t="s">
        <v>875</v>
      </c>
      <c r="P482" s="58" t="s">
        <v>876</v>
      </c>
      <c r="Q482" s="61">
        <v>1100001</v>
      </c>
      <c r="R482" s="58">
        <v>0</v>
      </c>
      <c r="S482" s="58" t="s">
        <v>206</v>
      </c>
      <c r="T482" s="58">
        <v>1</v>
      </c>
      <c r="U482" s="58" t="s">
        <v>877</v>
      </c>
      <c r="V482" s="19" t="s">
        <v>785</v>
      </c>
      <c r="W482" s="58" t="s">
        <v>878</v>
      </c>
      <c r="X482" s="57">
        <v>15</v>
      </c>
      <c r="Y482" s="19" t="s">
        <v>1277</v>
      </c>
      <c r="Z482" s="19" t="s">
        <v>1278</v>
      </c>
      <c r="AA482" s="19" t="s">
        <v>1279</v>
      </c>
      <c r="AB482" s="19">
        <v>8</v>
      </c>
      <c r="AC482" s="43" t="b">
        <v>0</v>
      </c>
      <c r="AD482" s="44"/>
      <c r="AE482" s="44">
        <v>5</v>
      </c>
      <c r="AF482" s="44"/>
      <c r="AG482" s="45" t="s">
        <v>646</v>
      </c>
      <c r="AH482" s="45" t="s">
        <v>604</v>
      </c>
      <c r="AI482" s="44"/>
    </row>
    <row r="483" spans="1:35" s="4" customFormat="1" x14ac:dyDescent="0.25">
      <c r="A483" s="57">
        <v>131013</v>
      </c>
      <c r="B483" s="57" t="s">
        <v>1304</v>
      </c>
      <c r="C483" s="57" t="s">
        <v>870</v>
      </c>
      <c r="D483" s="57" t="s">
        <v>871</v>
      </c>
      <c r="E483" s="57" t="s">
        <v>872</v>
      </c>
      <c r="F483" s="57" t="s">
        <v>873</v>
      </c>
      <c r="G483" s="58">
        <v>3</v>
      </c>
      <c r="H483" s="58">
        <v>4</v>
      </c>
      <c r="I483" s="58">
        <v>3</v>
      </c>
      <c r="J483" s="58">
        <v>13</v>
      </c>
      <c r="K483" s="58">
        <v>16276197</v>
      </c>
      <c r="L483" s="58">
        <v>600</v>
      </c>
      <c r="M483" s="58">
        <v>6193</v>
      </c>
      <c r="N483" s="58" t="s">
        <v>874</v>
      </c>
      <c r="O483" s="59" t="s">
        <v>875</v>
      </c>
      <c r="P483" s="58" t="s">
        <v>876</v>
      </c>
      <c r="Q483" s="61">
        <v>1100001</v>
      </c>
      <c r="R483" s="58">
        <v>0</v>
      </c>
      <c r="S483" s="58" t="s">
        <v>206</v>
      </c>
      <c r="T483" s="58">
        <v>1</v>
      </c>
      <c r="U483" s="58" t="s">
        <v>877</v>
      </c>
      <c r="V483" s="19" t="s">
        <v>785</v>
      </c>
      <c r="W483" s="58" t="s">
        <v>878</v>
      </c>
      <c r="X483" s="57">
        <v>15</v>
      </c>
      <c r="Y483" s="19" t="s">
        <v>1281</v>
      </c>
      <c r="Z483" s="19" t="s">
        <v>1282</v>
      </c>
      <c r="AA483" s="19" t="s">
        <v>1283</v>
      </c>
      <c r="AB483" s="19">
        <v>8</v>
      </c>
      <c r="AC483" s="43" t="b">
        <v>0</v>
      </c>
      <c r="AD483" s="44"/>
      <c r="AE483" s="44">
        <v>5</v>
      </c>
      <c r="AF483" s="44"/>
      <c r="AG483" s="45" t="s">
        <v>646</v>
      </c>
      <c r="AH483" s="45" t="s">
        <v>604</v>
      </c>
      <c r="AI483" s="44"/>
    </row>
    <row r="484" spans="1:35" s="4" customFormat="1" x14ac:dyDescent="0.25">
      <c r="A484" s="57">
        <v>131014</v>
      </c>
      <c r="B484" s="57" t="s">
        <v>1305</v>
      </c>
      <c r="C484" s="57" t="s">
        <v>870</v>
      </c>
      <c r="D484" s="57" t="s">
        <v>871</v>
      </c>
      <c r="E484" s="57" t="s">
        <v>872</v>
      </c>
      <c r="F484" s="57" t="s">
        <v>873</v>
      </c>
      <c r="G484" s="58">
        <v>3</v>
      </c>
      <c r="H484" s="58">
        <v>4</v>
      </c>
      <c r="I484" s="58">
        <v>3</v>
      </c>
      <c r="J484" s="58">
        <v>14</v>
      </c>
      <c r="K484" s="58">
        <v>16732509</v>
      </c>
      <c r="L484" s="58">
        <v>600</v>
      </c>
      <c r="M484" s="58">
        <v>6194</v>
      </c>
      <c r="N484" s="58" t="s">
        <v>874</v>
      </c>
      <c r="O484" s="59" t="s">
        <v>875</v>
      </c>
      <c r="P484" s="58" t="s">
        <v>876</v>
      </c>
      <c r="Q484" s="61">
        <v>1100001</v>
      </c>
      <c r="R484" s="58">
        <v>0</v>
      </c>
      <c r="S484" s="58" t="s">
        <v>206</v>
      </c>
      <c r="T484" s="58">
        <v>1</v>
      </c>
      <c r="U484" s="58" t="s">
        <v>877</v>
      </c>
      <c r="V484" s="19" t="s">
        <v>785</v>
      </c>
      <c r="W484" s="58" t="s">
        <v>878</v>
      </c>
      <c r="X484" s="57">
        <v>15</v>
      </c>
      <c r="Y484" s="19" t="s">
        <v>1285</v>
      </c>
      <c r="Z484" s="19" t="s">
        <v>1286</v>
      </c>
      <c r="AA484" s="19" t="s">
        <v>1287</v>
      </c>
      <c r="AB484" s="19">
        <v>8</v>
      </c>
      <c r="AC484" s="43" t="b">
        <v>0</v>
      </c>
      <c r="AD484" s="44"/>
      <c r="AE484" s="44">
        <v>5</v>
      </c>
      <c r="AF484" s="44"/>
      <c r="AG484" s="45" t="s">
        <v>646</v>
      </c>
      <c r="AH484" s="45" t="s">
        <v>604</v>
      </c>
      <c r="AI484" s="44"/>
    </row>
    <row r="485" spans="1:35" s="4" customFormat="1" x14ac:dyDescent="0.25">
      <c r="A485" s="57">
        <v>131015</v>
      </c>
      <c r="B485" s="57" t="s">
        <v>1306</v>
      </c>
      <c r="C485" s="57" t="s">
        <v>870</v>
      </c>
      <c r="D485" s="57" t="s">
        <v>871</v>
      </c>
      <c r="E485" s="57" t="s">
        <v>872</v>
      </c>
      <c r="F485" s="57" t="s">
        <v>873</v>
      </c>
      <c r="G485" s="58">
        <v>3</v>
      </c>
      <c r="H485" s="58">
        <v>4</v>
      </c>
      <c r="I485" s="58">
        <v>3</v>
      </c>
      <c r="J485" s="58">
        <v>15</v>
      </c>
      <c r="K485" s="58">
        <v>17188757</v>
      </c>
      <c r="L485" s="58">
        <v>600</v>
      </c>
      <c r="M485" s="58">
        <v>6195</v>
      </c>
      <c r="N485" s="58" t="s">
        <v>874</v>
      </c>
      <c r="O485" s="59" t="s">
        <v>875</v>
      </c>
      <c r="P485" s="58" t="s">
        <v>876</v>
      </c>
      <c r="Q485" s="61">
        <v>1100001</v>
      </c>
      <c r="R485" s="58">
        <v>0</v>
      </c>
      <c r="S485" s="58" t="s">
        <v>206</v>
      </c>
      <c r="T485" s="58">
        <v>1</v>
      </c>
      <c r="U485" s="58" t="s">
        <v>877</v>
      </c>
      <c r="V485" s="19" t="s">
        <v>785</v>
      </c>
      <c r="W485" s="58" t="s">
        <v>878</v>
      </c>
      <c r="X485" s="57">
        <v>15</v>
      </c>
      <c r="Y485" s="19" t="s">
        <v>1289</v>
      </c>
      <c r="Z485" s="19" t="s">
        <v>1290</v>
      </c>
      <c r="AA485" s="19" t="s">
        <v>1291</v>
      </c>
      <c r="AB485" s="19">
        <v>8</v>
      </c>
      <c r="AC485" s="43" t="b">
        <v>0</v>
      </c>
      <c r="AD485" s="44"/>
      <c r="AE485" s="44">
        <v>5</v>
      </c>
      <c r="AF485" s="44"/>
      <c r="AG485" s="45" t="s">
        <v>646</v>
      </c>
      <c r="AH485" s="45" t="s">
        <v>604</v>
      </c>
      <c r="AI485" s="44"/>
    </row>
    <row r="486" spans="1:35" s="4" customFormat="1" x14ac:dyDescent="0.25">
      <c r="A486" s="57">
        <v>131016</v>
      </c>
      <c r="B486" s="57" t="s">
        <v>1307</v>
      </c>
      <c r="C486" s="57" t="s">
        <v>870</v>
      </c>
      <c r="D486" s="57" t="s">
        <v>871</v>
      </c>
      <c r="E486" s="57" t="s">
        <v>872</v>
      </c>
      <c r="F486" s="57" t="s">
        <v>873</v>
      </c>
      <c r="G486" s="58">
        <v>3</v>
      </c>
      <c r="H486" s="58">
        <v>4</v>
      </c>
      <c r="I486" s="58">
        <v>3</v>
      </c>
      <c r="J486" s="58">
        <v>16</v>
      </c>
      <c r="K486" s="58">
        <v>17707320</v>
      </c>
      <c r="L486" s="58">
        <v>600</v>
      </c>
      <c r="M486" s="58">
        <v>6196</v>
      </c>
      <c r="N486" s="58" t="s">
        <v>874</v>
      </c>
      <c r="O486" s="59" t="s">
        <v>875</v>
      </c>
      <c r="P486" s="58" t="s">
        <v>876</v>
      </c>
      <c r="Q486" s="61">
        <v>1100001</v>
      </c>
      <c r="R486" s="58">
        <v>0</v>
      </c>
      <c r="S486" s="58" t="s">
        <v>206</v>
      </c>
      <c r="T486" s="58">
        <v>1</v>
      </c>
      <c r="U486" s="58" t="s">
        <v>877</v>
      </c>
      <c r="V486" s="19" t="s">
        <v>785</v>
      </c>
      <c r="W486" s="58" t="s">
        <v>878</v>
      </c>
      <c r="X486" s="57">
        <v>15</v>
      </c>
      <c r="Y486" s="19" t="s">
        <v>1308</v>
      </c>
      <c r="Z486" s="19" t="s">
        <v>1309</v>
      </c>
      <c r="AA486" s="19" t="s">
        <v>1310</v>
      </c>
      <c r="AB486" s="19">
        <v>8</v>
      </c>
      <c r="AC486" s="43" t="b">
        <v>0</v>
      </c>
      <c r="AD486" s="44"/>
      <c r="AE486" s="44">
        <v>5</v>
      </c>
      <c r="AF486" s="44"/>
      <c r="AG486" s="45" t="s">
        <v>646</v>
      </c>
      <c r="AH486" s="45" t="s">
        <v>604</v>
      </c>
      <c r="AI486" s="44"/>
    </row>
    <row r="487" spans="1:35" s="4" customFormat="1" x14ac:dyDescent="0.25">
      <c r="A487" s="57">
        <v>131017</v>
      </c>
      <c r="B487" s="57" t="s">
        <v>1311</v>
      </c>
      <c r="C487" s="57" t="s">
        <v>870</v>
      </c>
      <c r="D487" s="57" t="s">
        <v>871</v>
      </c>
      <c r="E487" s="57" t="s">
        <v>872</v>
      </c>
      <c r="F487" s="57" t="s">
        <v>873</v>
      </c>
      <c r="G487" s="58">
        <v>3</v>
      </c>
      <c r="H487" s="58">
        <v>4</v>
      </c>
      <c r="I487" s="58">
        <v>3</v>
      </c>
      <c r="J487" s="58">
        <v>17</v>
      </c>
      <c r="K487" s="58">
        <v>18225883</v>
      </c>
      <c r="L487" s="58">
        <v>600</v>
      </c>
      <c r="M487" s="58">
        <v>6197</v>
      </c>
      <c r="N487" s="58" t="s">
        <v>874</v>
      </c>
      <c r="O487" s="59" t="s">
        <v>875</v>
      </c>
      <c r="P487" s="58" t="s">
        <v>876</v>
      </c>
      <c r="Q487" s="61">
        <v>1100001</v>
      </c>
      <c r="R487" s="58">
        <v>0</v>
      </c>
      <c r="S487" s="58" t="s">
        <v>206</v>
      </c>
      <c r="T487" s="58">
        <v>1</v>
      </c>
      <c r="U487" s="58" t="s">
        <v>877</v>
      </c>
      <c r="V487" s="19" t="s">
        <v>785</v>
      </c>
      <c r="W487" s="58" t="s">
        <v>878</v>
      </c>
      <c r="X487" s="57">
        <v>15</v>
      </c>
      <c r="Y487" s="19" t="s">
        <v>1312</v>
      </c>
      <c r="Z487" s="19" t="s">
        <v>1313</v>
      </c>
      <c r="AA487" s="19" t="s">
        <v>1314</v>
      </c>
      <c r="AB487" s="19">
        <v>8</v>
      </c>
      <c r="AC487" s="43" t="b">
        <v>0</v>
      </c>
      <c r="AD487" s="44"/>
      <c r="AE487" s="44">
        <v>5</v>
      </c>
      <c r="AF487" s="44"/>
      <c r="AG487" s="45" t="s">
        <v>646</v>
      </c>
      <c r="AH487" s="45" t="s">
        <v>604</v>
      </c>
      <c r="AI487" s="44"/>
    </row>
    <row r="488" spans="1:35" s="4" customFormat="1" x14ac:dyDescent="0.25">
      <c r="A488" s="57">
        <v>131018</v>
      </c>
      <c r="B488" s="57" t="s">
        <v>1315</v>
      </c>
      <c r="C488" s="57" t="s">
        <v>870</v>
      </c>
      <c r="D488" s="57" t="s">
        <v>871</v>
      </c>
      <c r="E488" s="57" t="s">
        <v>872</v>
      </c>
      <c r="F488" s="57" t="s">
        <v>873</v>
      </c>
      <c r="G488" s="58">
        <v>3</v>
      </c>
      <c r="H488" s="58">
        <v>4</v>
      </c>
      <c r="I488" s="58">
        <v>3</v>
      </c>
      <c r="J488" s="58">
        <v>18</v>
      </c>
      <c r="K488" s="58">
        <v>18744446</v>
      </c>
      <c r="L488" s="58">
        <v>600</v>
      </c>
      <c r="M488" s="58">
        <v>6198</v>
      </c>
      <c r="N488" s="58" t="s">
        <v>874</v>
      </c>
      <c r="O488" s="59" t="s">
        <v>875</v>
      </c>
      <c r="P488" s="58" t="s">
        <v>876</v>
      </c>
      <c r="Q488" s="61">
        <v>1100001</v>
      </c>
      <c r="R488" s="58">
        <v>0</v>
      </c>
      <c r="S488" s="58" t="s">
        <v>206</v>
      </c>
      <c r="T488" s="58">
        <v>1</v>
      </c>
      <c r="U488" s="58" t="s">
        <v>877</v>
      </c>
      <c r="V488" s="19" t="s">
        <v>785</v>
      </c>
      <c r="W488" s="58" t="s">
        <v>878</v>
      </c>
      <c r="X488" s="57">
        <v>15</v>
      </c>
      <c r="Y488" s="19" t="s">
        <v>1316</v>
      </c>
      <c r="Z488" s="19" t="s">
        <v>1317</v>
      </c>
      <c r="AA488" s="19" t="s">
        <v>1318</v>
      </c>
      <c r="AB488" s="19">
        <v>8</v>
      </c>
      <c r="AC488" s="43" t="b">
        <v>0</v>
      </c>
      <c r="AD488" s="44"/>
      <c r="AE488" s="44">
        <v>5</v>
      </c>
      <c r="AF488" s="44"/>
      <c r="AG488" s="45" t="s">
        <v>646</v>
      </c>
      <c r="AH488" s="45" t="s">
        <v>604</v>
      </c>
      <c r="AI488" s="44"/>
    </row>
    <row r="489" spans="1:35" s="4" customFormat="1" x14ac:dyDescent="0.25">
      <c r="A489" s="57">
        <v>131019</v>
      </c>
      <c r="B489" s="57" t="s">
        <v>1319</v>
      </c>
      <c r="C489" s="57" t="s">
        <v>870</v>
      </c>
      <c r="D489" s="57" t="s">
        <v>871</v>
      </c>
      <c r="E489" s="57" t="s">
        <v>872</v>
      </c>
      <c r="F489" s="57" t="s">
        <v>873</v>
      </c>
      <c r="G489" s="58">
        <v>3</v>
      </c>
      <c r="H489" s="58">
        <v>4</v>
      </c>
      <c r="I489" s="58">
        <v>3</v>
      </c>
      <c r="J489" s="58">
        <v>19</v>
      </c>
      <c r="K489" s="58">
        <v>19263009</v>
      </c>
      <c r="L489" s="58">
        <v>600</v>
      </c>
      <c r="M489" s="58">
        <v>6199</v>
      </c>
      <c r="N489" s="58" t="s">
        <v>874</v>
      </c>
      <c r="O489" s="59" t="s">
        <v>875</v>
      </c>
      <c r="P489" s="58" t="s">
        <v>876</v>
      </c>
      <c r="Q489" s="61">
        <v>1100001</v>
      </c>
      <c r="R489" s="58">
        <v>0</v>
      </c>
      <c r="S489" s="58" t="s">
        <v>206</v>
      </c>
      <c r="T489" s="58">
        <v>1</v>
      </c>
      <c r="U489" s="58" t="s">
        <v>877</v>
      </c>
      <c r="V489" s="19" t="s">
        <v>785</v>
      </c>
      <c r="W489" s="58" t="s">
        <v>878</v>
      </c>
      <c r="X489" s="57">
        <v>15</v>
      </c>
      <c r="Y489" s="19" t="s">
        <v>1320</v>
      </c>
      <c r="Z489" s="19" t="s">
        <v>1321</v>
      </c>
      <c r="AA489" s="19" t="s">
        <v>1322</v>
      </c>
      <c r="AB489" s="19">
        <v>8</v>
      </c>
      <c r="AC489" s="43" t="b">
        <v>0</v>
      </c>
      <c r="AD489" s="44"/>
      <c r="AE489" s="44">
        <v>5</v>
      </c>
      <c r="AF489" s="44"/>
      <c r="AG489" s="45" t="s">
        <v>646</v>
      </c>
      <c r="AH489" s="45" t="s">
        <v>604</v>
      </c>
      <c r="AI489" s="44"/>
    </row>
    <row r="490" spans="1:35" s="4" customFormat="1" x14ac:dyDescent="0.25">
      <c r="A490" s="57">
        <v>131020</v>
      </c>
      <c r="B490" s="57" t="s">
        <v>1323</v>
      </c>
      <c r="C490" s="57" t="s">
        <v>870</v>
      </c>
      <c r="D490" s="57" t="s">
        <v>871</v>
      </c>
      <c r="E490" s="57" t="s">
        <v>872</v>
      </c>
      <c r="F490" s="57" t="s">
        <v>873</v>
      </c>
      <c r="G490" s="58">
        <v>3</v>
      </c>
      <c r="H490" s="58">
        <v>4</v>
      </c>
      <c r="I490" s="58">
        <v>3</v>
      </c>
      <c r="J490" s="58">
        <v>20</v>
      </c>
      <c r="K490" s="58">
        <v>19781572</v>
      </c>
      <c r="L490" s="58">
        <v>600</v>
      </c>
      <c r="M490" s="58">
        <v>6200</v>
      </c>
      <c r="N490" s="58" t="s">
        <v>874</v>
      </c>
      <c r="O490" s="59" t="s">
        <v>875</v>
      </c>
      <c r="P490" s="58" t="s">
        <v>876</v>
      </c>
      <c r="Q490" s="61">
        <v>1100001</v>
      </c>
      <c r="R490" s="58">
        <v>0</v>
      </c>
      <c r="S490" s="58" t="s">
        <v>206</v>
      </c>
      <c r="T490" s="58">
        <v>1</v>
      </c>
      <c r="U490" s="58" t="s">
        <v>877</v>
      </c>
      <c r="V490" s="19" t="s">
        <v>785</v>
      </c>
      <c r="W490" s="58" t="s">
        <v>878</v>
      </c>
      <c r="X490" s="57">
        <v>15</v>
      </c>
      <c r="Y490" s="19" t="s">
        <v>1324</v>
      </c>
      <c r="Z490" s="19" t="s">
        <v>1325</v>
      </c>
      <c r="AA490" s="19" t="s">
        <v>1326</v>
      </c>
      <c r="AB490" s="19">
        <v>8</v>
      </c>
      <c r="AC490" s="43" t="b">
        <v>0</v>
      </c>
      <c r="AD490" s="44"/>
      <c r="AE490" s="44">
        <v>5</v>
      </c>
      <c r="AF490" s="44"/>
      <c r="AG490" s="45" t="s">
        <v>646</v>
      </c>
      <c r="AH490" s="45" t="s">
        <v>604</v>
      </c>
      <c r="AI490" s="44"/>
    </row>
    <row r="491" spans="1:35" s="4" customFormat="1" x14ac:dyDescent="0.25">
      <c r="A491" s="57">
        <v>131021</v>
      </c>
      <c r="B491" s="57" t="s">
        <v>1327</v>
      </c>
      <c r="C491" s="57" t="s">
        <v>870</v>
      </c>
      <c r="D491" s="57" t="s">
        <v>871</v>
      </c>
      <c r="E491" s="57" t="s">
        <v>872</v>
      </c>
      <c r="F491" s="57" t="s">
        <v>873</v>
      </c>
      <c r="G491" s="58">
        <v>3</v>
      </c>
      <c r="H491" s="58">
        <v>4</v>
      </c>
      <c r="I491" s="58">
        <v>3</v>
      </c>
      <c r="J491" s="58">
        <v>21</v>
      </c>
      <c r="K491" s="58">
        <v>20300135</v>
      </c>
      <c r="L491" s="58">
        <v>600</v>
      </c>
      <c r="M491" s="58">
        <v>6201</v>
      </c>
      <c r="N491" s="58" t="s">
        <v>874</v>
      </c>
      <c r="O491" s="59" t="s">
        <v>875</v>
      </c>
      <c r="P491" s="58" t="s">
        <v>876</v>
      </c>
      <c r="Q491" s="61">
        <v>1100001</v>
      </c>
      <c r="R491" s="58">
        <v>0</v>
      </c>
      <c r="S491" s="58" t="s">
        <v>206</v>
      </c>
      <c r="T491" s="58">
        <v>1</v>
      </c>
      <c r="U491" s="58" t="s">
        <v>877</v>
      </c>
      <c r="V491" s="19" t="s">
        <v>785</v>
      </c>
      <c r="W491" s="58" t="s">
        <v>878</v>
      </c>
      <c r="X491" s="57">
        <v>15</v>
      </c>
      <c r="Y491" s="19" t="s">
        <v>1328</v>
      </c>
      <c r="Z491" s="19" t="s">
        <v>1329</v>
      </c>
      <c r="AA491" s="19" t="s">
        <v>1330</v>
      </c>
      <c r="AB491" s="19">
        <v>8</v>
      </c>
      <c r="AC491" s="43" t="b">
        <v>0</v>
      </c>
      <c r="AD491" s="44"/>
      <c r="AE491" s="44">
        <v>5</v>
      </c>
      <c r="AF491" s="44"/>
      <c r="AG491" s="45" t="s">
        <v>646</v>
      </c>
      <c r="AH491" s="45" t="s">
        <v>604</v>
      </c>
      <c r="AI491" s="44"/>
    </row>
    <row r="492" spans="1:35" s="4" customFormat="1" x14ac:dyDescent="0.25">
      <c r="A492" s="57">
        <v>131022</v>
      </c>
      <c r="B492" s="57" t="s">
        <v>1331</v>
      </c>
      <c r="C492" s="57" t="s">
        <v>870</v>
      </c>
      <c r="D492" s="57" t="s">
        <v>871</v>
      </c>
      <c r="E492" s="57" t="s">
        <v>872</v>
      </c>
      <c r="F492" s="57" t="s">
        <v>873</v>
      </c>
      <c r="G492" s="58">
        <v>3</v>
      </c>
      <c r="H492" s="58">
        <v>4</v>
      </c>
      <c r="I492" s="58">
        <v>3</v>
      </c>
      <c r="J492" s="58">
        <v>22</v>
      </c>
      <c r="K492" s="58">
        <v>20818698</v>
      </c>
      <c r="L492" s="58">
        <v>600</v>
      </c>
      <c r="M492" s="58">
        <v>6202</v>
      </c>
      <c r="N492" s="58" t="s">
        <v>874</v>
      </c>
      <c r="O492" s="59" t="s">
        <v>875</v>
      </c>
      <c r="P492" s="58" t="s">
        <v>876</v>
      </c>
      <c r="Q492" s="61">
        <v>1100001</v>
      </c>
      <c r="R492" s="58">
        <v>0</v>
      </c>
      <c r="S492" s="58" t="s">
        <v>206</v>
      </c>
      <c r="T492" s="58">
        <v>1</v>
      </c>
      <c r="U492" s="58" t="s">
        <v>877</v>
      </c>
      <c r="V492" s="19" t="s">
        <v>785</v>
      </c>
      <c r="W492" s="58" t="s">
        <v>878</v>
      </c>
      <c r="X492" s="57">
        <v>15</v>
      </c>
      <c r="Y492" s="19" t="s">
        <v>1332</v>
      </c>
      <c r="Z492" s="19" t="s">
        <v>1333</v>
      </c>
      <c r="AA492" s="19" t="s">
        <v>1334</v>
      </c>
      <c r="AB492" s="19">
        <v>8</v>
      </c>
      <c r="AC492" s="43" t="b">
        <v>0</v>
      </c>
      <c r="AD492" s="44"/>
      <c r="AE492" s="44">
        <v>5</v>
      </c>
      <c r="AF492" s="44"/>
      <c r="AG492" s="45" t="s">
        <v>646</v>
      </c>
      <c r="AH492" s="45" t="s">
        <v>604</v>
      </c>
      <c r="AI492" s="44"/>
    </row>
    <row r="493" spans="1:35" s="4" customFormat="1" x14ac:dyDescent="0.25">
      <c r="A493" s="57">
        <v>131023</v>
      </c>
      <c r="B493" s="57" t="s">
        <v>1335</v>
      </c>
      <c r="C493" s="57" t="s">
        <v>870</v>
      </c>
      <c r="D493" s="57" t="s">
        <v>871</v>
      </c>
      <c r="E493" s="57" t="s">
        <v>872</v>
      </c>
      <c r="F493" s="57" t="s">
        <v>873</v>
      </c>
      <c r="G493" s="58">
        <v>3</v>
      </c>
      <c r="H493" s="58">
        <v>4</v>
      </c>
      <c r="I493" s="58">
        <v>3</v>
      </c>
      <c r="J493" s="58">
        <v>23</v>
      </c>
      <c r="K493" s="58">
        <v>21337261</v>
      </c>
      <c r="L493" s="58">
        <v>600</v>
      </c>
      <c r="M493" s="58">
        <v>6203</v>
      </c>
      <c r="N493" s="58" t="s">
        <v>874</v>
      </c>
      <c r="O493" s="59" t="s">
        <v>875</v>
      </c>
      <c r="P493" s="58" t="s">
        <v>876</v>
      </c>
      <c r="Q493" s="61">
        <v>1100001</v>
      </c>
      <c r="R493" s="58">
        <v>0</v>
      </c>
      <c r="S493" s="58" t="s">
        <v>206</v>
      </c>
      <c r="T493" s="58">
        <v>1</v>
      </c>
      <c r="U493" s="58" t="s">
        <v>877</v>
      </c>
      <c r="V493" s="19" t="s">
        <v>785</v>
      </c>
      <c r="W493" s="58" t="s">
        <v>878</v>
      </c>
      <c r="X493" s="57">
        <v>15</v>
      </c>
      <c r="Y493" s="19" t="s">
        <v>1336</v>
      </c>
      <c r="Z493" s="19" t="s">
        <v>1337</v>
      </c>
      <c r="AA493" s="19" t="s">
        <v>1338</v>
      </c>
      <c r="AB493" s="19">
        <v>8</v>
      </c>
      <c r="AC493" s="43" t="b">
        <v>0</v>
      </c>
      <c r="AD493" s="44"/>
      <c r="AE493" s="44">
        <v>5</v>
      </c>
      <c r="AF493" s="44"/>
      <c r="AG493" s="45" t="s">
        <v>646</v>
      </c>
      <c r="AH493" s="45" t="s">
        <v>604</v>
      </c>
      <c r="AI493" s="44"/>
    </row>
    <row r="494" spans="1:35" s="4" customFormat="1" x14ac:dyDescent="0.25">
      <c r="A494" s="57">
        <v>131024</v>
      </c>
      <c r="B494" s="57" t="s">
        <v>1339</v>
      </c>
      <c r="C494" s="57" t="s">
        <v>870</v>
      </c>
      <c r="D494" s="57" t="s">
        <v>871</v>
      </c>
      <c r="E494" s="57" t="s">
        <v>872</v>
      </c>
      <c r="F494" s="57" t="s">
        <v>873</v>
      </c>
      <c r="G494" s="58">
        <v>3</v>
      </c>
      <c r="H494" s="58">
        <v>4</v>
      </c>
      <c r="I494" s="58">
        <v>3</v>
      </c>
      <c r="J494" s="58">
        <v>24</v>
      </c>
      <c r="K494" s="58">
        <v>21855824</v>
      </c>
      <c r="L494" s="58">
        <v>600</v>
      </c>
      <c r="M494" s="58">
        <v>6204</v>
      </c>
      <c r="N494" s="58" t="s">
        <v>874</v>
      </c>
      <c r="O494" s="59" t="s">
        <v>875</v>
      </c>
      <c r="P494" s="58" t="s">
        <v>876</v>
      </c>
      <c r="Q494" s="61">
        <v>1100001</v>
      </c>
      <c r="R494" s="58">
        <v>0</v>
      </c>
      <c r="S494" s="58" t="s">
        <v>206</v>
      </c>
      <c r="T494" s="58">
        <v>1</v>
      </c>
      <c r="U494" s="58" t="s">
        <v>877</v>
      </c>
      <c r="V494" s="19" t="s">
        <v>785</v>
      </c>
      <c r="W494" s="58" t="s">
        <v>878</v>
      </c>
      <c r="X494" s="57">
        <v>15</v>
      </c>
      <c r="Y494" s="19" t="s">
        <v>1340</v>
      </c>
      <c r="Z494" s="19" t="s">
        <v>1341</v>
      </c>
      <c r="AA494" s="19" t="s">
        <v>1342</v>
      </c>
      <c r="AB494" s="19">
        <v>8</v>
      </c>
      <c r="AC494" s="43" t="b">
        <v>0</v>
      </c>
      <c r="AD494" s="44"/>
      <c r="AE494" s="44">
        <v>5</v>
      </c>
      <c r="AF494" s="44"/>
      <c r="AG494" s="45" t="s">
        <v>646</v>
      </c>
      <c r="AH494" s="45" t="s">
        <v>604</v>
      </c>
      <c r="AI494" s="44"/>
    </row>
    <row r="495" spans="1:35" s="4" customFormat="1" x14ac:dyDescent="0.25">
      <c r="A495" s="57">
        <v>131025</v>
      </c>
      <c r="B495" s="57" t="s">
        <v>1343</v>
      </c>
      <c r="C495" s="57" t="s">
        <v>870</v>
      </c>
      <c r="D495" s="57" t="s">
        <v>871</v>
      </c>
      <c r="E495" s="57" t="s">
        <v>872</v>
      </c>
      <c r="F495" s="57" t="s">
        <v>873</v>
      </c>
      <c r="G495" s="58">
        <v>3</v>
      </c>
      <c r="H495" s="58">
        <v>4</v>
      </c>
      <c r="I495" s="58">
        <v>3</v>
      </c>
      <c r="J495" s="58">
        <v>25</v>
      </c>
      <c r="K495" s="58">
        <v>22374387</v>
      </c>
      <c r="L495" s="58">
        <v>600</v>
      </c>
      <c r="M495" s="58">
        <v>6205</v>
      </c>
      <c r="N495" s="58" t="s">
        <v>874</v>
      </c>
      <c r="O495" s="59" t="s">
        <v>875</v>
      </c>
      <c r="P495" s="58" t="s">
        <v>876</v>
      </c>
      <c r="Q495" s="61">
        <v>1100001</v>
      </c>
      <c r="R495" s="58">
        <v>0</v>
      </c>
      <c r="S495" s="58" t="s">
        <v>206</v>
      </c>
      <c r="T495" s="58">
        <v>1</v>
      </c>
      <c r="U495" s="58" t="s">
        <v>877</v>
      </c>
      <c r="V495" s="19" t="s">
        <v>785</v>
      </c>
      <c r="W495" s="58" t="s">
        <v>878</v>
      </c>
      <c r="X495" s="57">
        <v>15</v>
      </c>
      <c r="Y495" s="19" t="s">
        <v>1344</v>
      </c>
      <c r="Z495" s="19" t="s">
        <v>1345</v>
      </c>
      <c r="AA495" s="19" t="s">
        <v>1346</v>
      </c>
      <c r="AB495" s="19">
        <v>8</v>
      </c>
      <c r="AC495" s="43" t="b">
        <v>0</v>
      </c>
      <c r="AD495" s="44"/>
      <c r="AE495" s="44">
        <v>5</v>
      </c>
      <c r="AF495" s="44"/>
      <c r="AG495" s="45" t="s">
        <v>646</v>
      </c>
      <c r="AH495" s="45" t="s">
        <v>604</v>
      </c>
      <c r="AI495" s="44"/>
    </row>
    <row r="496" spans="1:35" s="4" customFormat="1" x14ac:dyDescent="0.25">
      <c r="A496" s="57">
        <v>131026</v>
      </c>
      <c r="B496" s="57" t="s">
        <v>1347</v>
      </c>
      <c r="C496" s="57" t="s">
        <v>870</v>
      </c>
      <c r="D496" s="57" t="s">
        <v>871</v>
      </c>
      <c r="E496" s="57" t="s">
        <v>872</v>
      </c>
      <c r="F496" s="57" t="s">
        <v>873</v>
      </c>
      <c r="G496" s="58">
        <v>3</v>
      </c>
      <c r="H496" s="58">
        <v>4</v>
      </c>
      <c r="I496" s="58">
        <v>3</v>
      </c>
      <c r="J496" s="58">
        <v>26</v>
      </c>
      <c r="K496" s="58">
        <v>22892950</v>
      </c>
      <c r="L496" s="58">
        <v>600</v>
      </c>
      <c r="M496" s="58">
        <v>6206</v>
      </c>
      <c r="N496" s="58" t="s">
        <v>874</v>
      </c>
      <c r="O496" s="59" t="s">
        <v>875</v>
      </c>
      <c r="P496" s="58" t="s">
        <v>876</v>
      </c>
      <c r="Q496" s="61">
        <v>1100001</v>
      </c>
      <c r="R496" s="58">
        <v>0</v>
      </c>
      <c r="S496" s="58" t="s">
        <v>206</v>
      </c>
      <c r="T496" s="58">
        <v>1</v>
      </c>
      <c r="U496" s="58" t="s">
        <v>877</v>
      </c>
      <c r="V496" s="19" t="s">
        <v>785</v>
      </c>
      <c r="W496" s="58" t="s">
        <v>878</v>
      </c>
      <c r="X496" s="57">
        <v>15</v>
      </c>
      <c r="Y496" s="19" t="s">
        <v>1348</v>
      </c>
      <c r="Z496" s="19" t="s">
        <v>1349</v>
      </c>
      <c r="AA496" s="19" t="s">
        <v>1350</v>
      </c>
      <c r="AB496" s="19">
        <v>8</v>
      </c>
      <c r="AC496" s="43" t="b">
        <v>0</v>
      </c>
      <c r="AD496" s="44"/>
      <c r="AE496" s="44">
        <v>5</v>
      </c>
      <c r="AF496" s="44"/>
      <c r="AG496" s="45" t="s">
        <v>646</v>
      </c>
      <c r="AH496" s="45" t="s">
        <v>604</v>
      </c>
      <c r="AI496" s="44"/>
    </row>
    <row r="497" spans="1:35" s="4" customFormat="1" x14ac:dyDescent="0.25">
      <c r="A497" s="57">
        <v>131027</v>
      </c>
      <c r="B497" s="57" t="s">
        <v>1351</v>
      </c>
      <c r="C497" s="57" t="s">
        <v>870</v>
      </c>
      <c r="D497" s="57" t="s">
        <v>871</v>
      </c>
      <c r="E497" s="57" t="s">
        <v>872</v>
      </c>
      <c r="F497" s="57" t="s">
        <v>873</v>
      </c>
      <c r="G497" s="58">
        <v>3</v>
      </c>
      <c r="H497" s="58">
        <v>4</v>
      </c>
      <c r="I497" s="58">
        <v>3</v>
      </c>
      <c r="J497" s="58">
        <v>27</v>
      </c>
      <c r="K497" s="58">
        <v>23411513</v>
      </c>
      <c r="L497" s="58">
        <v>600</v>
      </c>
      <c r="M497" s="58">
        <v>6207</v>
      </c>
      <c r="N497" s="58" t="s">
        <v>874</v>
      </c>
      <c r="O497" s="59" t="s">
        <v>875</v>
      </c>
      <c r="P497" s="58" t="s">
        <v>876</v>
      </c>
      <c r="Q497" s="61">
        <v>1100001</v>
      </c>
      <c r="R497" s="58">
        <v>0</v>
      </c>
      <c r="S497" s="58" t="s">
        <v>206</v>
      </c>
      <c r="T497" s="58">
        <v>1</v>
      </c>
      <c r="U497" s="58" t="s">
        <v>877</v>
      </c>
      <c r="V497" s="19" t="s">
        <v>785</v>
      </c>
      <c r="W497" s="58" t="s">
        <v>878</v>
      </c>
      <c r="X497" s="57">
        <v>15</v>
      </c>
      <c r="Y497" s="19" t="s">
        <v>1352</v>
      </c>
      <c r="Z497" s="19" t="s">
        <v>1353</v>
      </c>
      <c r="AA497" s="19" t="s">
        <v>1354</v>
      </c>
      <c r="AB497" s="19">
        <v>8</v>
      </c>
      <c r="AC497" s="43" t="b">
        <v>0</v>
      </c>
      <c r="AD497" s="44"/>
      <c r="AE497" s="44">
        <v>5</v>
      </c>
      <c r="AF497" s="44"/>
      <c r="AG497" s="45" t="s">
        <v>646</v>
      </c>
      <c r="AH497" s="45" t="s">
        <v>604</v>
      </c>
      <c r="AI497" s="44"/>
    </row>
    <row r="498" spans="1:35" s="4" customFormat="1" x14ac:dyDescent="0.25">
      <c r="A498" s="57">
        <v>131028</v>
      </c>
      <c r="B498" s="57" t="s">
        <v>1355</v>
      </c>
      <c r="C498" s="57" t="s">
        <v>870</v>
      </c>
      <c r="D498" s="57" t="s">
        <v>871</v>
      </c>
      <c r="E498" s="57" t="s">
        <v>872</v>
      </c>
      <c r="F498" s="57" t="s">
        <v>873</v>
      </c>
      <c r="G498" s="58">
        <v>3</v>
      </c>
      <c r="H498" s="58">
        <v>4</v>
      </c>
      <c r="I498" s="58">
        <v>3</v>
      </c>
      <c r="J498" s="58">
        <v>28</v>
      </c>
      <c r="K498" s="58">
        <v>23930076</v>
      </c>
      <c r="L498" s="58">
        <v>600</v>
      </c>
      <c r="M498" s="58">
        <v>6208</v>
      </c>
      <c r="N498" s="58" t="s">
        <v>874</v>
      </c>
      <c r="O498" s="59" t="s">
        <v>875</v>
      </c>
      <c r="P498" s="58" t="s">
        <v>876</v>
      </c>
      <c r="Q498" s="61">
        <v>1100001</v>
      </c>
      <c r="R498" s="58">
        <v>0</v>
      </c>
      <c r="S498" s="58" t="s">
        <v>206</v>
      </c>
      <c r="T498" s="58">
        <v>1</v>
      </c>
      <c r="U498" s="58" t="s">
        <v>877</v>
      </c>
      <c r="V498" s="19" t="s">
        <v>785</v>
      </c>
      <c r="W498" s="58" t="s">
        <v>878</v>
      </c>
      <c r="X498" s="57">
        <v>15</v>
      </c>
      <c r="Y498" s="19" t="s">
        <v>1356</v>
      </c>
      <c r="Z498" s="19" t="s">
        <v>1357</v>
      </c>
      <c r="AA498" s="19" t="s">
        <v>1358</v>
      </c>
      <c r="AB498" s="19">
        <v>8</v>
      </c>
      <c r="AC498" s="43" t="b">
        <v>0</v>
      </c>
      <c r="AD498" s="44"/>
      <c r="AE498" s="44">
        <v>5</v>
      </c>
      <c r="AF498" s="44"/>
      <c r="AG498" s="45" t="s">
        <v>646</v>
      </c>
      <c r="AH498" s="45" t="s">
        <v>604</v>
      </c>
      <c r="AI498" s="44"/>
    </row>
    <row r="499" spans="1:35" s="4" customFormat="1" x14ac:dyDescent="0.25">
      <c r="A499" s="57">
        <v>131029</v>
      </c>
      <c r="B499" s="57" t="s">
        <v>1359</v>
      </c>
      <c r="C499" s="57" t="s">
        <v>870</v>
      </c>
      <c r="D499" s="57" t="s">
        <v>871</v>
      </c>
      <c r="E499" s="57" t="s">
        <v>872</v>
      </c>
      <c r="F499" s="57" t="s">
        <v>873</v>
      </c>
      <c r="G499" s="58">
        <v>3</v>
      </c>
      <c r="H499" s="58">
        <v>4</v>
      </c>
      <c r="I499" s="58">
        <v>3</v>
      </c>
      <c r="J499" s="58">
        <v>29</v>
      </c>
      <c r="K499" s="58">
        <v>24448639</v>
      </c>
      <c r="L499" s="58">
        <v>600</v>
      </c>
      <c r="M499" s="58">
        <v>6209</v>
      </c>
      <c r="N499" s="58" t="s">
        <v>874</v>
      </c>
      <c r="O499" s="59" t="s">
        <v>875</v>
      </c>
      <c r="P499" s="58" t="s">
        <v>876</v>
      </c>
      <c r="Q499" s="61">
        <v>1100001</v>
      </c>
      <c r="R499" s="58">
        <v>0</v>
      </c>
      <c r="S499" s="58" t="s">
        <v>206</v>
      </c>
      <c r="T499" s="58">
        <v>1</v>
      </c>
      <c r="U499" s="58" t="s">
        <v>877</v>
      </c>
      <c r="V499" s="19" t="s">
        <v>785</v>
      </c>
      <c r="W499" s="58" t="s">
        <v>878</v>
      </c>
      <c r="X499" s="57">
        <v>15</v>
      </c>
      <c r="Y499" s="19" t="s">
        <v>1360</v>
      </c>
      <c r="Z499" s="19" t="s">
        <v>1361</v>
      </c>
      <c r="AA499" s="19" t="s">
        <v>1362</v>
      </c>
      <c r="AB499" s="19">
        <v>8</v>
      </c>
      <c r="AC499" s="43" t="b">
        <v>0</v>
      </c>
      <c r="AD499" s="44"/>
      <c r="AE499" s="44">
        <v>5</v>
      </c>
      <c r="AF499" s="44"/>
      <c r="AG499" s="45" t="s">
        <v>646</v>
      </c>
      <c r="AH499" s="45" t="s">
        <v>604</v>
      </c>
      <c r="AI499" s="44"/>
    </row>
    <row r="500" spans="1:35" s="4" customFormat="1" x14ac:dyDescent="0.25">
      <c r="A500" s="57">
        <v>131030</v>
      </c>
      <c r="B500" s="57" t="s">
        <v>1363</v>
      </c>
      <c r="C500" s="57" t="s">
        <v>870</v>
      </c>
      <c r="D500" s="57" t="s">
        <v>871</v>
      </c>
      <c r="E500" s="57" t="s">
        <v>872</v>
      </c>
      <c r="F500" s="57" t="s">
        <v>873</v>
      </c>
      <c r="G500" s="58">
        <v>3</v>
      </c>
      <c r="H500" s="58">
        <v>4</v>
      </c>
      <c r="I500" s="58">
        <v>3</v>
      </c>
      <c r="J500" s="58">
        <v>30</v>
      </c>
      <c r="K500" s="58">
        <v>24968985</v>
      </c>
      <c r="L500" s="58">
        <v>600</v>
      </c>
      <c r="M500" s="58">
        <v>6210</v>
      </c>
      <c r="N500" s="58" t="s">
        <v>874</v>
      </c>
      <c r="O500" s="59" t="s">
        <v>875</v>
      </c>
      <c r="P500" s="58" t="s">
        <v>876</v>
      </c>
      <c r="Q500" s="61">
        <v>1100001</v>
      </c>
      <c r="R500" s="58">
        <v>0</v>
      </c>
      <c r="S500" s="58" t="s">
        <v>206</v>
      </c>
      <c r="T500" s="58">
        <v>1</v>
      </c>
      <c r="U500" s="58" t="s">
        <v>877</v>
      </c>
      <c r="V500" s="19" t="s">
        <v>785</v>
      </c>
      <c r="W500" s="58" t="s">
        <v>878</v>
      </c>
      <c r="X500" s="57">
        <v>15</v>
      </c>
      <c r="Y500" s="19" t="s">
        <v>1364</v>
      </c>
      <c r="Z500" s="19" t="s">
        <v>1365</v>
      </c>
      <c r="AA500" s="19" t="s">
        <v>1366</v>
      </c>
      <c r="AB500" s="19">
        <v>8</v>
      </c>
      <c r="AC500" s="43" t="b">
        <v>0</v>
      </c>
      <c r="AD500" s="44"/>
      <c r="AE500" s="44">
        <v>5</v>
      </c>
      <c r="AF500" s="44"/>
      <c r="AG500" s="45" t="s">
        <v>646</v>
      </c>
      <c r="AH500" s="45" t="s">
        <v>604</v>
      </c>
      <c r="AI500" s="44"/>
    </row>
    <row r="501" spans="1:35" s="4" customFormat="1" x14ac:dyDescent="0.25">
      <c r="A501" s="57">
        <v>131101</v>
      </c>
      <c r="B501" s="57" t="s">
        <v>1367</v>
      </c>
      <c r="C501" s="57" t="s">
        <v>1368</v>
      </c>
      <c r="D501" s="57" t="s">
        <v>1369</v>
      </c>
      <c r="E501" s="57" t="s">
        <v>1370</v>
      </c>
      <c r="F501" s="57" t="s">
        <v>1371</v>
      </c>
      <c r="G501" s="58">
        <v>3</v>
      </c>
      <c r="H501" s="58">
        <f t="shared" ref="H501:H507" si="3">H471+1</f>
        <v>5</v>
      </c>
      <c r="I501" s="58">
        <v>3</v>
      </c>
      <c r="J501" s="58">
        <v>30</v>
      </c>
      <c r="K501" s="58">
        <v>1740375</v>
      </c>
      <c r="L501" s="58">
        <f>60*60*24</f>
        <v>86400</v>
      </c>
      <c r="M501" s="58">
        <v>4001</v>
      </c>
      <c r="N501" s="58" t="s">
        <v>594</v>
      </c>
      <c r="O501" s="59" t="s">
        <v>1372</v>
      </c>
      <c r="P501" s="59" t="s">
        <v>1373</v>
      </c>
      <c r="Q501" s="61">
        <v>1000075</v>
      </c>
      <c r="R501" s="58">
        <v>0</v>
      </c>
      <c r="S501" s="58"/>
      <c r="T501" s="58">
        <v>3</v>
      </c>
      <c r="U501" s="58" t="s">
        <v>877</v>
      </c>
      <c r="V501" s="19" t="s">
        <v>785</v>
      </c>
      <c r="W501" s="58" t="s">
        <v>1374</v>
      </c>
      <c r="X501" s="57">
        <v>15</v>
      </c>
      <c r="Y501" s="19" t="s">
        <v>331</v>
      </c>
      <c r="Z501" s="19" t="s">
        <v>332</v>
      </c>
      <c r="AA501" s="19" t="s">
        <v>333</v>
      </c>
      <c r="AB501" s="19">
        <v>9</v>
      </c>
      <c r="AC501" s="43" t="b">
        <v>0</v>
      </c>
      <c r="AD501" s="44"/>
      <c r="AE501" s="44">
        <v>5</v>
      </c>
      <c r="AF501" s="44"/>
      <c r="AG501" s="45" t="s">
        <v>646</v>
      </c>
      <c r="AH501" s="45" t="s">
        <v>604</v>
      </c>
      <c r="AI501" s="44"/>
    </row>
    <row r="502" spans="1:35" s="4" customFormat="1" x14ac:dyDescent="0.25">
      <c r="A502" s="57">
        <v>131102</v>
      </c>
      <c r="B502" s="57" t="s">
        <v>1375</v>
      </c>
      <c r="C502" s="57" t="s">
        <v>1368</v>
      </c>
      <c r="D502" s="57" t="s">
        <v>1369</v>
      </c>
      <c r="E502" s="57" t="s">
        <v>1370</v>
      </c>
      <c r="F502" s="57" t="s">
        <v>1371</v>
      </c>
      <c r="G502" s="58">
        <v>3</v>
      </c>
      <c r="H502" s="58">
        <f t="shared" si="3"/>
        <v>5</v>
      </c>
      <c r="I502" s="58">
        <v>3</v>
      </c>
      <c r="J502" s="58">
        <v>60</v>
      </c>
      <c r="K502" s="58">
        <v>1740375</v>
      </c>
      <c r="L502" s="58">
        <f t="shared" ref="L502:L507" si="4">60*60*24</f>
        <v>86400</v>
      </c>
      <c r="M502" s="58">
        <v>4001</v>
      </c>
      <c r="N502" s="58" t="s">
        <v>594</v>
      </c>
      <c r="O502" s="59" t="s">
        <v>1372</v>
      </c>
      <c r="P502" s="59" t="s">
        <v>1373</v>
      </c>
      <c r="Q502" s="61">
        <v>1000075</v>
      </c>
      <c r="R502" s="58">
        <v>0</v>
      </c>
      <c r="S502" s="58"/>
      <c r="T502" s="58">
        <v>3</v>
      </c>
      <c r="U502" s="58" t="s">
        <v>877</v>
      </c>
      <c r="V502" s="19" t="s">
        <v>785</v>
      </c>
      <c r="W502" s="58" t="s">
        <v>1374</v>
      </c>
      <c r="X502" s="57">
        <v>15</v>
      </c>
      <c r="Y502" s="19" t="s">
        <v>331</v>
      </c>
      <c r="Z502" s="19" t="s">
        <v>332</v>
      </c>
      <c r="AA502" s="19" t="s">
        <v>333</v>
      </c>
      <c r="AB502" s="19">
        <v>9</v>
      </c>
      <c r="AC502" s="43" t="b">
        <v>0</v>
      </c>
      <c r="AD502" s="44"/>
      <c r="AE502" s="44">
        <v>5</v>
      </c>
      <c r="AF502" s="44"/>
      <c r="AG502" s="45" t="s">
        <v>646</v>
      </c>
      <c r="AH502" s="45" t="s">
        <v>604</v>
      </c>
      <c r="AI502" s="44"/>
    </row>
    <row r="503" spans="1:35" s="4" customFormat="1" x14ac:dyDescent="0.25">
      <c r="A503" s="57">
        <v>131103</v>
      </c>
      <c r="B503" s="57" t="s">
        <v>1376</v>
      </c>
      <c r="C503" s="57" t="s">
        <v>1368</v>
      </c>
      <c r="D503" s="57" t="s">
        <v>1369</v>
      </c>
      <c r="E503" s="57" t="s">
        <v>1370</v>
      </c>
      <c r="F503" s="57" t="s">
        <v>1371</v>
      </c>
      <c r="G503" s="58">
        <v>3</v>
      </c>
      <c r="H503" s="58">
        <f t="shared" si="3"/>
        <v>5</v>
      </c>
      <c r="I503" s="58">
        <v>3</v>
      </c>
      <c r="J503" s="58">
        <v>90</v>
      </c>
      <c r="K503" s="58">
        <v>1740375</v>
      </c>
      <c r="L503" s="58">
        <f t="shared" si="4"/>
        <v>86400</v>
      </c>
      <c r="M503" s="58">
        <v>4001</v>
      </c>
      <c r="N503" s="58" t="s">
        <v>594</v>
      </c>
      <c r="O503" s="59" t="s">
        <v>1372</v>
      </c>
      <c r="P503" s="59" t="s">
        <v>1373</v>
      </c>
      <c r="Q503" s="61">
        <v>1000075</v>
      </c>
      <c r="R503" s="58">
        <v>0</v>
      </c>
      <c r="S503" s="58"/>
      <c r="T503" s="58">
        <v>3</v>
      </c>
      <c r="U503" s="58" t="s">
        <v>877</v>
      </c>
      <c r="V503" s="19" t="s">
        <v>785</v>
      </c>
      <c r="W503" s="58" t="s">
        <v>1374</v>
      </c>
      <c r="X503" s="57">
        <v>15</v>
      </c>
      <c r="Y503" s="19" t="s">
        <v>331</v>
      </c>
      <c r="Z503" s="19" t="s">
        <v>332</v>
      </c>
      <c r="AA503" s="19" t="s">
        <v>333</v>
      </c>
      <c r="AB503" s="19">
        <v>9</v>
      </c>
      <c r="AC503" s="43" t="b">
        <v>0</v>
      </c>
      <c r="AD503" s="44"/>
      <c r="AE503" s="44">
        <v>5</v>
      </c>
      <c r="AF503" s="44"/>
      <c r="AG503" s="45" t="s">
        <v>646</v>
      </c>
      <c r="AH503" s="45" t="s">
        <v>604</v>
      </c>
      <c r="AI503" s="44"/>
    </row>
    <row r="504" spans="1:35" s="4" customFormat="1" x14ac:dyDescent="0.25">
      <c r="A504" s="57">
        <v>131104</v>
      </c>
      <c r="B504" s="57" t="s">
        <v>1377</v>
      </c>
      <c r="C504" s="57" t="s">
        <v>1368</v>
      </c>
      <c r="D504" s="57" t="s">
        <v>1369</v>
      </c>
      <c r="E504" s="57" t="s">
        <v>1370</v>
      </c>
      <c r="F504" s="57" t="s">
        <v>1371</v>
      </c>
      <c r="G504" s="58">
        <v>3</v>
      </c>
      <c r="H504" s="58">
        <f t="shared" si="3"/>
        <v>5</v>
      </c>
      <c r="I504" s="58">
        <v>3</v>
      </c>
      <c r="J504" s="58">
        <v>120</v>
      </c>
      <c r="K504" s="58">
        <v>1740375</v>
      </c>
      <c r="L504" s="58">
        <f t="shared" si="4"/>
        <v>86400</v>
      </c>
      <c r="M504" s="58">
        <v>4001</v>
      </c>
      <c r="N504" s="58" t="s">
        <v>594</v>
      </c>
      <c r="O504" s="59" t="s">
        <v>1372</v>
      </c>
      <c r="P504" s="59" t="s">
        <v>1373</v>
      </c>
      <c r="Q504" s="61">
        <v>1000075</v>
      </c>
      <c r="R504" s="58">
        <v>0</v>
      </c>
      <c r="S504" s="58"/>
      <c r="T504" s="58">
        <v>3</v>
      </c>
      <c r="U504" s="58" t="s">
        <v>877</v>
      </c>
      <c r="V504" s="19" t="s">
        <v>785</v>
      </c>
      <c r="W504" s="58" t="s">
        <v>1374</v>
      </c>
      <c r="X504" s="57">
        <v>15</v>
      </c>
      <c r="Y504" s="19" t="s">
        <v>331</v>
      </c>
      <c r="Z504" s="19" t="s">
        <v>332</v>
      </c>
      <c r="AA504" s="19" t="s">
        <v>333</v>
      </c>
      <c r="AB504" s="19">
        <v>9</v>
      </c>
      <c r="AC504" s="43" t="b">
        <v>0</v>
      </c>
      <c r="AD504" s="44"/>
      <c r="AE504" s="44">
        <v>5</v>
      </c>
      <c r="AF504" s="44"/>
      <c r="AG504" s="45" t="s">
        <v>646</v>
      </c>
      <c r="AH504" s="45" t="s">
        <v>604</v>
      </c>
      <c r="AI504" s="44"/>
    </row>
    <row r="505" spans="1:35" s="4" customFormat="1" x14ac:dyDescent="0.25">
      <c r="A505" s="57">
        <v>131105</v>
      </c>
      <c r="B505" s="57" t="s">
        <v>1378</v>
      </c>
      <c r="C505" s="57" t="s">
        <v>1368</v>
      </c>
      <c r="D505" s="57" t="s">
        <v>1369</v>
      </c>
      <c r="E505" s="57" t="s">
        <v>1370</v>
      </c>
      <c r="F505" s="57" t="s">
        <v>1371</v>
      </c>
      <c r="G505" s="58">
        <v>3</v>
      </c>
      <c r="H505" s="58">
        <f t="shared" si="3"/>
        <v>5</v>
      </c>
      <c r="I505" s="58">
        <v>3</v>
      </c>
      <c r="J505" s="58">
        <v>150</v>
      </c>
      <c r="K505" s="58">
        <v>1740375</v>
      </c>
      <c r="L505" s="58">
        <f t="shared" si="4"/>
        <v>86400</v>
      </c>
      <c r="M505" s="58">
        <v>4001</v>
      </c>
      <c r="N505" s="58" t="s">
        <v>594</v>
      </c>
      <c r="O505" s="59" t="s">
        <v>1372</v>
      </c>
      <c r="P505" s="59" t="s">
        <v>1373</v>
      </c>
      <c r="Q505" s="61">
        <v>1000075</v>
      </c>
      <c r="R505" s="58">
        <v>0</v>
      </c>
      <c r="S505" s="58"/>
      <c r="T505" s="58">
        <v>3</v>
      </c>
      <c r="U505" s="58" t="s">
        <v>877</v>
      </c>
      <c r="V505" s="19" t="s">
        <v>785</v>
      </c>
      <c r="W505" s="58" t="s">
        <v>1374</v>
      </c>
      <c r="X505" s="57">
        <v>15</v>
      </c>
      <c r="Y505" s="19" t="s">
        <v>331</v>
      </c>
      <c r="Z505" s="19" t="s">
        <v>332</v>
      </c>
      <c r="AA505" s="19" t="s">
        <v>333</v>
      </c>
      <c r="AB505" s="19">
        <v>9</v>
      </c>
      <c r="AC505" s="43" t="b">
        <v>0</v>
      </c>
      <c r="AD505" s="44"/>
      <c r="AE505" s="44">
        <v>5</v>
      </c>
      <c r="AF505" s="44"/>
      <c r="AG505" s="45" t="s">
        <v>646</v>
      </c>
      <c r="AH505" s="45" t="s">
        <v>604</v>
      </c>
      <c r="AI505" s="44"/>
    </row>
    <row r="506" spans="1:35" s="4" customFormat="1" x14ac:dyDescent="0.25">
      <c r="A506" s="57">
        <v>131106</v>
      </c>
      <c r="B506" s="57" t="s">
        <v>1379</v>
      </c>
      <c r="C506" s="57" t="s">
        <v>1368</v>
      </c>
      <c r="D506" s="57" t="s">
        <v>1369</v>
      </c>
      <c r="E506" s="57" t="s">
        <v>1370</v>
      </c>
      <c r="F506" s="57" t="s">
        <v>1371</v>
      </c>
      <c r="G506" s="58">
        <v>3</v>
      </c>
      <c r="H506" s="58">
        <f t="shared" si="3"/>
        <v>5</v>
      </c>
      <c r="I506" s="58">
        <v>3</v>
      </c>
      <c r="J506" s="58">
        <v>180</v>
      </c>
      <c r="K506" s="58">
        <v>1740375</v>
      </c>
      <c r="L506" s="58">
        <f t="shared" si="4"/>
        <v>86400</v>
      </c>
      <c r="M506" s="58">
        <v>4001</v>
      </c>
      <c r="N506" s="58" t="s">
        <v>594</v>
      </c>
      <c r="O506" s="59" t="s">
        <v>1372</v>
      </c>
      <c r="P506" s="59" t="s">
        <v>1373</v>
      </c>
      <c r="Q506" s="61">
        <v>1000075</v>
      </c>
      <c r="R506" s="58">
        <v>0</v>
      </c>
      <c r="S506" s="58"/>
      <c r="T506" s="58">
        <v>3</v>
      </c>
      <c r="U506" s="58" t="s">
        <v>877</v>
      </c>
      <c r="V506" s="19" t="s">
        <v>785</v>
      </c>
      <c r="W506" s="58" t="s">
        <v>1374</v>
      </c>
      <c r="X506" s="57">
        <v>15</v>
      </c>
      <c r="Y506" s="19" t="s">
        <v>331</v>
      </c>
      <c r="Z506" s="19" t="s">
        <v>332</v>
      </c>
      <c r="AA506" s="19" t="s">
        <v>333</v>
      </c>
      <c r="AB506" s="19">
        <v>9</v>
      </c>
      <c r="AC506" s="43" t="b">
        <v>0</v>
      </c>
      <c r="AD506" s="44"/>
      <c r="AE506" s="44">
        <v>5</v>
      </c>
      <c r="AF506" s="44"/>
      <c r="AG506" s="45" t="s">
        <v>646</v>
      </c>
      <c r="AH506" s="45" t="s">
        <v>604</v>
      </c>
      <c r="AI506" s="44"/>
    </row>
    <row r="507" spans="1:35" s="4" customFormat="1" x14ac:dyDescent="0.25">
      <c r="A507" s="57">
        <v>131107</v>
      </c>
      <c r="B507" s="57" t="s">
        <v>1380</v>
      </c>
      <c r="C507" s="57" t="s">
        <v>1368</v>
      </c>
      <c r="D507" s="57" t="s">
        <v>1369</v>
      </c>
      <c r="E507" s="57" t="s">
        <v>1370</v>
      </c>
      <c r="F507" s="57" t="s">
        <v>1371</v>
      </c>
      <c r="G507" s="58">
        <v>3</v>
      </c>
      <c r="H507" s="58">
        <f t="shared" si="3"/>
        <v>5</v>
      </c>
      <c r="I507" s="58">
        <v>3</v>
      </c>
      <c r="J507" s="58">
        <v>210</v>
      </c>
      <c r="K507" s="58">
        <v>1740375</v>
      </c>
      <c r="L507" s="58">
        <f t="shared" si="4"/>
        <v>86400</v>
      </c>
      <c r="M507" s="58">
        <v>4001</v>
      </c>
      <c r="N507" s="58" t="s">
        <v>594</v>
      </c>
      <c r="O507" s="59" t="s">
        <v>1372</v>
      </c>
      <c r="P507" s="59" t="s">
        <v>1373</v>
      </c>
      <c r="Q507" s="61">
        <v>1000075</v>
      </c>
      <c r="R507" s="58">
        <v>0</v>
      </c>
      <c r="S507" s="58"/>
      <c r="T507" s="58">
        <v>3</v>
      </c>
      <c r="U507" s="58" t="s">
        <v>877</v>
      </c>
      <c r="V507" s="19" t="s">
        <v>785</v>
      </c>
      <c r="W507" s="58" t="s">
        <v>1374</v>
      </c>
      <c r="X507" s="57">
        <v>15</v>
      </c>
      <c r="Y507" s="19" t="s">
        <v>331</v>
      </c>
      <c r="Z507" s="19" t="s">
        <v>332</v>
      </c>
      <c r="AA507" s="19" t="s">
        <v>333</v>
      </c>
      <c r="AB507" s="19">
        <v>9</v>
      </c>
      <c r="AC507" s="43" t="b">
        <v>0</v>
      </c>
      <c r="AD507" s="44"/>
      <c r="AE507" s="44">
        <v>5</v>
      </c>
      <c r="AF507" s="44"/>
      <c r="AG507" s="45" t="s">
        <v>646</v>
      </c>
      <c r="AH507" s="45" t="s">
        <v>604</v>
      </c>
      <c r="AI507" s="44"/>
    </row>
  </sheetData>
  <conditionalFormatting sqref="B12">
    <cfRule type="expression" dxfId="0" priority="378">
      <formula>#REF!=5</formula>
    </cfRule>
    <cfRule type="expression" dxfId="1" priority="379">
      <formula>#REF!=4</formula>
    </cfRule>
    <cfRule type="expression" dxfId="2" priority="380">
      <formula>#REF!=3</formula>
    </cfRule>
  </conditionalFormatting>
  <conditionalFormatting sqref="D12">
    <cfRule type="expression" dxfId="3" priority="360">
      <formula>#REF!=5</formula>
    </cfRule>
    <cfRule type="expression" dxfId="4" priority="361">
      <formula>#REF!=4</formula>
    </cfRule>
    <cfRule type="expression" dxfId="5" priority="362">
      <formula>#REF!=3</formula>
    </cfRule>
  </conditionalFormatting>
  <conditionalFormatting sqref="V12:AI12">
    <cfRule type="expression" dxfId="6" priority="366">
      <formula>#REF!=5</formula>
    </cfRule>
    <cfRule type="expression" dxfId="7" priority="367">
      <formula>#REF!=4</formula>
    </cfRule>
    <cfRule type="expression" dxfId="8" priority="368">
      <formula>#REF!=3</formula>
    </cfRule>
  </conditionalFormatting>
  <conditionalFormatting sqref="B13">
    <cfRule type="expression" dxfId="9" priority="349">
      <formula>#REF!=5</formula>
    </cfRule>
    <cfRule type="expression" dxfId="10" priority="350">
      <formula>#REF!=4</formula>
    </cfRule>
    <cfRule type="expression" dxfId="11" priority="351">
      <formula>#REF!=3</formula>
    </cfRule>
  </conditionalFormatting>
  <conditionalFormatting sqref="C13">
    <cfRule type="expression" dxfId="12" priority="337">
      <formula>#REF!=5</formula>
    </cfRule>
    <cfRule type="expression" dxfId="13" priority="338">
      <formula>#REF!=4</formula>
    </cfRule>
    <cfRule type="expression" dxfId="14" priority="339">
      <formula>#REF!=3</formula>
    </cfRule>
  </conditionalFormatting>
  <conditionalFormatting sqref="D13">
    <cfRule type="expression" dxfId="15" priority="340">
      <formula>#REF!=5</formula>
    </cfRule>
    <cfRule type="expression" dxfId="16" priority="341">
      <formula>#REF!=4</formula>
    </cfRule>
    <cfRule type="expression" dxfId="17" priority="342">
      <formula>#REF!=3</formula>
    </cfRule>
  </conditionalFormatting>
  <conditionalFormatting sqref="V13:AI13">
    <cfRule type="expression" dxfId="18" priority="343">
      <formula>#REF!=5</formula>
    </cfRule>
    <cfRule type="expression" dxfId="19" priority="344">
      <formula>#REF!=4</formula>
    </cfRule>
    <cfRule type="expression" dxfId="20" priority="345">
      <formula>#REF!=3</formula>
    </cfRule>
  </conditionalFormatting>
  <conditionalFormatting sqref="AJ13">
    <cfRule type="expression" dxfId="21" priority="346">
      <formula>#REF!=5</formula>
    </cfRule>
    <cfRule type="expression" dxfId="22" priority="347">
      <formula>#REF!=4</formula>
    </cfRule>
    <cfRule type="expression" dxfId="23" priority="348">
      <formula>#REF!=3</formula>
    </cfRule>
  </conditionalFormatting>
  <conditionalFormatting sqref="AL13">
    <cfRule type="expression" dxfId="24" priority="352">
      <formula>#REF!=5</formula>
    </cfRule>
    <cfRule type="expression" dxfId="25" priority="353">
      <formula>#REF!=4</formula>
    </cfRule>
    <cfRule type="expression" dxfId="26" priority="354">
      <formula>#REF!=3</formula>
    </cfRule>
  </conditionalFormatting>
  <conditionalFormatting sqref="B17">
    <cfRule type="expression" dxfId="27" priority="327">
      <formula>#REF!=5</formula>
    </cfRule>
    <cfRule type="expression" dxfId="28" priority="328">
      <formula>#REF!=4</formula>
    </cfRule>
    <cfRule type="expression" dxfId="29" priority="329">
      <formula>#REF!=3</formula>
    </cfRule>
  </conditionalFormatting>
  <conditionalFormatting sqref="D17">
    <cfRule type="expression" dxfId="30" priority="312">
      <formula>#REF!=5</formula>
    </cfRule>
    <cfRule type="expression" dxfId="31" priority="313">
      <formula>#REF!=4</formula>
    </cfRule>
    <cfRule type="expression" dxfId="32" priority="314">
      <formula>#REF!=3</formula>
    </cfRule>
  </conditionalFormatting>
  <conditionalFormatting sqref="V17:AI17">
    <cfRule type="expression" dxfId="33" priority="318">
      <formula>#REF!=5</formula>
    </cfRule>
    <cfRule type="expression" dxfId="34" priority="319">
      <formula>#REF!=4</formula>
    </cfRule>
    <cfRule type="expression" dxfId="35" priority="320">
      <formula>#REF!=3</formula>
    </cfRule>
  </conditionalFormatting>
  <conditionalFormatting sqref="B21">
    <cfRule type="expression" dxfId="36" priority="299">
      <formula>#REF!=5</formula>
    </cfRule>
    <cfRule type="expression" dxfId="37" priority="300">
      <formula>#REF!=4</formula>
    </cfRule>
    <cfRule type="expression" dxfId="38" priority="301">
      <formula>#REF!=3</formula>
    </cfRule>
  </conditionalFormatting>
  <conditionalFormatting sqref="D21">
    <cfRule type="expression" dxfId="39" priority="284">
      <formula>#REF!=5</formula>
    </cfRule>
    <cfRule type="expression" dxfId="40" priority="285">
      <formula>#REF!=4</formula>
    </cfRule>
    <cfRule type="expression" dxfId="41" priority="286">
      <formula>#REF!=3</formula>
    </cfRule>
  </conditionalFormatting>
  <conditionalFormatting sqref="V21:AI21">
    <cfRule type="expression" dxfId="42" priority="290">
      <formula>#REF!=5</formula>
    </cfRule>
    <cfRule type="expression" dxfId="43" priority="291">
      <formula>#REF!=4</formula>
    </cfRule>
    <cfRule type="expression" dxfId="44" priority="292">
      <formula>#REF!=3</formula>
    </cfRule>
  </conditionalFormatting>
  <conditionalFormatting sqref="B25">
    <cfRule type="expression" dxfId="45" priority="271">
      <formula>#REF!=5</formula>
    </cfRule>
    <cfRule type="expression" dxfId="46" priority="272">
      <formula>#REF!=4</formula>
    </cfRule>
    <cfRule type="expression" dxfId="47" priority="273">
      <formula>#REF!=3</formula>
    </cfRule>
  </conditionalFormatting>
  <conditionalFormatting sqref="D25">
    <cfRule type="expression" dxfId="48" priority="256">
      <formula>#REF!=5</formula>
    </cfRule>
    <cfRule type="expression" dxfId="49" priority="257">
      <formula>#REF!=4</formula>
    </cfRule>
    <cfRule type="expression" dxfId="50" priority="258">
      <formula>#REF!=3</formula>
    </cfRule>
  </conditionalFormatting>
  <conditionalFormatting sqref="V25:AI25">
    <cfRule type="expression" dxfId="51" priority="262">
      <formula>#REF!=5</formula>
    </cfRule>
    <cfRule type="expression" dxfId="52" priority="263">
      <formula>#REF!=4</formula>
    </cfRule>
    <cfRule type="expression" dxfId="53" priority="264">
      <formula>#REF!=3</formula>
    </cfRule>
  </conditionalFormatting>
  <conditionalFormatting sqref="B26">
    <cfRule type="expression" dxfId="54" priority="246">
      <formula>#REF!=5</formula>
    </cfRule>
    <cfRule type="expression" dxfId="55" priority="247">
      <formula>#REF!=4</formula>
    </cfRule>
    <cfRule type="expression" dxfId="56" priority="248">
      <formula>#REF!=3</formula>
    </cfRule>
  </conditionalFormatting>
  <conditionalFormatting sqref="C26">
    <cfRule type="expression" dxfId="57" priority="234">
      <formula>#REF!=5</formula>
    </cfRule>
    <cfRule type="expression" dxfId="58" priority="235">
      <formula>#REF!=4</formula>
    </cfRule>
    <cfRule type="expression" dxfId="59" priority="236">
      <formula>#REF!=3</formula>
    </cfRule>
  </conditionalFormatting>
  <conditionalFormatting sqref="D26">
    <cfRule type="expression" dxfId="60" priority="231">
      <formula>#REF!=5</formula>
    </cfRule>
    <cfRule type="expression" dxfId="61" priority="232">
      <formula>#REF!=4</formula>
    </cfRule>
    <cfRule type="expression" dxfId="62" priority="233">
      <formula>#REF!=3</formula>
    </cfRule>
  </conditionalFormatting>
  <conditionalFormatting sqref="V26:AI26">
    <cfRule type="expression" dxfId="63" priority="240">
      <formula>#REF!=5</formula>
    </cfRule>
    <cfRule type="expression" dxfId="64" priority="241">
      <formula>#REF!=4</formula>
    </cfRule>
    <cfRule type="expression" dxfId="65" priority="242">
      <formula>#REF!=3</formula>
    </cfRule>
  </conditionalFormatting>
  <conditionalFormatting sqref="AJ26">
    <cfRule type="expression" dxfId="66" priority="243">
      <formula>#REF!=5</formula>
    </cfRule>
    <cfRule type="expression" dxfId="67" priority="244">
      <formula>#REF!=4</formula>
    </cfRule>
    <cfRule type="expression" dxfId="68" priority="245">
      <formula>#REF!=3</formula>
    </cfRule>
  </conditionalFormatting>
  <conditionalFormatting sqref="AL26">
    <cfRule type="expression" dxfId="69" priority="249">
      <formula>#REF!=5</formula>
    </cfRule>
    <cfRule type="expression" dxfId="70" priority="250">
      <formula>#REF!=4</formula>
    </cfRule>
    <cfRule type="expression" dxfId="71" priority="251">
      <formula>#REF!=3</formula>
    </cfRule>
  </conditionalFormatting>
  <conditionalFormatting sqref="B30">
    <cfRule type="expression" dxfId="72" priority="221">
      <formula>#REF!=5</formula>
    </cfRule>
    <cfRule type="expression" dxfId="73" priority="222">
      <formula>#REF!=4</formula>
    </cfRule>
    <cfRule type="expression" dxfId="74" priority="223">
      <formula>#REF!=3</formula>
    </cfRule>
  </conditionalFormatting>
  <conditionalFormatting sqref="D30">
    <cfRule type="expression" dxfId="75" priority="206">
      <formula>#REF!=5</formula>
    </cfRule>
    <cfRule type="expression" dxfId="76" priority="207">
      <formula>#REF!=4</formula>
    </cfRule>
    <cfRule type="expression" dxfId="77" priority="208">
      <formula>#REF!=3</formula>
    </cfRule>
  </conditionalFormatting>
  <conditionalFormatting sqref="V30:AI30">
    <cfRule type="expression" dxfId="78" priority="212">
      <formula>#REF!=5</formula>
    </cfRule>
    <cfRule type="expression" dxfId="79" priority="213">
      <formula>#REF!=4</formula>
    </cfRule>
    <cfRule type="expression" dxfId="80" priority="214">
      <formula>#REF!=3</formula>
    </cfRule>
  </conditionalFormatting>
  <conditionalFormatting sqref="B31">
    <cfRule type="expression" dxfId="81" priority="196">
      <formula>#REF!=5</formula>
    </cfRule>
    <cfRule type="expression" dxfId="82" priority="197">
      <formula>#REF!=4</formula>
    </cfRule>
    <cfRule type="expression" dxfId="83" priority="198">
      <formula>#REF!=3</formula>
    </cfRule>
  </conditionalFormatting>
  <conditionalFormatting sqref="C31">
    <cfRule type="expression" dxfId="84" priority="187">
      <formula>#REF!=5</formula>
    </cfRule>
    <cfRule type="expression" dxfId="85" priority="188">
      <formula>#REF!=4</formula>
    </cfRule>
    <cfRule type="expression" dxfId="86" priority="189">
      <formula>#REF!=3</formula>
    </cfRule>
  </conditionalFormatting>
  <conditionalFormatting sqref="D31">
    <cfRule type="expression" dxfId="87" priority="184">
      <formula>#REF!=5</formula>
    </cfRule>
    <cfRule type="expression" dxfId="88" priority="185">
      <formula>#REF!=4</formula>
    </cfRule>
    <cfRule type="expression" dxfId="89" priority="186">
      <formula>#REF!=3</formula>
    </cfRule>
  </conditionalFormatting>
  <conditionalFormatting sqref="V31:AI31">
    <cfRule type="expression" dxfId="90" priority="190">
      <formula>#REF!=5</formula>
    </cfRule>
    <cfRule type="expression" dxfId="91" priority="191">
      <formula>#REF!=4</formula>
    </cfRule>
    <cfRule type="expression" dxfId="92" priority="192">
      <formula>#REF!=3</formula>
    </cfRule>
  </conditionalFormatting>
  <conditionalFormatting sqref="AJ31">
    <cfRule type="expression" dxfId="93" priority="193">
      <formula>#REF!=5</formula>
    </cfRule>
    <cfRule type="expression" dxfId="94" priority="194">
      <formula>#REF!=4</formula>
    </cfRule>
    <cfRule type="expression" dxfId="95" priority="195">
      <formula>#REF!=3</formula>
    </cfRule>
  </conditionalFormatting>
  <conditionalFormatting sqref="AL31">
    <cfRule type="expression" dxfId="96" priority="199">
      <formula>#REF!=5</formula>
    </cfRule>
    <cfRule type="expression" dxfId="97" priority="200">
      <formula>#REF!=4</formula>
    </cfRule>
    <cfRule type="expression" dxfId="98" priority="201">
      <formula>#REF!=3</formula>
    </cfRule>
  </conditionalFormatting>
  <conditionalFormatting sqref="B35">
    <cfRule type="expression" dxfId="99" priority="174">
      <formula>#REF!=5</formula>
    </cfRule>
    <cfRule type="expression" dxfId="100" priority="175">
      <formula>#REF!=4</formula>
    </cfRule>
    <cfRule type="expression" dxfId="101" priority="176">
      <formula>#REF!=3</formula>
    </cfRule>
  </conditionalFormatting>
  <conditionalFormatting sqref="D35">
    <cfRule type="expression" dxfId="102" priority="159">
      <formula>#REF!=5</formula>
    </cfRule>
    <cfRule type="expression" dxfId="103" priority="160">
      <formula>#REF!=4</formula>
    </cfRule>
    <cfRule type="expression" dxfId="104" priority="161">
      <formula>#REF!=3</formula>
    </cfRule>
  </conditionalFormatting>
  <conditionalFormatting sqref="V35:AI35">
    <cfRule type="expression" dxfId="105" priority="165">
      <formula>#REF!=5</formula>
    </cfRule>
    <cfRule type="expression" dxfId="106" priority="166">
      <formula>#REF!=4</formula>
    </cfRule>
    <cfRule type="expression" dxfId="107" priority="167">
      <formula>#REF!=3</formula>
    </cfRule>
  </conditionalFormatting>
  <conditionalFormatting sqref="B36">
    <cfRule type="expression" dxfId="108" priority="150">
      <formula>#REF!=5</formula>
    </cfRule>
    <cfRule type="expression" dxfId="109" priority="151">
      <formula>#REF!=4</formula>
    </cfRule>
    <cfRule type="expression" dxfId="110" priority="152">
      <formula>#REF!=3</formula>
    </cfRule>
  </conditionalFormatting>
  <conditionalFormatting sqref="C36">
    <cfRule type="expression" dxfId="111" priority="141">
      <formula>#REF!=5</formula>
    </cfRule>
    <cfRule type="expression" dxfId="112" priority="142">
      <formula>#REF!=4</formula>
    </cfRule>
    <cfRule type="expression" dxfId="113" priority="143">
      <formula>#REF!=3</formula>
    </cfRule>
  </conditionalFormatting>
  <conditionalFormatting sqref="D36">
    <cfRule type="expression" dxfId="114" priority="138">
      <formula>#REF!=5</formula>
    </cfRule>
    <cfRule type="expression" dxfId="115" priority="139">
      <formula>#REF!=4</formula>
    </cfRule>
    <cfRule type="expression" dxfId="116" priority="140">
      <formula>#REF!=3</formula>
    </cfRule>
  </conditionalFormatting>
  <conditionalFormatting sqref="V36:AI36">
    <cfRule type="expression" dxfId="117" priority="144">
      <formula>#REF!=5</formula>
    </cfRule>
    <cfRule type="expression" dxfId="118" priority="145">
      <formula>#REF!=4</formula>
    </cfRule>
    <cfRule type="expression" dxfId="119" priority="146">
      <formula>#REF!=3</formula>
    </cfRule>
  </conditionalFormatting>
  <conditionalFormatting sqref="AJ36">
    <cfRule type="expression" dxfId="120" priority="147">
      <formula>#REF!=5</formula>
    </cfRule>
    <cfRule type="expression" dxfId="121" priority="148">
      <formula>#REF!=4</formula>
    </cfRule>
    <cfRule type="expression" dxfId="122" priority="149">
      <formula>#REF!=3</formula>
    </cfRule>
  </conditionalFormatting>
  <conditionalFormatting sqref="AL36">
    <cfRule type="expression" dxfId="123" priority="153">
      <formula>#REF!=5</formula>
    </cfRule>
    <cfRule type="expression" dxfId="124" priority="154">
      <formula>#REF!=4</formula>
    </cfRule>
    <cfRule type="expression" dxfId="125" priority="155">
      <formula>#REF!=3</formula>
    </cfRule>
  </conditionalFormatting>
  <conditionalFormatting sqref="B40">
    <cfRule type="expression" dxfId="126" priority="128">
      <formula>#REF!=5</formula>
    </cfRule>
    <cfRule type="expression" dxfId="127" priority="129">
      <formula>#REF!=4</formula>
    </cfRule>
    <cfRule type="expression" dxfId="128" priority="130">
      <formula>#REF!=3</formula>
    </cfRule>
  </conditionalFormatting>
  <conditionalFormatting sqref="D40">
    <cfRule type="expression" dxfId="129" priority="113">
      <formula>#REF!=5</formula>
    </cfRule>
    <cfRule type="expression" dxfId="130" priority="114">
      <formula>#REF!=4</formula>
    </cfRule>
    <cfRule type="expression" dxfId="131" priority="115">
      <formula>#REF!=3</formula>
    </cfRule>
  </conditionalFormatting>
  <conditionalFormatting sqref="V40:AI40">
    <cfRule type="expression" dxfId="132" priority="119">
      <formula>#REF!=5</formula>
    </cfRule>
    <cfRule type="expression" dxfId="133" priority="120">
      <formula>#REF!=4</formula>
    </cfRule>
    <cfRule type="expression" dxfId="134" priority="121">
      <formula>#REF!=3</formula>
    </cfRule>
  </conditionalFormatting>
  <conditionalFormatting sqref="B41">
    <cfRule type="expression" dxfId="135" priority="104">
      <formula>#REF!=5</formula>
    </cfRule>
    <cfRule type="expression" dxfId="136" priority="105">
      <formula>#REF!=4</formula>
    </cfRule>
    <cfRule type="expression" dxfId="137" priority="106">
      <formula>#REF!=3</formula>
    </cfRule>
  </conditionalFormatting>
  <conditionalFormatting sqref="C41">
    <cfRule type="expression" dxfId="138" priority="95">
      <formula>#REF!=5</formula>
    </cfRule>
    <cfRule type="expression" dxfId="139" priority="96">
      <formula>#REF!=4</formula>
    </cfRule>
    <cfRule type="expression" dxfId="140" priority="97">
      <formula>#REF!=3</formula>
    </cfRule>
  </conditionalFormatting>
  <conditionalFormatting sqref="D41">
    <cfRule type="expression" dxfId="141" priority="92">
      <formula>#REF!=5</formula>
    </cfRule>
    <cfRule type="expression" dxfId="142" priority="93">
      <formula>#REF!=4</formula>
    </cfRule>
    <cfRule type="expression" dxfId="143" priority="94">
      <formula>#REF!=3</formula>
    </cfRule>
  </conditionalFormatting>
  <conditionalFormatting sqref="V41:AI41">
    <cfRule type="expression" dxfId="144" priority="98">
      <formula>#REF!=5</formula>
    </cfRule>
    <cfRule type="expression" dxfId="145" priority="99">
      <formula>#REF!=4</formula>
    </cfRule>
    <cfRule type="expression" dxfId="146" priority="100">
      <formula>#REF!=3</formula>
    </cfRule>
  </conditionalFormatting>
  <conditionalFormatting sqref="AJ41">
    <cfRule type="expression" dxfId="147" priority="101">
      <formula>#REF!=5</formula>
    </cfRule>
    <cfRule type="expression" dxfId="148" priority="102">
      <formula>#REF!=4</formula>
    </cfRule>
    <cfRule type="expression" dxfId="149" priority="103">
      <formula>#REF!=3</formula>
    </cfRule>
  </conditionalFormatting>
  <conditionalFormatting sqref="AL41">
    <cfRule type="expression" dxfId="150" priority="107">
      <formula>#REF!=5</formula>
    </cfRule>
    <cfRule type="expression" dxfId="151" priority="108">
      <formula>#REF!=4</formula>
    </cfRule>
    <cfRule type="expression" dxfId="152" priority="109">
      <formula>#REF!=3</formula>
    </cfRule>
  </conditionalFormatting>
  <conditionalFormatting sqref="B42">
    <cfRule type="expression" dxfId="153" priority="85">
      <formula>#REF!=5</formula>
    </cfRule>
    <cfRule type="expression" dxfId="154" priority="86">
      <formula>#REF!=4</formula>
    </cfRule>
    <cfRule type="expression" dxfId="155" priority="87">
      <formula>#REF!=3</formula>
    </cfRule>
  </conditionalFormatting>
  <conditionalFormatting sqref="C42">
    <cfRule type="expression" dxfId="156" priority="76">
      <formula>#REF!=5</formula>
    </cfRule>
    <cfRule type="expression" dxfId="157" priority="77">
      <formula>#REF!=4</formula>
    </cfRule>
    <cfRule type="expression" dxfId="158" priority="78">
      <formula>#REF!=3</formula>
    </cfRule>
  </conditionalFormatting>
  <conditionalFormatting sqref="D42">
    <cfRule type="expression" dxfId="159" priority="73">
      <formula>#REF!=5</formula>
    </cfRule>
    <cfRule type="expression" dxfId="160" priority="74">
      <formula>#REF!=4</formula>
    </cfRule>
    <cfRule type="expression" dxfId="161" priority="75">
      <formula>#REF!=3</formula>
    </cfRule>
  </conditionalFormatting>
  <conditionalFormatting sqref="V42:AI42">
    <cfRule type="expression" dxfId="162" priority="79">
      <formula>#REF!=5</formula>
    </cfRule>
    <cfRule type="expression" dxfId="163" priority="80">
      <formula>#REF!=4</formula>
    </cfRule>
    <cfRule type="expression" dxfId="164" priority="81">
      <formula>#REF!=3</formula>
    </cfRule>
  </conditionalFormatting>
  <conditionalFormatting sqref="AJ42">
    <cfRule type="expression" dxfId="165" priority="82">
      <formula>#REF!=5</formula>
    </cfRule>
    <cfRule type="expression" dxfId="166" priority="83">
      <formula>#REF!=4</formula>
    </cfRule>
    <cfRule type="expression" dxfId="167" priority="84">
      <formula>#REF!=3</formula>
    </cfRule>
  </conditionalFormatting>
  <conditionalFormatting sqref="AL42">
    <cfRule type="expression" dxfId="168" priority="88">
      <formula>#REF!=5</formula>
    </cfRule>
    <cfRule type="expression" dxfId="169" priority="89">
      <formula>#REF!=4</formula>
    </cfRule>
    <cfRule type="expression" dxfId="170" priority="90">
      <formula>#REF!=3</formula>
    </cfRule>
  </conditionalFormatting>
  <conditionalFormatting sqref="B4:B6">
    <cfRule type="expression" dxfId="171" priority="409">
      <formula>#REF!=5</formula>
    </cfRule>
    <cfRule type="expression" dxfId="172" priority="410">
      <formula>#REF!=4</formula>
    </cfRule>
    <cfRule type="expression" dxfId="173" priority="411">
      <formula>#REF!=3</formula>
    </cfRule>
  </conditionalFormatting>
  <conditionalFormatting sqref="B7:B8">
    <cfRule type="expression" dxfId="174" priority="406">
      <formula>#REF!=5</formula>
    </cfRule>
    <cfRule type="expression" dxfId="175" priority="407">
      <formula>#REF!=4</formula>
    </cfRule>
    <cfRule type="expression" dxfId="176" priority="408">
      <formula>#REF!=3</formula>
    </cfRule>
  </conditionalFormatting>
  <conditionalFormatting sqref="B9:B11">
    <cfRule type="expression" dxfId="177" priority="381">
      <formula>#REF!=5</formula>
    </cfRule>
    <cfRule type="expression" dxfId="178" priority="382">
      <formula>#REF!=4</formula>
    </cfRule>
    <cfRule type="expression" dxfId="179" priority="383">
      <formula>#REF!=3</formula>
    </cfRule>
  </conditionalFormatting>
  <conditionalFormatting sqref="B14:B16">
    <cfRule type="expression" dxfId="180" priority="330">
      <formula>#REF!=5</formula>
    </cfRule>
    <cfRule type="expression" dxfId="181" priority="331">
      <formula>#REF!=4</formula>
    </cfRule>
    <cfRule type="expression" dxfId="182" priority="332">
      <formula>#REF!=3</formula>
    </cfRule>
  </conditionalFormatting>
  <conditionalFormatting sqref="B18:B20">
    <cfRule type="expression" dxfId="183" priority="302">
      <formula>#REF!=5</formula>
    </cfRule>
    <cfRule type="expression" dxfId="184" priority="303">
      <formula>#REF!=4</formula>
    </cfRule>
    <cfRule type="expression" dxfId="185" priority="304">
      <formula>#REF!=3</formula>
    </cfRule>
  </conditionalFormatting>
  <conditionalFormatting sqref="B22:B24">
    <cfRule type="expression" dxfId="186" priority="274">
      <formula>#REF!=5</formula>
    </cfRule>
    <cfRule type="expression" dxfId="187" priority="275">
      <formula>#REF!=4</formula>
    </cfRule>
    <cfRule type="expression" dxfId="188" priority="276">
      <formula>#REF!=3</formula>
    </cfRule>
  </conditionalFormatting>
  <conditionalFormatting sqref="B27:B29">
    <cfRule type="expression" dxfId="189" priority="224">
      <formula>#REF!=5</formula>
    </cfRule>
    <cfRule type="expression" dxfId="190" priority="225">
      <formula>#REF!=4</formula>
    </cfRule>
    <cfRule type="expression" dxfId="191" priority="226">
      <formula>#REF!=3</formula>
    </cfRule>
  </conditionalFormatting>
  <conditionalFormatting sqref="B32:B34">
    <cfRule type="expression" dxfId="192" priority="177">
      <formula>#REF!=5</formula>
    </cfRule>
    <cfRule type="expression" dxfId="193" priority="178">
      <formula>#REF!=4</formula>
    </cfRule>
    <cfRule type="expression" dxfId="194" priority="179">
      <formula>#REF!=3</formula>
    </cfRule>
  </conditionalFormatting>
  <conditionalFormatting sqref="B37:B39">
    <cfRule type="expression" dxfId="195" priority="131">
      <formula>#REF!=5</formula>
    </cfRule>
    <cfRule type="expression" dxfId="196" priority="132">
      <formula>#REF!=4</formula>
    </cfRule>
    <cfRule type="expression" dxfId="197" priority="133">
      <formula>#REF!=3</formula>
    </cfRule>
  </conditionalFormatting>
  <conditionalFormatting sqref="C4:C8">
    <cfRule type="expression" dxfId="198" priority="403">
      <formula>#REF!=5</formula>
    </cfRule>
    <cfRule type="expression" dxfId="199" priority="404">
      <formula>#REF!=4</formula>
    </cfRule>
    <cfRule type="expression" dxfId="200" priority="405">
      <formula>#REF!=3</formula>
    </cfRule>
  </conditionalFormatting>
  <conditionalFormatting sqref="C9:C12">
    <cfRule type="expression" dxfId="201" priority="356">
      <formula>#REF!=5</formula>
    </cfRule>
    <cfRule type="expression" dxfId="202" priority="357">
      <formula>#REF!=4</formula>
    </cfRule>
    <cfRule type="expression" dxfId="203" priority="358">
      <formula>#REF!=3</formula>
    </cfRule>
  </conditionalFormatting>
  <conditionalFormatting sqref="C14:C17">
    <cfRule type="expression" dxfId="204" priority="309">
      <formula>#REF!=5</formula>
    </cfRule>
    <cfRule type="expression" dxfId="205" priority="310">
      <formula>#REF!=4</formula>
    </cfRule>
    <cfRule type="expression" dxfId="206" priority="311">
      <formula>#REF!=3</formula>
    </cfRule>
  </conditionalFormatting>
  <conditionalFormatting sqref="C18:C21">
    <cfRule type="expression" dxfId="207" priority="281">
      <formula>#REF!=5</formula>
    </cfRule>
    <cfRule type="expression" dxfId="208" priority="282">
      <formula>#REF!=4</formula>
    </cfRule>
    <cfRule type="expression" dxfId="209" priority="283">
      <formula>#REF!=3</formula>
    </cfRule>
  </conditionalFormatting>
  <conditionalFormatting sqref="C22:C25">
    <cfRule type="expression" dxfId="210" priority="253">
      <formula>#REF!=5</formula>
    </cfRule>
    <cfRule type="expression" dxfId="211" priority="254">
      <formula>#REF!=4</formula>
    </cfRule>
    <cfRule type="expression" dxfId="212" priority="255">
      <formula>#REF!=3</formula>
    </cfRule>
  </conditionalFormatting>
  <conditionalFormatting sqref="C27:C30">
    <cfRule type="expression" dxfId="213" priority="203">
      <formula>#REF!=5</formula>
    </cfRule>
    <cfRule type="expression" dxfId="214" priority="204">
      <formula>#REF!=4</formula>
    </cfRule>
    <cfRule type="expression" dxfId="215" priority="205">
      <formula>#REF!=3</formula>
    </cfRule>
  </conditionalFormatting>
  <conditionalFormatting sqref="C32:C35">
    <cfRule type="expression" dxfId="216" priority="156">
      <formula>#REF!=5</formula>
    </cfRule>
    <cfRule type="expression" dxfId="217" priority="157">
      <formula>#REF!=4</formula>
    </cfRule>
    <cfRule type="expression" dxfId="218" priority="158">
      <formula>#REF!=3</formula>
    </cfRule>
  </conditionalFormatting>
  <conditionalFormatting sqref="C37:C40">
    <cfRule type="expression" dxfId="219" priority="110">
      <formula>#REF!=5</formula>
    </cfRule>
    <cfRule type="expression" dxfId="220" priority="111">
      <formula>#REF!=4</formula>
    </cfRule>
    <cfRule type="expression" dxfId="221" priority="112">
      <formula>#REF!=3</formula>
    </cfRule>
  </conditionalFormatting>
  <conditionalFormatting sqref="D4:D6">
    <cfRule type="expression" dxfId="222" priority="415">
      <formula>#REF!=5</formula>
    </cfRule>
    <cfRule type="expression" dxfId="223" priority="416">
      <formula>#REF!=4</formula>
    </cfRule>
    <cfRule type="expression" dxfId="224" priority="417">
      <formula>#REF!=3</formula>
    </cfRule>
  </conditionalFormatting>
  <conditionalFormatting sqref="D7:D8">
    <cfRule type="expression" dxfId="225" priority="412">
      <formula>#REF!=5</formula>
    </cfRule>
    <cfRule type="expression" dxfId="226" priority="413">
      <formula>#REF!=4</formula>
    </cfRule>
    <cfRule type="expression" dxfId="227" priority="414">
      <formula>#REF!=3</formula>
    </cfRule>
  </conditionalFormatting>
  <conditionalFormatting sqref="D9:D11">
    <cfRule type="expression" dxfId="228" priority="363">
      <formula>#REF!=5</formula>
    </cfRule>
    <cfRule type="expression" dxfId="229" priority="364">
      <formula>#REF!=4</formula>
    </cfRule>
    <cfRule type="expression" dxfId="230" priority="365">
      <formula>#REF!=3</formula>
    </cfRule>
  </conditionalFormatting>
  <conditionalFormatting sqref="D14:D16">
    <cfRule type="expression" dxfId="231" priority="315">
      <formula>#REF!=5</formula>
    </cfRule>
    <cfRule type="expression" dxfId="232" priority="316">
      <formula>#REF!=4</formula>
    </cfRule>
    <cfRule type="expression" dxfId="233" priority="317">
      <formula>#REF!=3</formula>
    </cfRule>
  </conditionalFormatting>
  <conditionalFormatting sqref="D18:D20">
    <cfRule type="expression" dxfId="234" priority="287">
      <formula>#REF!=5</formula>
    </cfRule>
    <cfRule type="expression" dxfId="235" priority="288">
      <formula>#REF!=4</formula>
    </cfRule>
    <cfRule type="expression" dxfId="236" priority="289">
      <formula>#REF!=3</formula>
    </cfRule>
  </conditionalFormatting>
  <conditionalFormatting sqref="D22:D24">
    <cfRule type="expression" dxfId="237" priority="259">
      <formula>#REF!=5</formula>
    </cfRule>
    <cfRule type="expression" dxfId="238" priority="260">
      <formula>#REF!=4</formula>
    </cfRule>
    <cfRule type="expression" dxfId="239" priority="261">
      <formula>#REF!=3</formula>
    </cfRule>
  </conditionalFormatting>
  <conditionalFormatting sqref="D27:D29">
    <cfRule type="expression" dxfId="240" priority="209">
      <formula>#REF!=5</formula>
    </cfRule>
    <cfRule type="expression" dxfId="241" priority="210">
      <formula>#REF!=4</formula>
    </cfRule>
    <cfRule type="expression" dxfId="242" priority="211">
      <formula>#REF!=3</formula>
    </cfRule>
  </conditionalFormatting>
  <conditionalFormatting sqref="D32:D34">
    <cfRule type="expression" dxfId="243" priority="162">
      <formula>#REF!=5</formula>
    </cfRule>
    <cfRule type="expression" dxfId="244" priority="163">
      <formula>#REF!=4</formula>
    </cfRule>
    <cfRule type="expression" dxfId="245" priority="164">
      <formula>#REF!=3</formula>
    </cfRule>
  </conditionalFormatting>
  <conditionalFormatting sqref="D37:D39">
    <cfRule type="expression" dxfId="246" priority="116">
      <formula>#REF!=5</formula>
    </cfRule>
    <cfRule type="expression" dxfId="247" priority="117">
      <formula>#REF!=4</formula>
    </cfRule>
    <cfRule type="expression" dxfId="248" priority="118">
      <formula>#REF!=3</formula>
    </cfRule>
  </conditionalFormatting>
  <conditionalFormatting sqref="AJ4:AJ8">
    <cfRule type="expression" dxfId="249" priority="400">
      <formula>#REF!=5</formula>
    </cfRule>
    <cfRule type="expression" dxfId="250" priority="401">
      <formula>#REF!=4</formula>
    </cfRule>
    <cfRule type="expression" dxfId="251" priority="402">
      <formula>#REF!=3</formula>
    </cfRule>
  </conditionalFormatting>
  <conditionalFormatting sqref="AJ9:AJ12">
    <cfRule type="expression" dxfId="252" priority="372">
      <formula>#REF!=5</formula>
    </cfRule>
    <cfRule type="expression" dxfId="253" priority="373">
      <formula>#REF!=4</formula>
    </cfRule>
    <cfRule type="expression" dxfId="254" priority="374">
      <formula>#REF!=3</formula>
    </cfRule>
  </conditionalFormatting>
  <conditionalFormatting sqref="AJ14:AJ17">
    <cfRule type="expression" dxfId="255" priority="324">
      <formula>#REF!=5</formula>
    </cfRule>
    <cfRule type="expression" dxfId="256" priority="325">
      <formula>#REF!=4</formula>
    </cfRule>
    <cfRule type="expression" dxfId="257" priority="326">
      <formula>#REF!=3</formula>
    </cfRule>
  </conditionalFormatting>
  <conditionalFormatting sqref="AJ18:AJ21">
    <cfRule type="expression" dxfId="258" priority="296">
      <formula>#REF!=5</formula>
    </cfRule>
    <cfRule type="expression" dxfId="259" priority="297">
      <formula>#REF!=4</formula>
    </cfRule>
    <cfRule type="expression" dxfId="260" priority="298">
      <formula>#REF!=3</formula>
    </cfRule>
  </conditionalFormatting>
  <conditionalFormatting sqref="AJ22:AJ25">
    <cfRule type="expression" dxfId="261" priority="268">
      <formula>#REF!=5</formula>
    </cfRule>
    <cfRule type="expression" dxfId="262" priority="269">
      <formula>#REF!=4</formula>
    </cfRule>
    <cfRule type="expression" dxfId="263" priority="270">
      <formula>#REF!=3</formula>
    </cfRule>
  </conditionalFormatting>
  <conditionalFormatting sqref="AJ27:AJ30">
    <cfRule type="expression" dxfId="264" priority="218">
      <formula>#REF!=5</formula>
    </cfRule>
    <cfRule type="expression" dxfId="265" priority="219">
      <formula>#REF!=4</formula>
    </cfRule>
    <cfRule type="expression" dxfId="266" priority="220">
      <formula>#REF!=3</formula>
    </cfRule>
  </conditionalFormatting>
  <conditionalFormatting sqref="AJ32:AJ35">
    <cfRule type="expression" dxfId="267" priority="171">
      <formula>#REF!=5</formula>
    </cfRule>
    <cfRule type="expression" dxfId="268" priority="172">
      <formula>#REF!=4</formula>
    </cfRule>
    <cfRule type="expression" dxfId="269" priority="173">
      <formula>#REF!=3</formula>
    </cfRule>
  </conditionalFormatting>
  <conditionalFormatting sqref="AJ37:AJ40">
    <cfRule type="expression" dxfId="270" priority="125">
      <formula>#REF!=5</formula>
    </cfRule>
    <cfRule type="expression" dxfId="271" priority="126">
      <formula>#REF!=4</formula>
    </cfRule>
    <cfRule type="expression" dxfId="272" priority="127">
      <formula>#REF!=3</formula>
    </cfRule>
  </conditionalFormatting>
  <conditionalFormatting sqref="AL4:AL8">
    <cfRule type="expression" dxfId="273" priority="418">
      <formula>#REF!=5</formula>
    </cfRule>
    <cfRule type="expression" dxfId="274" priority="419">
      <formula>#REF!=4</formula>
    </cfRule>
    <cfRule type="expression" dxfId="275" priority="420">
      <formula>#REF!=3</formula>
    </cfRule>
  </conditionalFormatting>
  <conditionalFormatting sqref="AL9:AL12">
    <cfRule type="expression" dxfId="276" priority="390">
      <formula>#REF!=5</formula>
    </cfRule>
    <cfRule type="expression" dxfId="277" priority="391">
      <formula>#REF!=4</formula>
    </cfRule>
    <cfRule type="expression" dxfId="278" priority="392">
      <formula>#REF!=3</formula>
    </cfRule>
  </conditionalFormatting>
  <conditionalFormatting sqref="AL14:AL17">
    <cfRule type="expression" dxfId="279" priority="333">
      <formula>#REF!=5</formula>
    </cfRule>
    <cfRule type="expression" dxfId="280" priority="334">
      <formula>#REF!=4</formula>
    </cfRule>
    <cfRule type="expression" dxfId="281" priority="335">
      <formula>#REF!=3</formula>
    </cfRule>
  </conditionalFormatting>
  <conditionalFormatting sqref="AL18:AL21">
    <cfRule type="expression" dxfId="282" priority="305">
      <formula>#REF!=5</formula>
    </cfRule>
    <cfRule type="expression" dxfId="283" priority="306">
      <formula>#REF!=4</formula>
    </cfRule>
    <cfRule type="expression" dxfId="284" priority="307">
      <formula>#REF!=3</formula>
    </cfRule>
  </conditionalFormatting>
  <conditionalFormatting sqref="AL22:AL25">
    <cfRule type="expression" dxfId="285" priority="277">
      <formula>#REF!=5</formula>
    </cfRule>
    <cfRule type="expression" dxfId="286" priority="278">
      <formula>#REF!=4</formula>
    </cfRule>
    <cfRule type="expression" dxfId="287" priority="279">
      <formula>#REF!=3</formula>
    </cfRule>
  </conditionalFormatting>
  <conditionalFormatting sqref="AL27:AL30">
    <cfRule type="expression" dxfId="288" priority="227">
      <formula>#REF!=5</formula>
    </cfRule>
    <cfRule type="expression" dxfId="289" priority="228">
      <formula>#REF!=4</formula>
    </cfRule>
    <cfRule type="expression" dxfId="290" priority="229">
      <formula>#REF!=3</formula>
    </cfRule>
  </conditionalFormatting>
  <conditionalFormatting sqref="AL32:AL35">
    <cfRule type="expression" dxfId="291" priority="180">
      <formula>#REF!=5</formula>
    </cfRule>
    <cfRule type="expression" dxfId="292" priority="181">
      <formula>#REF!=4</formula>
    </cfRule>
    <cfRule type="expression" dxfId="293" priority="182">
      <formula>#REF!=3</formula>
    </cfRule>
  </conditionalFormatting>
  <conditionalFormatting sqref="AL37:AL40">
    <cfRule type="expression" dxfId="294" priority="134">
      <formula>#REF!=5</formula>
    </cfRule>
    <cfRule type="expression" dxfId="295" priority="135">
      <formula>#REF!=4</formula>
    </cfRule>
    <cfRule type="expression" dxfId="296" priority="136">
      <formula>#REF!=3</formula>
    </cfRule>
  </conditionalFormatting>
  <conditionalFormatting sqref="V4:AI6">
    <cfRule type="expression" dxfId="297" priority="397">
      <formula>#REF!=5</formula>
    </cfRule>
    <cfRule type="expression" dxfId="298" priority="398">
      <formula>#REF!=4</formula>
    </cfRule>
    <cfRule type="expression" dxfId="299" priority="399">
      <formula>#REF!=3</formula>
    </cfRule>
  </conditionalFormatting>
  <conditionalFormatting sqref="V7:AI8">
    <cfRule type="expression" dxfId="300" priority="394">
      <formula>#REF!=5</formula>
    </cfRule>
    <cfRule type="expression" dxfId="301" priority="395">
      <formula>#REF!=4</formula>
    </cfRule>
    <cfRule type="expression" dxfId="302" priority="396">
      <formula>#REF!=3</formula>
    </cfRule>
  </conditionalFormatting>
  <conditionalFormatting sqref="V9:AI11">
    <cfRule type="expression" dxfId="303" priority="369">
      <formula>#REF!=5</formula>
    </cfRule>
    <cfRule type="expression" dxfId="304" priority="370">
      <formula>#REF!=4</formula>
    </cfRule>
    <cfRule type="expression" dxfId="305" priority="371">
      <formula>#REF!=3</formula>
    </cfRule>
  </conditionalFormatting>
  <conditionalFormatting sqref="V14:AI16">
    <cfRule type="expression" dxfId="306" priority="321">
      <formula>#REF!=5</formula>
    </cfRule>
    <cfRule type="expression" dxfId="307" priority="322">
      <formula>#REF!=4</formula>
    </cfRule>
    <cfRule type="expression" dxfId="308" priority="323">
      <formula>#REF!=3</formula>
    </cfRule>
  </conditionalFormatting>
  <conditionalFormatting sqref="V18:AI20">
    <cfRule type="expression" dxfId="309" priority="293">
      <formula>#REF!=5</formula>
    </cfRule>
    <cfRule type="expression" dxfId="310" priority="294">
      <formula>#REF!=4</formula>
    </cfRule>
    <cfRule type="expression" dxfId="311" priority="295">
      <formula>#REF!=3</formula>
    </cfRule>
  </conditionalFormatting>
  <conditionalFormatting sqref="V22:AI24">
    <cfRule type="expression" dxfId="312" priority="265">
      <formula>#REF!=5</formula>
    </cfRule>
    <cfRule type="expression" dxfId="313" priority="266">
      <formula>#REF!=4</formula>
    </cfRule>
    <cfRule type="expression" dxfId="314" priority="267">
      <formula>#REF!=3</formula>
    </cfRule>
  </conditionalFormatting>
  <conditionalFormatting sqref="V27:AI29">
    <cfRule type="expression" dxfId="315" priority="215">
      <formula>#REF!=5</formula>
    </cfRule>
    <cfRule type="expression" dxfId="316" priority="216">
      <formula>#REF!=4</formula>
    </cfRule>
    <cfRule type="expression" dxfId="317" priority="217">
      <formula>#REF!=3</formula>
    </cfRule>
  </conditionalFormatting>
  <conditionalFormatting sqref="V32:AI34">
    <cfRule type="expression" dxfId="318" priority="168">
      <formula>#REF!=5</formula>
    </cfRule>
    <cfRule type="expression" dxfId="319" priority="169">
      <formula>#REF!=4</formula>
    </cfRule>
    <cfRule type="expression" dxfId="320" priority="170">
      <formula>#REF!=3</formula>
    </cfRule>
  </conditionalFormatting>
  <conditionalFormatting sqref="V37:AI39">
    <cfRule type="expression" dxfId="321" priority="122">
      <formula>#REF!=5</formula>
    </cfRule>
    <cfRule type="expression" dxfId="322" priority="123">
      <formula>#REF!=4</formula>
    </cfRule>
    <cfRule type="expression" dxfId="323" priority="124">
      <formula>#REF!=3</formula>
    </cfRule>
  </conditionalFormatting>
  <dataValidations count="3">
    <dataValidation type="custom" allowBlank="1" showErrorMessage="1" errorStyle="warning" errorTitle="拒绝重复输入" error="当前输入的内容，与本区域的其他单元格内容重复。" sqref="AM4:AN8">
      <formula1>COUNTIF($A:$A,AM4)&lt;2</formula1>
    </dataValidation>
    <dataValidation type="custom" allowBlank="1" showErrorMessage="1" errorStyle="warning" errorTitle="拒绝重复输入" error="当前输入的内容，与本区域的其他单元格内容重复。" sqref="AN10:AN119">
      <formula1>COUNTIF($A:$A,AM4)&lt;2</formula1>
    </dataValidation>
    <dataValidation type="custom" allowBlank="1" showErrorMessage="1" errorStyle="warning" errorTitle="拒绝重复输入" error="当前输入的内容，与本区域的其他单元格内容重复。" sqref="AN9:AN119">
      <formula1>COUNTIF($A:$A,AM4)&lt;2</formula1>
    </dataValidation>
  </dataValidations>
  <hyperlinks>
    <hyperlink ref="AJ4" r:id="rId1"/>
    <hyperlink ref="AJ5" r:id="rId2"/>
    <hyperlink ref="AJ6" r:id="rId3"/>
    <hyperlink ref="AJ7" r:id="rId4"/>
    <hyperlink ref="AJ8" r:id="rId5"/>
  </hyperlink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8"/>
  <sheetViews>
    <sheetView workbookViewId="0" zoomScale="100" zoomScaleNormal="100">
      <pane xSplit="1" ySplit="3" topLeftCell="B16" activePane="bottomRight" state="frozen"/>
      <selection pane="bottomRight" activeCell="M59" sqref="M59"/>
    </sheetView>
  </sheetViews>
  <sheetFormatPr defaultRowHeight="14.25" outlineLevelRow="0" outlineLevelCol="5" x14ac:dyDescent="0" defaultColWidth="9" customHeight="1"/>
  <cols>
    <col min="1" max="1" width="7.5" style="77" customWidth="1"/>
    <col min="2" max="2" width="11.0833333333333" style="77" customWidth="1"/>
    <col min="3" max="3" width="12.5" style="77" customWidth="1"/>
    <col min="4" max="4" width="14.5" style="77" customWidth="1"/>
    <col min="5" max="5" width="13" style="77" customWidth="1"/>
    <col min="6" max="6" width="9.08333333333333" style="77" customWidth="1"/>
  </cols>
  <sheetData>
    <row r="1" ht="58.5" customHeight="1" spans="1:6" x14ac:dyDescent="0.25">
      <c r="A1" s="78" t="s">
        <v>1774</v>
      </c>
      <c r="B1" s="78" t="s">
        <v>1775</v>
      </c>
      <c r="C1" s="78" t="s">
        <v>1776</v>
      </c>
      <c r="D1" s="78" t="s">
        <v>1777</v>
      </c>
      <c r="E1" s="78" t="s">
        <v>0</v>
      </c>
      <c r="F1" s="78" t="s">
        <v>1778</v>
      </c>
    </row>
    <row r="2" spans="1:6" x14ac:dyDescent="0.25">
      <c r="A2" s="77" t="s">
        <v>1385</v>
      </c>
      <c r="B2" s="77" t="s">
        <v>1779</v>
      </c>
      <c r="C2" s="77" t="s">
        <v>1780</v>
      </c>
      <c r="D2" s="77" t="s">
        <v>1781</v>
      </c>
      <c r="E2" s="77" t="s">
        <v>1782</v>
      </c>
      <c r="F2" s="77" t="s">
        <v>1783</v>
      </c>
    </row>
    <row r="3" spans="1:6" x14ac:dyDescent="0.25">
      <c r="A3" s="77" t="s">
        <v>78</v>
      </c>
      <c r="B3" s="77" t="s">
        <v>78</v>
      </c>
      <c r="C3" s="77" t="s">
        <v>78</v>
      </c>
      <c r="D3" s="77" t="s">
        <v>78</v>
      </c>
      <c r="E3" s="77" t="s">
        <v>78</v>
      </c>
      <c r="F3" s="77" t="s">
        <v>78</v>
      </c>
    </row>
    <row r="4" spans="1:6" x14ac:dyDescent="0.25">
      <c r="A4" s="79">
        <v>10001</v>
      </c>
      <c r="B4" s="79">
        <v>1</v>
      </c>
      <c r="C4" s="79">
        <v>1</v>
      </c>
      <c r="D4" s="79">
        <v>1</v>
      </c>
      <c r="E4" s="80">
        <v>11101</v>
      </c>
      <c r="F4" s="79">
        <v>10</v>
      </c>
    </row>
    <row r="5" spans="1:6" x14ac:dyDescent="0.25">
      <c r="A5" s="79">
        <v>10002</v>
      </c>
      <c r="B5" s="79">
        <v>1</v>
      </c>
      <c r="C5" s="79">
        <v>1</v>
      </c>
      <c r="D5" s="79">
        <v>1</v>
      </c>
      <c r="E5" s="80">
        <v>11102</v>
      </c>
      <c r="F5" s="79">
        <v>10</v>
      </c>
    </row>
    <row r="6" spans="1:6" x14ac:dyDescent="0.25">
      <c r="A6" s="79">
        <v>10003</v>
      </c>
      <c r="B6" s="79">
        <v>1</v>
      </c>
      <c r="C6" s="79">
        <v>1</v>
      </c>
      <c r="D6" s="79">
        <v>1</v>
      </c>
      <c r="E6" s="80">
        <v>11103</v>
      </c>
      <c r="F6" s="79">
        <v>10</v>
      </c>
    </row>
    <row r="7" spans="1:6" x14ac:dyDescent="0.25">
      <c r="A7" s="79">
        <v>10004</v>
      </c>
      <c r="B7" s="79">
        <v>1</v>
      </c>
      <c r="C7" s="79">
        <v>1</v>
      </c>
      <c r="D7" s="79">
        <v>1</v>
      </c>
      <c r="E7" s="80">
        <v>11104</v>
      </c>
      <c r="F7" s="79">
        <v>10</v>
      </c>
    </row>
    <row r="8" spans="1:6" x14ac:dyDescent="0.25">
      <c r="A8" s="79">
        <v>10005</v>
      </c>
      <c r="B8" s="79">
        <v>1</v>
      </c>
      <c r="C8" s="79">
        <v>1</v>
      </c>
      <c r="D8" s="79">
        <v>1</v>
      </c>
      <c r="E8" s="80">
        <v>11105</v>
      </c>
      <c r="F8" s="79">
        <v>10</v>
      </c>
    </row>
    <row r="9" spans="1:6" x14ac:dyDescent="0.25">
      <c r="A9" s="79">
        <v>10006</v>
      </c>
      <c r="B9" s="79">
        <v>1</v>
      </c>
      <c r="C9" s="79">
        <v>1</v>
      </c>
      <c r="D9" s="79">
        <v>1</v>
      </c>
      <c r="E9" s="80">
        <v>11106</v>
      </c>
      <c r="F9" s="79">
        <v>10</v>
      </c>
    </row>
    <row r="10" spans="1:6" x14ac:dyDescent="0.25">
      <c r="A10" s="79">
        <v>10007</v>
      </c>
      <c r="B10" s="79">
        <v>1</v>
      </c>
      <c r="C10" s="79">
        <v>1</v>
      </c>
      <c r="D10" s="79">
        <v>1</v>
      </c>
      <c r="E10" s="80">
        <v>11107</v>
      </c>
      <c r="F10" s="79">
        <v>10</v>
      </c>
    </row>
    <row r="11" spans="1:6" x14ac:dyDescent="0.25">
      <c r="A11" s="79">
        <v>10008</v>
      </c>
      <c r="B11" s="79">
        <v>1</v>
      </c>
      <c r="C11" s="79">
        <v>1</v>
      </c>
      <c r="D11" s="79">
        <v>1</v>
      </c>
      <c r="E11" s="80">
        <v>11108</v>
      </c>
      <c r="F11" s="79">
        <v>10</v>
      </c>
    </row>
    <row r="12" spans="1:6" x14ac:dyDescent="0.25">
      <c r="A12" s="79">
        <v>10009</v>
      </c>
      <c r="B12" s="79">
        <v>1</v>
      </c>
      <c r="C12" s="79">
        <v>1</v>
      </c>
      <c r="D12" s="79">
        <v>1</v>
      </c>
      <c r="E12" s="80">
        <v>11109</v>
      </c>
      <c r="F12" s="79">
        <v>10</v>
      </c>
    </row>
    <row r="13" spans="1:6" x14ac:dyDescent="0.25">
      <c r="A13" s="79">
        <v>10010</v>
      </c>
      <c r="B13" s="79">
        <v>1</v>
      </c>
      <c r="C13" s="79">
        <v>1</v>
      </c>
      <c r="D13" s="79">
        <v>1</v>
      </c>
      <c r="E13" s="80">
        <v>11110</v>
      </c>
      <c r="F13" s="79">
        <v>10</v>
      </c>
    </row>
    <row r="14" spans="1:6" x14ac:dyDescent="0.25">
      <c r="A14" s="79">
        <v>10011</v>
      </c>
      <c r="B14" s="79">
        <v>1</v>
      </c>
      <c r="C14" s="79">
        <v>1</v>
      </c>
      <c r="D14" s="79">
        <v>1</v>
      </c>
      <c r="E14" s="80">
        <v>11111</v>
      </c>
      <c r="F14" s="79">
        <v>10</v>
      </c>
    </row>
    <row r="15" spans="1:6" x14ac:dyDescent="0.25">
      <c r="A15" s="79">
        <v>10012</v>
      </c>
      <c r="B15" s="79">
        <v>1</v>
      </c>
      <c r="C15" s="79">
        <v>1</v>
      </c>
      <c r="D15" s="79">
        <v>1</v>
      </c>
      <c r="E15" s="80">
        <v>11112</v>
      </c>
      <c r="F15" s="79">
        <v>10</v>
      </c>
    </row>
    <row r="16" spans="1:6" x14ac:dyDescent="0.25">
      <c r="A16" s="79">
        <v>10013</v>
      </c>
      <c r="B16" s="79">
        <v>1</v>
      </c>
      <c r="C16" s="79">
        <v>1</v>
      </c>
      <c r="D16" s="79">
        <v>1</v>
      </c>
      <c r="E16" s="80">
        <v>11113</v>
      </c>
      <c r="F16" s="79">
        <v>10</v>
      </c>
    </row>
    <row r="17" spans="1:6" x14ac:dyDescent="0.25">
      <c r="A17" s="79">
        <v>10014</v>
      </c>
      <c r="B17" s="79">
        <v>1</v>
      </c>
      <c r="C17" s="79">
        <v>1</v>
      </c>
      <c r="D17" s="79">
        <v>1</v>
      </c>
      <c r="E17" s="80">
        <v>11114</v>
      </c>
      <c r="F17" s="79">
        <v>10</v>
      </c>
    </row>
    <row r="18" spans="1:6" x14ac:dyDescent="0.25">
      <c r="A18" s="79">
        <v>10015</v>
      </c>
      <c r="B18" s="79">
        <v>1</v>
      </c>
      <c r="C18" s="79">
        <v>1</v>
      </c>
      <c r="D18" s="79">
        <v>1</v>
      </c>
      <c r="E18" s="80">
        <v>11115</v>
      </c>
      <c r="F18" s="79">
        <v>10</v>
      </c>
    </row>
    <row r="19" spans="1:6" x14ac:dyDescent="0.25">
      <c r="A19" s="79">
        <v>10016</v>
      </c>
      <c r="B19" s="79">
        <v>1</v>
      </c>
      <c r="C19" s="79">
        <v>1</v>
      </c>
      <c r="D19" s="79">
        <v>1</v>
      </c>
      <c r="E19" s="80">
        <v>11116</v>
      </c>
      <c r="F19" s="79">
        <v>10</v>
      </c>
    </row>
    <row r="20" spans="1:6" x14ac:dyDescent="0.25">
      <c r="A20" s="79">
        <v>10017</v>
      </c>
      <c r="B20" s="79">
        <v>1</v>
      </c>
      <c r="C20" s="79">
        <v>1</v>
      </c>
      <c r="D20" s="79">
        <v>1</v>
      </c>
      <c r="E20" s="80">
        <v>11117</v>
      </c>
      <c r="F20" s="79">
        <v>10</v>
      </c>
    </row>
    <row r="21" spans="1:6" x14ac:dyDescent="0.25">
      <c r="A21" s="79">
        <v>10018</v>
      </c>
      <c r="B21" s="79">
        <v>1</v>
      </c>
      <c r="C21" s="79">
        <v>1</v>
      </c>
      <c r="D21" s="79">
        <v>1</v>
      </c>
      <c r="E21" s="80">
        <v>11118</v>
      </c>
      <c r="F21" s="79">
        <v>10</v>
      </c>
    </row>
    <row r="22" spans="1:6" x14ac:dyDescent="0.25">
      <c r="A22" s="79">
        <v>10019</v>
      </c>
      <c r="B22" s="79">
        <v>1</v>
      </c>
      <c r="C22" s="79">
        <v>1</v>
      </c>
      <c r="D22" s="79">
        <v>1</v>
      </c>
      <c r="E22" s="80">
        <v>11119</v>
      </c>
      <c r="F22" s="79">
        <v>10</v>
      </c>
    </row>
    <row r="23" spans="1:6" x14ac:dyDescent="0.25">
      <c r="A23" s="79">
        <v>10020</v>
      </c>
      <c r="B23" s="79">
        <v>1</v>
      </c>
      <c r="C23" s="79">
        <v>1</v>
      </c>
      <c r="D23" s="79">
        <v>1</v>
      </c>
      <c r="E23" s="80">
        <v>11120</v>
      </c>
      <c r="F23" s="79">
        <v>10</v>
      </c>
    </row>
    <row r="24" spans="1:6" x14ac:dyDescent="0.25">
      <c r="A24" s="79">
        <v>10021</v>
      </c>
      <c r="B24" s="79">
        <v>1</v>
      </c>
      <c r="C24" s="79">
        <v>1</v>
      </c>
      <c r="D24" s="79">
        <v>1</v>
      </c>
      <c r="E24" s="80">
        <v>11121</v>
      </c>
      <c r="F24" s="79">
        <v>0</v>
      </c>
    </row>
    <row r="25" spans="1:6" x14ac:dyDescent="0.25">
      <c r="A25" s="79">
        <v>10022</v>
      </c>
      <c r="B25" s="79">
        <v>1</v>
      </c>
      <c r="C25" s="79">
        <v>1</v>
      </c>
      <c r="D25" s="79">
        <v>1</v>
      </c>
      <c r="E25" s="80">
        <v>11122</v>
      </c>
      <c r="F25" s="79">
        <v>0</v>
      </c>
    </row>
    <row r="26" spans="1:6" x14ac:dyDescent="0.25">
      <c r="A26" s="79">
        <v>10023</v>
      </c>
      <c r="B26" s="79">
        <v>1</v>
      </c>
      <c r="C26" s="79">
        <v>1</v>
      </c>
      <c r="D26" s="79">
        <v>1</v>
      </c>
      <c r="E26" s="80">
        <v>11123</v>
      </c>
      <c r="F26" s="79">
        <v>0</v>
      </c>
    </row>
    <row r="27" spans="1:6" x14ac:dyDescent="0.25">
      <c r="A27" s="79">
        <v>10024</v>
      </c>
      <c r="B27" s="79">
        <v>1</v>
      </c>
      <c r="C27" s="79">
        <v>1</v>
      </c>
      <c r="D27" s="79">
        <v>1</v>
      </c>
      <c r="E27" s="80">
        <v>11124</v>
      </c>
      <c r="F27" s="79">
        <v>0</v>
      </c>
    </row>
    <row r="28" spans="1:6" x14ac:dyDescent="0.25">
      <c r="A28" s="79">
        <v>10025</v>
      </c>
      <c r="B28" s="79">
        <v>1</v>
      </c>
      <c r="C28" s="79">
        <v>1</v>
      </c>
      <c r="D28" s="79">
        <v>1</v>
      </c>
      <c r="E28" s="80">
        <v>11125</v>
      </c>
      <c r="F28" s="79">
        <v>0</v>
      </c>
    </row>
    <row r="29" spans="1:6" x14ac:dyDescent="0.25">
      <c r="A29" s="79">
        <v>10026</v>
      </c>
      <c r="B29" s="79">
        <v>1</v>
      </c>
      <c r="C29" s="79">
        <v>1</v>
      </c>
      <c r="D29" s="79">
        <v>2</v>
      </c>
      <c r="E29" s="80">
        <v>11201</v>
      </c>
      <c r="F29" s="79">
        <v>10</v>
      </c>
    </row>
    <row r="30" spans="1:6" x14ac:dyDescent="0.25">
      <c r="A30" s="79">
        <v>10027</v>
      </c>
      <c r="B30" s="79">
        <v>1</v>
      </c>
      <c r="C30" s="79">
        <v>1</v>
      </c>
      <c r="D30" s="79">
        <v>2</v>
      </c>
      <c r="E30" s="80">
        <v>11202</v>
      </c>
      <c r="F30" s="79">
        <v>10</v>
      </c>
    </row>
    <row r="31" spans="1:6" x14ac:dyDescent="0.25">
      <c r="A31" s="79">
        <v>10028</v>
      </c>
      <c r="B31" s="79">
        <v>1</v>
      </c>
      <c r="C31" s="79">
        <v>1</v>
      </c>
      <c r="D31" s="79">
        <v>2</v>
      </c>
      <c r="E31" s="80">
        <v>11203</v>
      </c>
      <c r="F31" s="79">
        <v>10</v>
      </c>
    </row>
    <row r="32" spans="1:6" x14ac:dyDescent="0.25">
      <c r="A32" s="79">
        <v>10029</v>
      </c>
      <c r="B32" s="79">
        <v>1</v>
      </c>
      <c r="C32" s="79">
        <v>1</v>
      </c>
      <c r="D32" s="79">
        <v>2</v>
      </c>
      <c r="E32" s="80">
        <v>11204</v>
      </c>
      <c r="F32" s="79">
        <v>10</v>
      </c>
    </row>
    <row r="33" spans="1:6" x14ac:dyDescent="0.25">
      <c r="A33" s="79">
        <v>10030</v>
      </c>
      <c r="B33" s="79">
        <v>1</v>
      </c>
      <c r="C33" s="79">
        <v>1</v>
      </c>
      <c r="D33" s="79">
        <v>2</v>
      </c>
      <c r="E33" s="80">
        <v>11205</v>
      </c>
      <c r="F33" s="79">
        <v>10</v>
      </c>
    </row>
    <row r="34" spans="1:6" x14ac:dyDescent="0.25">
      <c r="A34" s="79">
        <v>10031</v>
      </c>
      <c r="B34" s="79">
        <v>1</v>
      </c>
      <c r="C34" s="79">
        <v>1</v>
      </c>
      <c r="D34" s="79">
        <v>2</v>
      </c>
      <c r="E34" s="80">
        <v>11206</v>
      </c>
      <c r="F34" s="79">
        <v>10</v>
      </c>
    </row>
    <row r="35" spans="1:6" x14ac:dyDescent="0.25">
      <c r="A35" s="79">
        <v>10032</v>
      </c>
      <c r="B35" s="79">
        <v>1</v>
      </c>
      <c r="C35" s="79">
        <v>1</v>
      </c>
      <c r="D35" s="79">
        <v>2</v>
      </c>
      <c r="E35" s="80">
        <v>11207</v>
      </c>
      <c r="F35" s="79">
        <v>10</v>
      </c>
    </row>
    <row r="36" spans="1:6" x14ac:dyDescent="0.25">
      <c r="A36" s="79">
        <v>10033</v>
      </c>
      <c r="B36" s="79">
        <v>1</v>
      </c>
      <c r="C36" s="79">
        <v>1</v>
      </c>
      <c r="D36" s="79">
        <v>2</v>
      </c>
      <c r="E36" s="80">
        <v>11208</v>
      </c>
      <c r="F36" s="79">
        <v>10</v>
      </c>
    </row>
    <row r="37" spans="1:6" x14ac:dyDescent="0.25">
      <c r="A37" s="79">
        <v>10034</v>
      </c>
      <c r="B37" s="79">
        <v>1</v>
      </c>
      <c r="C37" s="79">
        <v>1</v>
      </c>
      <c r="D37" s="79">
        <v>2</v>
      </c>
      <c r="E37" s="80">
        <v>11209</v>
      </c>
      <c r="F37" s="79">
        <v>10</v>
      </c>
    </row>
    <row r="38" spans="1:6" x14ac:dyDescent="0.25">
      <c r="A38" s="79">
        <v>10035</v>
      </c>
      <c r="B38" s="79">
        <v>1</v>
      </c>
      <c r="C38" s="79">
        <v>1</v>
      </c>
      <c r="D38" s="79">
        <v>2</v>
      </c>
      <c r="E38" s="80">
        <v>11210</v>
      </c>
      <c r="F38" s="79">
        <v>10</v>
      </c>
    </row>
    <row r="39" spans="1:6" x14ac:dyDescent="0.25">
      <c r="A39" s="79">
        <v>10036</v>
      </c>
      <c r="B39" s="79">
        <v>1</v>
      </c>
      <c r="C39" s="79">
        <v>1</v>
      </c>
      <c r="D39" s="79">
        <v>2</v>
      </c>
      <c r="E39" s="80">
        <v>11211</v>
      </c>
      <c r="F39" s="79">
        <v>10</v>
      </c>
    </row>
    <row r="40" spans="1:6" x14ac:dyDescent="0.25">
      <c r="A40" s="79">
        <v>10037</v>
      </c>
      <c r="B40" s="79">
        <v>1</v>
      </c>
      <c r="C40" s="79">
        <v>1</v>
      </c>
      <c r="D40" s="79">
        <v>2</v>
      </c>
      <c r="E40" s="80">
        <v>11212</v>
      </c>
      <c r="F40" s="79">
        <v>10</v>
      </c>
    </row>
    <row r="41" spans="1:6" x14ac:dyDescent="0.25">
      <c r="A41" s="79">
        <v>10038</v>
      </c>
      <c r="B41" s="79">
        <v>1</v>
      </c>
      <c r="C41" s="79">
        <v>1</v>
      </c>
      <c r="D41" s="79">
        <v>2</v>
      </c>
      <c r="E41" s="80">
        <v>11213</v>
      </c>
      <c r="F41" s="79">
        <v>10</v>
      </c>
    </row>
    <row r="42" spans="1:6" x14ac:dyDescent="0.25">
      <c r="A42" s="79">
        <v>10039</v>
      </c>
      <c r="B42" s="79">
        <v>1</v>
      </c>
      <c r="C42" s="79">
        <v>1</v>
      </c>
      <c r="D42" s="79">
        <v>2</v>
      </c>
      <c r="E42" s="80">
        <v>11214</v>
      </c>
      <c r="F42" s="79">
        <v>10</v>
      </c>
    </row>
    <row r="43" spans="1:6" x14ac:dyDescent="0.25">
      <c r="A43" s="79">
        <v>10040</v>
      </c>
      <c r="B43" s="79">
        <v>1</v>
      </c>
      <c r="C43" s="79">
        <v>1</v>
      </c>
      <c r="D43" s="79">
        <v>2</v>
      </c>
      <c r="E43" s="80">
        <v>11215</v>
      </c>
      <c r="F43" s="79">
        <v>10</v>
      </c>
    </row>
    <row r="44" spans="1:6" x14ac:dyDescent="0.25">
      <c r="A44" s="79">
        <v>10041</v>
      </c>
      <c r="B44" s="79">
        <v>1</v>
      </c>
      <c r="C44" s="79">
        <v>1</v>
      </c>
      <c r="D44" s="79">
        <v>2</v>
      </c>
      <c r="E44" s="80">
        <v>11216</v>
      </c>
      <c r="F44" s="79">
        <v>10</v>
      </c>
    </row>
    <row r="45" spans="1:6" x14ac:dyDescent="0.25">
      <c r="A45" s="79">
        <v>10042</v>
      </c>
      <c r="B45" s="79">
        <v>1</v>
      </c>
      <c r="C45" s="79">
        <v>1</v>
      </c>
      <c r="D45" s="79">
        <v>2</v>
      </c>
      <c r="E45" s="80">
        <v>11217</v>
      </c>
      <c r="F45" s="79">
        <v>10</v>
      </c>
    </row>
    <row r="46" spans="1:6" x14ac:dyDescent="0.25">
      <c r="A46" s="79">
        <v>10043</v>
      </c>
      <c r="B46" s="79">
        <v>1</v>
      </c>
      <c r="C46" s="79">
        <v>1</v>
      </c>
      <c r="D46" s="79">
        <v>2</v>
      </c>
      <c r="E46" s="80">
        <v>11218</v>
      </c>
      <c r="F46" s="79">
        <v>10</v>
      </c>
    </row>
    <row r="47" spans="1:6" x14ac:dyDescent="0.25">
      <c r="A47" s="79">
        <v>10044</v>
      </c>
      <c r="B47" s="79">
        <v>1</v>
      </c>
      <c r="C47" s="79">
        <v>1</v>
      </c>
      <c r="D47" s="79">
        <v>2</v>
      </c>
      <c r="E47" s="80">
        <v>11219</v>
      </c>
      <c r="F47" s="79">
        <v>10</v>
      </c>
    </row>
    <row r="48" spans="1:6" x14ac:dyDescent="0.25">
      <c r="A48" s="79">
        <v>10045</v>
      </c>
      <c r="B48" s="79">
        <v>1</v>
      </c>
      <c r="C48" s="79">
        <v>1</v>
      </c>
      <c r="D48" s="79">
        <v>2</v>
      </c>
      <c r="E48" s="80">
        <v>11220</v>
      </c>
      <c r="F48" s="79">
        <v>10</v>
      </c>
    </row>
    <row r="49" spans="1:6" x14ac:dyDescent="0.25">
      <c r="A49" s="79">
        <v>10046</v>
      </c>
      <c r="B49" s="79">
        <v>1</v>
      </c>
      <c r="C49" s="79">
        <v>1</v>
      </c>
      <c r="D49" s="79">
        <v>2</v>
      </c>
      <c r="E49" s="80">
        <v>11221</v>
      </c>
      <c r="F49" s="79">
        <v>0</v>
      </c>
    </row>
    <row r="50" spans="1:6" x14ac:dyDescent="0.25">
      <c r="A50" s="79">
        <v>10047</v>
      </c>
      <c r="B50" s="79">
        <v>1</v>
      </c>
      <c r="C50" s="79">
        <v>1</v>
      </c>
      <c r="D50" s="79">
        <v>2</v>
      </c>
      <c r="E50" s="80">
        <v>11222</v>
      </c>
      <c r="F50" s="79">
        <v>0</v>
      </c>
    </row>
    <row r="51" spans="1:6" x14ac:dyDescent="0.25">
      <c r="A51" s="79">
        <v>10048</v>
      </c>
      <c r="B51" s="79">
        <v>1</v>
      </c>
      <c r="C51" s="79">
        <v>1</v>
      </c>
      <c r="D51" s="79">
        <v>2</v>
      </c>
      <c r="E51" s="80">
        <v>11223</v>
      </c>
      <c r="F51" s="79">
        <v>0</v>
      </c>
    </row>
    <row r="52" spans="1:6" x14ac:dyDescent="0.25">
      <c r="A52" s="79">
        <v>10049</v>
      </c>
      <c r="B52" s="79">
        <v>1</v>
      </c>
      <c r="C52" s="79">
        <v>1</v>
      </c>
      <c r="D52" s="79">
        <v>2</v>
      </c>
      <c r="E52" s="80">
        <v>11224</v>
      </c>
      <c r="F52" s="79">
        <v>0</v>
      </c>
    </row>
    <row r="53" spans="1:6" x14ac:dyDescent="0.25">
      <c r="A53" s="79">
        <v>10050</v>
      </c>
      <c r="B53" s="79">
        <v>1</v>
      </c>
      <c r="C53" s="79">
        <v>1</v>
      </c>
      <c r="D53" s="79">
        <v>2</v>
      </c>
      <c r="E53" s="80">
        <v>11225</v>
      </c>
      <c r="F53" s="79">
        <v>0</v>
      </c>
    </row>
    <row r="54" spans="1:6" x14ac:dyDescent="0.25">
      <c r="A54" s="79">
        <v>10051</v>
      </c>
      <c r="B54" s="79">
        <v>1</v>
      </c>
      <c r="C54" s="79">
        <v>1</v>
      </c>
      <c r="D54" s="79">
        <v>3</v>
      </c>
      <c r="E54" s="80">
        <v>11301</v>
      </c>
      <c r="F54" s="79">
        <v>10</v>
      </c>
    </row>
    <row r="55" spans="1:6" x14ac:dyDescent="0.25">
      <c r="A55" s="79">
        <v>10052</v>
      </c>
      <c r="B55" s="79">
        <v>1</v>
      </c>
      <c r="C55" s="79">
        <v>1</v>
      </c>
      <c r="D55" s="79">
        <v>3</v>
      </c>
      <c r="E55" s="80">
        <v>11302</v>
      </c>
      <c r="F55" s="79">
        <v>10</v>
      </c>
    </row>
    <row r="56" spans="1:6" x14ac:dyDescent="0.25">
      <c r="A56" s="79">
        <v>10053</v>
      </c>
      <c r="B56" s="79">
        <v>1</v>
      </c>
      <c r="C56" s="79">
        <v>1</v>
      </c>
      <c r="D56" s="79">
        <v>3</v>
      </c>
      <c r="E56" s="80">
        <v>11303</v>
      </c>
      <c r="F56" s="79">
        <v>10</v>
      </c>
    </row>
    <row r="57" spans="1:6" x14ac:dyDescent="0.25">
      <c r="A57" s="79">
        <v>10054</v>
      </c>
      <c r="B57" s="79">
        <v>1</v>
      </c>
      <c r="C57" s="79">
        <v>1</v>
      </c>
      <c r="D57" s="79">
        <v>3</v>
      </c>
      <c r="E57" s="80">
        <v>11304</v>
      </c>
      <c r="F57" s="79">
        <v>10</v>
      </c>
    </row>
    <row r="58" spans="1:6" x14ac:dyDescent="0.25">
      <c r="A58" s="79">
        <v>10055</v>
      </c>
      <c r="B58" s="79">
        <v>1</v>
      </c>
      <c r="C58" s="79">
        <v>1</v>
      </c>
      <c r="D58" s="79">
        <v>3</v>
      </c>
      <c r="E58" s="80">
        <v>11305</v>
      </c>
      <c r="F58" s="79">
        <v>10</v>
      </c>
    </row>
    <row r="59" spans="1:6" x14ac:dyDescent="0.25">
      <c r="A59" s="79">
        <v>10056</v>
      </c>
      <c r="B59" s="79">
        <v>1</v>
      </c>
      <c r="C59" s="79">
        <v>1</v>
      </c>
      <c r="D59" s="79">
        <v>3</v>
      </c>
      <c r="E59" s="80">
        <v>11306</v>
      </c>
      <c r="F59" s="79">
        <v>10</v>
      </c>
    </row>
    <row r="60" spans="1:6" x14ac:dyDescent="0.25">
      <c r="A60" s="79">
        <v>10057</v>
      </c>
      <c r="B60" s="79">
        <v>1</v>
      </c>
      <c r="C60" s="79">
        <v>1</v>
      </c>
      <c r="D60" s="79">
        <v>3</v>
      </c>
      <c r="E60" s="80">
        <v>11307</v>
      </c>
      <c r="F60" s="79">
        <v>10</v>
      </c>
    </row>
    <row r="61" spans="1:6" x14ac:dyDescent="0.25">
      <c r="A61" s="79">
        <v>10058</v>
      </c>
      <c r="B61" s="79">
        <v>1</v>
      </c>
      <c r="C61" s="79">
        <v>1</v>
      </c>
      <c r="D61" s="79">
        <v>3</v>
      </c>
      <c r="E61" s="80">
        <v>11308</v>
      </c>
      <c r="F61" s="79">
        <v>10</v>
      </c>
    </row>
    <row r="62" spans="1:6" x14ac:dyDescent="0.25">
      <c r="A62" s="79">
        <v>10059</v>
      </c>
      <c r="B62" s="79">
        <v>1</v>
      </c>
      <c r="C62" s="79">
        <v>1</v>
      </c>
      <c r="D62" s="79">
        <v>3</v>
      </c>
      <c r="E62" s="80">
        <v>11309</v>
      </c>
      <c r="F62" s="79">
        <v>10</v>
      </c>
    </row>
    <row r="63" spans="1:6" x14ac:dyDescent="0.25">
      <c r="A63" s="79">
        <v>10060</v>
      </c>
      <c r="B63" s="79">
        <v>1</v>
      </c>
      <c r="C63" s="79">
        <v>1</v>
      </c>
      <c r="D63" s="79">
        <v>3</v>
      </c>
      <c r="E63" s="80">
        <v>11310</v>
      </c>
      <c r="F63" s="79">
        <v>10</v>
      </c>
    </row>
    <row r="64" spans="1:6" x14ac:dyDescent="0.25">
      <c r="A64" s="79">
        <v>10061</v>
      </c>
      <c r="B64" s="79">
        <v>1</v>
      </c>
      <c r="C64" s="79">
        <v>1</v>
      </c>
      <c r="D64" s="79">
        <v>3</v>
      </c>
      <c r="E64" s="80">
        <v>11311</v>
      </c>
      <c r="F64" s="79">
        <v>10</v>
      </c>
    </row>
    <row r="65" spans="1:6" x14ac:dyDescent="0.25">
      <c r="A65" s="79">
        <v>10062</v>
      </c>
      <c r="B65" s="79">
        <v>1</v>
      </c>
      <c r="C65" s="79">
        <v>1</v>
      </c>
      <c r="D65" s="79">
        <v>3</v>
      </c>
      <c r="E65" s="80">
        <v>11312</v>
      </c>
      <c r="F65" s="79">
        <v>10</v>
      </c>
    </row>
    <row r="66" spans="1:6" x14ac:dyDescent="0.25">
      <c r="A66" s="79">
        <v>10063</v>
      </c>
      <c r="B66" s="79">
        <v>1</v>
      </c>
      <c r="C66" s="79">
        <v>1</v>
      </c>
      <c r="D66" s="79">
        <v>3</v>
      </c>
      <c r="E66" s="80">
        <v>11313</v>
      </c>
      <c r="F66" s="79">
        <v>10</v>
      </c>
    </row>
    <row r="67" spans="1:6" x14ac:dyDescent="0.25">
      <c r="A67" s="79">
        <v>10064</v>
      </c>
      <c r="B67" s="79">
        <v>1</v>
      </c>
      <c r="C67" s="79">
        <v>1</v>
      </c>
      <c r="D67" s="79">
        <v>3</v>
      </c>
      <c r="E67" s="80">
        <v>11314</v>
      </c>
      <c r="F67" s="79">
        <v>10</v>
      </c>
    </row>
    <row r="68" spans="1:6" x14ac:dyDescent="0.25">
      <c r="A68" s="79">
        <v>10065</v>
      </c>
      <c r="B68" s="79">
        <v>1</v>
      </c>
      <c r="C68" s="79">
        <v>1</v>
      </c>
      <c r="D68" s="79">
        <v>3</v>
      </c>
      <c r="E68" s="80">
        <v>11315</v>
      </c>
      <c r="F68" s="79">
        <v>10</v>
      </c>
    </row>
    <row r="69" spans="1:6" x14ac:dyDescent="0.25">
      <c r="A69" s="79">
        <v>10066</v>
      </c>
      <c r="B69" s="79">
        <v>1</v>
      </c>
      <c r="C69" s="79">
        <v>1</v>
      </c>
      <c r="D69" s="79">
        <v>3</v>
      </c>
      <c r="E69" s="80">
        <v>11316</v>
      </c>
      <c r="F69" s="79">
        <v>10</v>
      </c>
    </row>
    <row r="70" spans="1:6" x14ac:dyDescent="0.25">
      <c r="A70" s="79">
        <v>10067</v>
      </c>
      <c r="B70" s="79">
        <v>1</v>
      </c>
      <c r="C70" s="79">
        <v>1</v>
      </c>
      <c r="D70" s="79">
        <v>3</v>
      </c>
      <c r="E70" s="80">
        <v>11317</v>
      </c>
      <c r="F70" s="79">
        <v>10</v>
      </c>
    </row>
    <row r="71" spans="1:6" x14ac:dyDescent="0.25">
      <c r="A71" s="79">
        <v>10068</v>
      </c>
      <c r="B71" s="79">
        <v>1</v>
      </c>
      <c r="C71" s="79">
        <v>1</v>
      </c>
      <c r="D71" s="79">
        <v>3</v>
      </c>
      <c r="E71" s="80">
        <v>11318</v>
      </c>
      <c r="F71" s="79">
        <v>10</v>
      </c>
    </row>
    <row r="72" spans="1:6" x14ac:dyDescent="0.25">
      <c r="A72" s="79">
        <v>10069</v>
      </c>
      <c r="B72" s="79">
        <v>1</v>
      </c>
      <c r="C72" s="79">
        <v>1</v>
      </c>
      <c r="D72" s="79">
        <v>3</v>
      </c>
      <c r="E72" s="80">
        <v>11319</v>
      </c>
      <c r="F72" s="79">
        <v>10</v>
      </c>
    </row>
    <row r="73" spans="1:6" x14ac:dyDescent="0.25">
      <c r="A73" s="79">
        <v>10070</v>
      </c>
      <c r="B73" s="79">
        <v>1</v>
      </c>
      <c r="C73" s="79">
        <v>1</v>
      </c>
      <c r="D73" s="79">
        <v>3</v>
      </c>
      <c r="E73" s="80">
        <v>11320</v>
      </c>
      <c r="F73" s="79">
        <v>10</v>
      </c>
    </row>
    <row r="74" spans="1:6" x14ac:dyDescent="0.25">
      <c r="A74" s="79">
        <v>10071</v>
      </c>
      <c r="B74" s="79">
        <v>1</v>
      </c>
      <c r="C74" s="79">
        <v>1</v>
      </c>
      <c r="D74" s="79">
        <v>3</v>
      </c>
      <c r="E74" s="80">
        <v>11321</v>
      </c>
      <c r="F74" s="79">
        <v>0</v>
      </c>
    </row>
    <row r="75" spans="1:6" x14ac:dyDescent="0.25">
      <c r="A75" s="79">
        <v>10072</v>
      </c>
      <c r="B75" s="79">
        <v>1</v>
      </c>
      <c r="C75" s="79">
        <v>1</v>
      </c>
      <c r="D75" s="79">
        <v>3</v>
      </c>
      <c r="E75" s="80">
        <v>11322</v>
      </c>
      <c r="F75" s="79">
        <v>0</v>
      </c>
    </row>
    <row r="76" spans="1:6" x14ac:dyDescent="0.25">
      <c r="A76" s="79">
        <v>10073</v>
      </c>
      <c r="B76" s="79">
        <v>1</v>
      </c>
      <c r="C76" s="79">
        <v>1</v>
      </c>
      <c r="D76" s="79">
        <v>3</v>
      </c>
      <c r="E76" s="80">
        <v>11323</v>
      </c>
      <c r="F76" s="79">
        <v>0</v>
      </c>
    </row>
    <row r="77" spans="1:6" x14ac:dyDescent="0.25">
      <c r="A77" s="79">
        <v>10074</v>
      </c>
      <c r="B77" s="79">
        <v>1</v>
      </c>
      <c r="C77" s="79">
        <v>1</v>
      </c>
      <c r="D77" s="79">
        <v>3</v>
      </c>
      <c r="E77" s="80">
        <v>11324</v>
      </c>
      <c r="F77" s="79">
        <v>0</v>
      </c>
    </row>
    <row r="78" spans="1:6" x14ac:dyDescent="0.25">
      <c r="A78" s="79">
        <v>10075</v>
      </c>
      <c r="B78" s="79">
        <v>1</v>
      </c>
      <c r="C78" s="79">
        <v>1</v>
      </c>
      <c r="D78" s="79">
        <v>3</v>
      </c>
      <c r="E78" s="80">
        <v>11325</v>
      </c>
      <c r="F78" s="79">
        <v>0</v>
      </c>
    </row>
    <row r="79" spans="1:6" x14ac:dyDescent="0.25">
      <c r="A79" s="79">
        <v>10076</v>
      </c>
      <c r="B79" s="79">
        <v>2</v>
      </c>
      <c r="C79" s="79">
        <v>1</v>
      </c>
      <c r="D79" s="79">
        <v>1</v>
      </c>
      <c r="E79" s="80">
        <v>11101</v>
      </c>
      <c r="F79" s="79">
        <v>10</v>
      </c>
    </row>
    <row r="80" spans="1:6" x14ac:dyDescent="0.25">
      <c r="A80" s="79">
        <v>10077</v>
      </c>
      <c r="B80" s="79">
        <v>2</v>
      </c>
      <c r="C80" s="79">
        <v>1</v>
      </c>
      <c r="D80" s="79">
        <v>1</v>
      </c>
      <c r="E80" s="80">
        <v>11102</v>
      </c>
      <c r="F80" s="79">
        <v>10</v>
      </c>
    </row>
    <row r="81" spans="1:6" x14ac:dyDescent="0.25">
      <c r="A81" s="79">
        <v>10078</v>
      </c>
      <c r="B81" s="79">
        <v>2</v>
      </c>
      <c r="C81" s="79">
        <v>1</v>
      </c>
      <c r="D81" s="79">
        <v>1</v>
      </c>
      <c r="E81" s="80">
        <v>11103</v>
      </c>
      <c r="F81" s="79">
        <v>10</v>
      </c>
    </row>
    <row r="82" spans="1:6" x14ac:dyDescent="0.25">
      <c r="A82" s="79">
        <v>10079</v>
      </c>
      <c r="B82" s="79">
        <v>2</v>
      </c>
      <c r="C82" s="79">
        <v>1</v>
      </c>
      <c r="D82" s="79">
        <v>1</v>
      </c>
      <c r="E82" s="80">
        <v>11104</v>
      </c>
      <c r="F82" s="79">
        <v>10</v>
      </c>
    </row>
    <row r="83" spans="1:6" x14ac:dyDescent="0.25">
      <c r="A83" s="79">
        <v>10080</v>
      </c>
      <c r="B83" s="79">
        <v>2</v>
      </c>
      <c r="C83" s="79">
        <v>1</v>
      </c>
      <c r="D83" s="79">
        <v>1</v>
      </c>
      <c r="E83" s="80">
        <v>11105</v>
      </c>
      <c r="F83" s="79">
        <v>10</v>
      </c>
    </row>
    <row r="84" spans="1:6" x14ac:dyDescent="0.25">
      <c r="A84" s="79">
        <v>10081</v>
      </c>
      <c r="B84" s="79">
        <v>2</v>
      </c>
      <c r="C84" s="79">
        <v>1</v>
      </c>
      <c r="D84" s="79">
        <v>1</v>
      </c>
      <c r="E84" s="80">
        <v>11106</v>
      </c>
      <c r="F84" s="79">
        <v>10</v>
      </c>
    </row>
    <row r="85" spans="1:6" x14ac:dyDescent="0.25">
      <c r="A85" s="79">
        <v>10082</v>
      </c>
      <c r="B85" s="79">
        <v>2</v>
      </c>
      <c r="C85" s="79">
        <v>1</v>
      </c>
      <c r="D85" s="79">
        <v>1</v>
      </c>
      <c r="E85" s="80">
        <v>11107</v>
      </c>
      <c r="F85" s="79">
        <v>10</v>
      </c>
    </row>
    <row r="86" spans="1:6" x14ac:dyDescent="0.25">
      <c r="A86" s="79">
        <v>10083</v>
      </c>
      <c r="B86" s="79">
        <v>2</v>
      </c>
      <c r="C86" s="79">
        <v>1</v>
      </c>
      <c r="D86" s="79">
        <v>1</v>
      </c>
      <c r="E86" s="80">
        <v>11108</v>
      </c>
      <c r="F86" s="79">
        <v>10</v>
      </c>
    </row>
    <row r="87" spans="1:6" x14ac:dyDescent="0.25">
      <c r="A87" s="79">
        <v>10084</v>
      </c>
      <c r="B87" s="79">
        <v>2</v>
      </c>
      <c r="C87" s="79">
        <v>1</v>
      </c>
      <c r="D87" s="79">
        <v>1</v>
      </c>
      <c r="E87" s="80">
        <v>11109</v>
      </c>
      <c r="F87" s="79">
        <v>10</v>
      </c>
    </row>
    <row r="88" spans="1:6" x14ac:dyDescent="0.25">
      <c r="A88" s="79">
        <v>10085</v>
      </c>
      <c r="B88" s="77">
        <v>2</v>
      </c>
      <c r="C88" s="77">
        <v>1</v>
      </c>
      <c r="D88" s="79">
        <v>1</v>
      </c>
      <c r="E88" s="77">
        <v>11110</v>
      </c>
      <c r="F88" s="77">
        <v>10</v>
      </c>
    </row>
    <row r="89" spans="1:6" x14ac:dyDescent="0.25">
      <c r="A89" s="79">
        <v>10086</v>
      </c>
      <c r="B89" s="77">
        <v>2</v>
      </c>
      <c r="C89" s="77">
        <v>1</v>
      </c>
      <c r="D89" s="79">
        <v>1</v>
      </c>
      <c r="E89" s="77">
        <v>11111</v>
      </c>
      <c r="F89" s="77">
        <v>10</v>
      </c>
    </row>
    <row r="90" spans="1:6" x14ac:dyDescent="0.25">
      <c r="A90" s="79">
        <v>10087</v>
      </c>
      <c r="B90" s="77">
        <v>2</v>
      </c>
      <c r="C90" s="77">
        <v>1</v>
      </c>
      <c r="D90" s="79">
        <v>1</v>
      </c>
      <c r="E90" s="77">
        <v>11112</v>
      </c>
      <c r="F90" s="77">
        <v>10</v>
      </c>
    </row>
    <row r="91" spans="1:6" x14ac:dyDescent="0.25">
      <c r="A91" s="79">
        <v>10088</v>
      </c>
      <c r="B91" s="77">
        <v>2</v>
      </c>
      <c r="C91" s="77">
        <v>1</v>
      </c>
      <c r="D91" s="79">
        <v>1</v>
      </c>
      <c r="E91" s="77">
        <v>11113</v>
      </c>
      <c r="F91" s="77">
        <v>10</v>
      </c>
    </row>
    <row r="92" spans="1:6" x14ac:dyDescent="0.25">
      <c r="A92" s="79">
        <v>10089</v>
      </c>
      <c r="B92" s="77">
        <v>2</v>
      </c>
      <c r="C92" s="77">
        <v>1</v>
      </c>
      <c r="D92" s="79">
        <v>1</v>
      </c>
      <c r="E92" s="77">
        <v>11114</v>
      </c>
      <c r="F92" s="77">
        <v>10</v>
      </c>
    </row>
    <row r="93" spans="1:6" x14ac:dyDescent="0.25">
      <c r="A93" s="79">
        <v>10090</v>
      </c>
      <c r="B93" s="77">
        <v>2</v>
      </c>
      <c r="C93" s="77">
        <v>1</v>
      </c>
      <c r="D93" s="79">
        <v>1</v>
      </c>
      <c r="E93" s="77">
        <v>11115</v>
      </c>
      <c r="F93" s="77">
        <v>10</v>
      </c>
    </row>
    <row r="94" spans="1:6" x14ac:dyDescent="0.25">
      <c r="A94" s="79">
        <v>10091</v>
      </c>
      <c r="B94" s="77">
        <v>2</v>
      </c>
      <c r="C94" s="77">
        <v>1</v>
      </c>
      <c r="D94" s="79">
        <v>1</v>
      </c>
      <c r="E94" s="77">
        <v>11116</v>
      </c>
      <c r="F94" s="77">
        <v>10</v>
      </c>
    </row>
    <row r="95" spans="1:6" x14ac:dyDescent="0.25">
      <c r="A95" s="79">
        <v>10092</v>
      </c>
      <c r="B95" s="77">
        <v>2</v>
      </c>
      <c r="C95" s="77">
        <v>1</v>
      </c>
      <c r="D95" s="79">
        <v>1</v>
      </c>
      <c r="E95" s="77">
        <v>11117</v>
      </c>
      <c r="F95" s="77">
        <v>10</v>
      </c>
    </row>
    <row r="96" spans="1:6" x14ac:dyDescent="0.25">
      <c r="A96" s="79">
        <v>10093</v>
      </c>
      <c r="B96" s="77">
        <v>2</v>
      </c>
      <c r="C96" s="77">
        <v>1</v>
      </c>
      <c r="D96" s="79">
        <v>1</v>
      </c>
      <c r="E96" s="77">
        <v>11118</v>
      </c>
      <c r="F96" s="77">
        <v>10</v>
      </c>
    </row>
    <row r="97" spans="1:6" x14ac:dyDescent="0.25">
      <c r="A97" s="79">
        <v>10094</v>
      </c>
      <c r="B97" s="77">
        <v>2</v>
      </c>
      <c r="C97" s="77">
        <v>1</v>
      </c>
      <c r="D97" s="79">
        <v>1</v>
      </c>
      <c r="E97" s="77">
        <v>11119</v>
      </c>
      <c r="F97" s="77">
        <v>10</v>
      </c>
    </row>
    <row r="98" spans="1:6" x14ac:dyDescent="0.25">
      <c r="A98" s="79">
        <v>10095</v>
      </c>
      <c r="B98" s="77">
        <v>2</v>
      </c>
      <c r="C98" s="77">
        <v>1</v>
      </c>
      <c r="D98" s="79">
        <v>1</v>
      </c>
      <c r="E98" s="77">
        <v>11120</v>
      </c>
      <c r="F98" s="77">
        <v>10</v>
      </c>
    </row>
    <row r="99" spans="1:6" x14ac:dyDescent="0.25">
      <c r="A99" s="79">
        <v>10096</v>
      </c>
      <c r="B99" s="77">
        <v>2</v>
      </c>
      <c r="C99" s="77">
        <v>1</v>
      </c>
      <c r="D99" s="79">
        <v>1</v>
      </c>
      <c r="E99" s="77">
        <v>11121</v>
      </c>
      <c r="F99" s="77">
        <v>0</v>
      </c>
    </row>
    <row r="100" spans="1:6" x14ac:dyDescent="0.25">
      <c r="A100" s="79">
        <v>10097</v>
      </c>
      <c r="B100" s="77">
        <v>2</v>
      </c>
      <c r="C100" s="77">
        <v>1</v>
      </c>
      <c r="D100" s="79">
        <v>1</v>
      </c>
      <c r="E100" s="77">
        <v>11122</v>
      </c>
      <c r="F100" s="77">
        <v>0</v>
      </c>
    </row>
    <row r="101" spans="1:6" x14ac:dyDescent="0.25">
      <c r="A101" s="79">
        <v>10098</v>
      </c>
      <c r="B101" s="77">
        <v>2</v>
      </c>
      <c r="C101" s="77">
        <v>1</v>
      </c>
      <c r="D101" s="79">
        <v>1</v>
      </c>
      <c r="E101" s="77">
        <v>11123</v>
      </c>
      <c r="F101" s="77">
        <v>0</v>
      </c>
    </row>
    <row r="102" spans="1:6" x14ac:dyDescent="0.25">
      <c r="A102" s="79">
        <v>10099</v>
      </c>
      <c r="B102" s="77">
        <v>2</v>
      </c>
      <c r="C102" s="77">
        <v>1</v>
      </c>
      <c r="D102" s="79">
        <v>1</v>
      </c>
      <c r="E102" s="77">
        <v>11124</v>
      </c>
      <c r="F102" s="77">
        <v>0</v>
      </c>
    </row>
    <row r="103" spans="1:6" x14ac:dyDescent="0.25">
      <c r="A103" s="79">
        <v>10100</v>
      </c>
      <c r="B103" s="77">
        <v>2</v>
      </c>
      <c r="C103" s="77">
        <v>1</v>
      </c>
      <c r="D103" s="79">
        <v>1</v>
      </c>
      <c r="E103" s="77">
        <v>11125</v>
      </c>
      <c r="F103" s="77">
        <v>0</v>
      </c>
    </row>
    <row r="104" spans="1:6" x14ac:dyDescent="0.25">
      <c r="A104" s="79">
        <v>10101</v>
      </c>
      <c r="B104" s="77">
        <v>2</v>
      </c>
      <c r="C104" s="77">
        <v>1</v>
      </c>
      <c r="D104" s="79">
        <v>2</v>
      </c>
      <c r="E104" s="77">
        <v>11201</v>
      </c>
      <c r="F104" s="77">
        <v>10</v>
      </c>
    </row>
    <row r="105" spans="1:6" x14ac:dyDescent="0.25">
      <c r="A105" s="79">
        <v>10102</v>
      </c>
      <c r="B105" s="77">
        <v>2</v>
      </c>
      <c r="C105" s="77">
        <v>1</v>
      </c>
      <c r="D105" s="79">
        <v>2</v>
      </c>
      <c r="E105" s="77">
        <v>11202</v>
      </c>
      <c r="F105" s="77">
        <v>10</v>
      </c>
    </row>
    <row r="106" spans="1:6" x14ac:dyDescent="0.25">
      <c r="A106" s="79">
        <v>10103</v>
      </c>
      <c r="B106" s="77">
        <v>2</v>
      </c>
      <c r="C106" s="77">
        <v>1</v>
      </c>
      <c r="D106" s="79">
        <v>2</v>
      </c>
      <c r="E106" s="77">
        <v>11203</v>
      </c>
      <c r="F106" s="77">
        <v>10</v>
      </c>
    </row>
    <row r="107" spans="1:6" x14ac:dyDescent="0.25">
      <c r="A107" s="79">
        <v>10104</v>
      </c>
      <c r="B107" s="77">
        <v>2</v>
      </c>
      <c r="C107" s="77">
        <v>1</v>
      </c>
      <c r="D107" s="79">
        <v>2</v>
      </c>
      <c r="E107" s="77">
        <v>11204</v>
      </c>
      <c r="F107" s="77">
        <v>10</v>
      </c>
    </row>
    <row r="108" spans="1:6" x14ac:dyDescent="0.25">
      <c r="A108" s="79">
        <v>10105</v>
      </c>
      <c r="B108" s="77">
        <v>2</v>
      </c>
      <c r="C108" s="77">
        <v>1</v>
      </c>
      <c r="D108" s="79">
        <v>2</v>
      </c>
      <c r="E108" s="77">
        <v>11205</v>
      </c>
      <c r="F108" s="77">
        <v>10</v>
      </c>
    </row>
    <row r="109" spans="1:6" x14ac:dyDescent="0.25">
      <c r="A109" s="79">
        <v>10106</v>
      </c>
      <c r="B109" s="77">
        <v>2</v>
      </c>
      <c r="C109" s="77">
        <v>1</v>
      </c>
      <c r="D109" s="79">
        <v>2</v>
      </c>
      <c r="E109" s="77">
        <v>11206</v>
      </c>
      <c r="F109" s="77">
        <v>10</v>
      </c>
    </row>
    <row r="110" spans="1:6" x14ac:dyDescent="0.25">
      <c r="A110" s="79">
        <v>10107</v>
      </c>
      <c r="B110" s="77">
        <v>2</v>
      </c>
      <c r="C110" s="77">
        <v>1</v>
      </c>
      <c r="D110" s="79">
        <v>2</v>
      </c>
      <c r="E110" s="77">
        <v>11207</v>
      </c>
      <c r="F110" s="77">
        <v>10</v>
      </c>
    </row>
    <row r="111" spans="1:6" x14ac:dyDescent="0.25">
      <c r="A111" s="79">
        <v>10108</v>
      </c>
      <c r="B111" s="77">
        <v>2</v>
      </c>
      <c r="C111" s="77">
        <v>1</v>
      </c>
      <c r="D111" s="79">
        <v>2</v>
      </c>
      <c r="E111" s="77">
        <v>11208</v>
      </c>
      <c r="F111" s="77">
        <v>10</v>
      </c>
    </row>
    <row r="112" spans="1:6" x14ac:dyDescent="0.25">
      <c r="A112" s="79">
        <v>10109</v>
      </c>
      <c r="B112" s="77">
        <v>2</v>
      </c>
      <c r="C112" s="77">
        <v>1</v>
      </c>
      <c r="D112" s="79">
        <v>2</v>
      </c>
      <c r="E112" s="77">
        <v>11209</v>
      </c>
      <c r="F112" s="77">
        <v>10</v>
      </c>
    </row>
    <row r="113" spans="1:6" x14ac:dyDescent="0.25">
      <c r="A113" s="79">
        <v>10110</v>
      </c>
      <c r="B113" s="77">
        <v>2</v>
      </c>
      <c r="C113" s="77">
        <v>1</v>
      </c>
      <c r="D113" s="79">
        <v>2</v>
      </c>
      <c r="E113" s="77">
        <v>11210</v>
      </c>
      <c r="F113" s="77">
        <v>10</v>
      </c>
    </row>
    <row r="114" spans="1:6" x14ac:dyDescent="0.25">
      <c r="A114" s="79">
        <v>10111</v>
      </c>
      <c r="B114" s="77">
        <v>2</v>
      </c>
      <c r="C114" s="77">
        <v>1</v>
      </c>
      <c r="D114" s="79">
        <v>2</v>
      </c>
      <c r="E114" s="77">
        <v>11211</v>
      </c>
      <c r="F114" s="77">
        <v>10</v>
      </c>
    </row>
    <row r="115" spans="1:6" x14ac:dyDescent="0.25">
      <c r="A115" s="79">
        <v>10112</v>
      </c>
      <c r="B115" s="77">
        <v>2</v>
      </c>
      <c r="C115" s="77">
        <v>1</v>
      </c>
      <c r="D115" s="79">
        <v>2</v>
      </c>
      <c r="E115" s="77">
        <v>11212</v>
      </c>
      <c r="F115" s="77">
        <v>10</v>
      </c>
    </row>
    <row r="116" spans="1:6" x14ac:dyDescent="0.25">
      <c r="A116" s="79">
        <v>10113</v>
      </c>
      <c r="B116" s="77">
        <v>2</v>
      </c>
      <c r="C116" s="77">
        <v>1</v>
      </c>
      <c r="D116" s="79">
        <v>2</v>
      </c>
      <c r="E116" s="77">
        <v>11213</v>
      </c>
      <c r="F116" s="77">
        <v>10</v>
      </c>
    </row>
    <row r="117" spans="1:6" x14ac:dyDescent="0.25">
      <c r="A117" s="79">
        <v>10114</v>
      </c>
      <c r="B117" s="77">
        <v>2</v>
      </c>
      <c r="C117" s="77">
        <v>1</v>
      </c>
      <c r="D117" s="79">
        <v>2</v>
      </c>
      <c r="E117" s="77">
        <v>11214</v>
      </c>
      <c r="F117" s="77">
        <v>10</v>
      </c>
    </row>
    <row r="118" spans="1:6" x14ac:dyDescent="0.25">
      <c r="A118" s="79">
        <v>10115</v>
      </c>
      <c r="B118" s="77">
        <v>2</v>
      </c>
      <c r="C118" s="77">
        <v>1</v>
      </c>
      <c r="D118" s="79">
        <v>2</v>
      </c>
      <c r="E118" s="77">
        <v>11215</v>
      </c>
      <c r="F118" s="77">
        <v>10</v>
      </c>
    </row>
    <row r="119" spans="1:6" x14ac:dyDescent="0.25">
      <c r="A119" s="79">
        <v>10116</v>
      </c>
      <c r="B119" s="77">
        <v>2</v>
      </c>
      <c r="C119" s="77">
        <v>1</v>
      </c>
      <c r="D119" s="79">
        <v>2</v>
      </c>
      <c r="E119" s="77">
        <v>11216</v>
      </c>
      <c r="F119" s="77">
        <v>10</v>
      </c>
    </row>
    <row r="120" spans="1:6" x14ac:dyDescent="0.25">
      <c r="A120" s="79">
        <v>10117</v>
      </c>
      <c r="B120" s="77">
        <v>2</v>
      </c>
      <c r="C120" s="77">
        <v>1</v>
      </c>
      <c r="D120" s="79">
        <v>2</v>
      </c>
      <c r="E120" s="77">
        <v>11217</v>
      </c>
      <c r="F120" s="77">
        <v>10</v>
      </c>
    </row>
    <row r="121" spans="1:6" x14ac:dyDescent="0.25">
      <c r="A121" s="79">
        <v>10118</v>
      </c>
      <c r="B121" s="77">
        <v>2</v>
      </c>
      <c r="C121" s="77">
        <v>1</v>
      </c>
      <c r="D121" s="79">
        <v>2</v>
      </c>
      <c r="E121" s="77">
        <v>11218</v>
      </c>
      <c r="F121" s="77">
        <v>10</v>
      </c>
    </row>
    <row r="122" spans="1:6" x14ac:dyDescent="0.25">
      <c r="A122" s="79">
        <v>10119</v>
      </c>
      <c r="B122" s="77">
        <v>2</v>
      </c>
      <c r="C122" s="77">
        <v>1</v>
      </c>
      <c r="D122" s="79">
        <v>2</v>
      </c>
      <c r="E122" s="77">
        <v>11219</v>
      </c>
      <c r="F122" s="77">
        <v>10</v>
      </c>
    </row>
    <row r="123" spans="1:6" x14ac:dyDescent="0.25">
      <c r="A123" s="79">
        <v>10120</v>
      </c>
      <c r="B123" s="77">
        <v>2</v>
      </c>
      <c r="C123" s="77">
        <v>1</v>
      </c>
      <c r="D123" s="79">
        <v>2</v>
      </c>
      <c r="E123" s="77">
        <v>11220</v>
      </c>
      <c r="F123" s="77">
        <v>10</v>
      </c>
    </row>
    <row r="124" spans="1:6" x14ac:dyDescent="0.25">
      <c r="A124" s="79">
        <v>10121</v>
      </c>
      <c r="B124" s="77">
        <v>2</v>
      </c>
      <c r="C124" s="77">
        <v>1</v>
      </c>
      <c r="D124" s="79">
        <v>2</v>
      </c>
      <c r="E124" s="77">
        <v>11221</v>
      </c>
      <c r="F124" s="77">
        <v>0</v>
      </c>
    </row>
    <row r="125" spans="1:6" x14ac:dyDescent="0.25">
      <c r="A125" s="79">
        <v>10122</v>
      </c>
      <c r="B125" s="77">
        <v>2</v>
      </c>
      <c r="C125" s="77">
        <v>1</v>
      </c>
      <c r="D125" s="79">
        <v>2</v>
      </c>
      <c r="E125" s="77">
        <v>11222</v>
      </c>
      <c r="F125" s="77">
        <v>0</v>
      </c>
    </row>
    <row r="126" spans="1:6" x14ac:dyDescent="0.25">
      <c r="A126" s="79">
        <v>10123</v>
      </c>
      <c r="B126" s="77">
        <v>2</v>
      </c>
      <c r="C126" s="77">
        <v>1</v>
      </c>
      <c r="D126" s="79">
        <v>2</v>
      </c>
      <c r="E126" s="77">
        <v>11223</v>
      </c>
      <c r="F126" s="77">
        <v>0</v>
      </c>
    </row>
    <row r="127" spans="1:6" x14ac:dyDescent="0.25">
      <c r="A127" s="79">
        <v>10124</v>
      </c>
      <c r="B127" s="77">
        <v>2</v>
      </c>
      <c r="C127" s="77">
        <v>1</v>
      </c>
      <c r="D127" s="79">
        <v>2</v>
      </c>
      <c r="E127" s="77">
        <v>11224</v>
      </c>
      <c r="F127" s="77">
        <v>0</v>
      </c>
    </row>
    <row r="128" spans="1:6" x14ac:dyDescent="0.25">
      <c r="A128" s="79">
        <v>10125</v>
      </c>
      <c r="B128" s="77">
        <v>2</v>
      </c>
      <c r="C128" s="77">
        <v>1</v>
      </c>
      <c r="D128" s="79">
        <v>2</v>
      </c>
      <c r="E128" s="77">
        <v>11225</v>
      </c>
      <c r="F128" s="77">
        <v>0</v>
      </c>
    </row>
    <row r="129" spans="1:6" x14ac:dyDescent="0.25">
      <c r="A129" s="79">
        <v>10126</v>
      </c>
      <c r="B129" s="77">
        <v>2</v>
      </c>
      <c r="C129" s="77">
        <v>1</v>
      </c>
      <c r="D129" s="79">
        <v>3</v>
      </c>
      <c r="E129" s="77">
        <v>11301</v>
      </c>
      <c r="F129" s="77">
        <v>10</v>
      </c>
    </row>
    <row r="130" spans="1:6" x14ac:dyDescent="0.25">
      <c r="A130" s="79">
        <v>10127</v>
      </c>
      <c r="B130" s="77">
        <v>2</v>
      </c>
      <c r="C130" s="77">
        <v>1</v>
      </c>
      <c r="D130" s="79">
        <v>3</v>
      </c>
      <c r="E130" s="77">
        <v>11302</v>
      </c>
      <c r="F130" s="77">
        <v>10</v>
      </c>
    </row>
    <row r="131" spans="1:6" x14ac:dyDescent="0.25">
      <c r="A131" s="79">
        <v>10128</v>
      </c>
      <c r="B131" s="77">
        <v>2</v>
      </c>
      <c r="C131" s="77">
        <v>1</v>
      </c>
      <c r="D131" s="79">
        <v>3</v>
      </c>
      <c r="E131" s="77">
        <v>11303</v>
      </c>
      <c r="F131" s="77">
        <v>10</v>
      </c>
    </row>
    <row r="132" spans="1:6" x14ac:dyDescent="0.25">
      <c r="A132" s="79">
        <v>10129</v>
      </c>
      <c r="B132" s="77">
        <v>2</v>
      </c>
      <c r="C132" s="77">
        <v>1</v>
      </c>
      <c r="D132" s="79">
        <v>3</v>
      </c>
      <c r="E132" s="77">
        <v>11304</v>
      </c>
      <c r="F132" s="77">
        <v>10</v>
      </c>
    </row>
    <row r="133" spans="1:6" x14ac:dyDescent="0.25">
      <c r="A133" s="79">
        <v>10130</v>
      </c>
      <c r="B133" s="77">
        <v>2</v>
      </c>
      <c r="C133" s="77">
        <v>1</v>
      </c>
      <c r="D133" s="79">
        <v>3</v>
      </c>
      <c r="E133" s="77">
        <v>11305</v>
      </c>
      <c r="F133" s="77">
        <v>10</v>
      </c>
    </row>
    <row r="134" spans="1:6" x14ac:dyDescent="0.25">
      <c r="A134" s="79">
        <v>10131</v>
      </c>
      <c r="B134" s="77">
        <v>2</v>
      </c>
      <c r="C134" s="77">
        <v>1</v>
      </c>
      <c r="D134" s="79">
        <v>3</v>
      </c>
      <c r="E134" s="77">
        <v>11306</v>
      </c>
      <c r="F134" s="77">
        <v>10</v>
      </c>
    </row>
    <row r="135" spans="1:6" x14ac:dyDescent="0.25">
      <c r="A135" s="79">
        <v>10132</v>
      </c>
      <c r="B135" s="77">
        <v>2</v>
      </c>
      <c r="C135" s="77">
        <v>1</v>
      </c>
      <c r="D135" s="79">
        <v>3</v>
      </c>
      <c r="E135" s="77">
        <v>11307</v>
      </c>
      <c r="F135" s="77">
        <v>10</v>
      </c>
    </row>
    <row r="136" spans="1:6" x14ac:dyDescent="0.25">
      <c r="A136" s="79">
        <v>10133</v>
      </c>
      <c r="B136" s="77">
        <v>2</v>
      </c>
      <c r="C136" s="77">
        <v>1</v>
      </c>
      <c r="D136" s="79">
        <v>3</v>
      </c>
      <c r="E136" s="77">
        <v>11308</v>
      </c>
      <c r="F136" s="77">
        <v>10</v>
      </c>
    </row>
    <row r="137" spans="1:6" x14ac:dyDescent="0.25">
      <c r="A137" s="79">
        <v>10134</v>
      </c>
      <c r="B137" s="77">
        <v>2</v>
      </c>
      <c r="C137" s="77">
        <v>1</v>
      </c>
      <c r="D137" s="79">
        <v>3</v>
      </c>
      <c r="E137" s="77">
        <v>11309</v>
      </c>
      <c r="F137" s="77">
        <v>10</v>
      </c>
    </row>
    <row r="138" spans="1:6" x14ac:dyDescent="0.25">
      <c r="A138" s="79">
        <v>10135</v>
      </c>
      <c r="B138" s="77">
        <v>2</v>
      </c>
      <c r="C138" s="77">
        <v>1</v>
      </c>
      <c r="D138" s="79">
        <v>3</v>
      </c>
      <c r="E138" s="77">
        <v>11310</v>
      </c>
      <c r="F138" s="77">
        <v>10</v>
      </c>
    </row>
    <row r="139" spans="1:6" x14ac:dyDescent="0.25">
      <c r="A139" s="79">
        <v>10136</v>
      </c>
      <c r="B139" s="77">
        <v>2</v>
      </c>
      <c r="C139" s="77">
        <v>1</v>
      </c>
      <c r="D139" s="79">
        <v>3</v>
      </c>
      <c r="E139" s="77">
        <v>11311</v>
      </c>
      <c r="F139" s="77">
        <v>10</v>
      </c>
    </row>
    <row r="140" spans="1:6" x14ac:dyDescent="0.25">
      <c r="A140" s="79">
        <v>10137</v>
      </c>
      <c r="B140" s="77">
        <v>2</v>
      </c>
      <c r="C140" s="77">
        <v>1</v>
      </c>
      <c r="D140" s="79">
        <v>3</v>
      </c>
      <c r="E140" s="77">
        <v>11312</v>
      </c>
      <c r="F140" s="77">
        <v>10</v>
      </c>
    </row>
    <row r="141" spans="1:6" x14ac:dyDescent="0.25">
      <c r="A141" s="79">
        <v>10138</v>
      </c>
      <c r="B141" s="77">
        <v>2</v>
      </c>
      <c r="C141" s="77">
        <v>1</v>
      </c>
      <c r="D141" s="79">
        <v>3</v>
      </c>
      <c r="E141" s="77">
        <v>11313</v>
      </c>
      <c r="F141" s="77">
        <v>10</v>
      </c>
    </row>
    <row r="142" spans="1:6" x14ac:dyDescent="0.25">
      <c r="A142" s="79">
        <v>10139</v>
      </c>
      <c r="B142" s="77">
        <v>2</v>
      </c>
      <c r="C142" s="77">
        <v>1</v>
      </c>
      <c r="D142" s="79">
        <v>3</v>
      </c>
      <c r="E142" s="77">
        <v>11314</v>
      </c>
      <c r="F142" s="77">
        <v>10</v>
      </c>
    </row>
    <row r="143" spans="1:6" x14ac:dyDescent="0.25">
      <c r="A143" s="79">
        <v>10140</v>
      </c>
      <c r="B143" s="77">
        <v>2</v>
      </c>
      <c r="C143" s="77">
        <v>1</v>
      </c>
      <c r="D143" s="79">
        <v>3</v>
      </c>
      <c r="E143" s="77">
        <v>11315</v>
      </c>
      <c r="F143" s="77">
        <v>10</v>
      </c>
    </row>
    <row r="144" spans="1:6" x14ac:dyDescent="0.25">
      <c r="A144" s="79">
        <v>10141</v>
      </c>
      <c r="B144" s="77">
        <v>2</v>
      </c>
      <c r="C144" s="77">
        <v>1</v>
      </c>
      <c r="D144" s="79">
        <v>3</v>
      </c>
      <c r="E144" s="77">
        <v>11316</v>
      </c>
      <c r="F144" s="77">
        <v>10</v>
      </c>
    </row>
    <row r="145" spans="1:6" x14ac:dyDescent="0.25">
      <c r="A145" s="79">
        <v>10142</v>
      </c>
      <c r="B145" s="77">
        <v>2</v>
      </c>
      <c r="C145" s="77">
        <v>1</v>
      </c>
      <c r="D145" s="79">
        <v>3</v>
      </c>
      <c r="E145" s="77">
        <v>11317</v>
      </c>
      <c r="F145" s="77">
        <v>10</v>
      </c>
    </row>
    <row r="146" spans="1:6" x14ac:dyDescent="0.25">
      <c r="A146" s="79">
        <v>10143</v>
      </c>
      <c r="B146" s="77">
        <v>2</v>
      </c>
      <c r="C146" s="77">
        <v>1</v>
      </c>
      <c r="D146" s="79">
        <v>3</v>
      </c>
      <c r="E146" s="77">
        <v>11318</v>
      </c>
      <c r="F146" s="77">
        <v>10</v>
      </c>
    </row>
    <row r="147" spans="1:6" x14ac:dyDescent="0.25">
      <c r="A147" s="79">
        <v>10144</v>
      </c>
      <c r="B147" s="77">
        <v>2</v>
      </c>
      <c r="C147" s="77">
        <v>1</v>
      </c>
      <c r="D147" s="79">
        <v>3</v>
      </c>
      <c r="E147" s="77">
        <v>11319</v>
      </c>
      <c r="F147" s="77">
        <v>10</v>
      </c>
    </row>
    <row r="148" spans="1:6" x14ac:dyDescent="0.25">
      <c r="A148" s="79">
        <v>10145</v>
      </c>
      <c r="B148" s="77">
        <v>2</v>
      </c>
      <c r="C148" s="77">
        <v>1</v>
      </c>
      <c r="D148" s="79">
        <v>3</v>
      </c>
      <c r="E148" s="77">
        <v>11320</v>
      </c>
      <c r="F148" s="77">
        <v>10</v>
      </c>
    </row>
    <row r="149" spans="1:6" x14ac:dyDescent="0.25">
      <c r="A149" s="79">
        <v>10146</v>
      </c>
      <c r="B149" s="77">
        <v>2</v>
      </c>
      <c r="C149" s="77">
        <v>1</v>
      </c>
      <c r="D149" s="79">
        <v>3</v>
      </c>
      <c r="E149" s="77">
        <v>11321</v>
      </c>
      <c r="F149" s="77">
        <v>0</v>
      </c>
    </row>
    <row r="150" spans="1:6" x14ac:dyDescent="0.25">
      <c r="A150" s="79">
        <v>10147</v>
      </c>
      <c r="B150" s="77">
        <v>2</v>
      </c>
      <c r="C150" s="77">
        <v>1</v>
      </c>
      <c r="D150" s="79">
        <v>3</v>
      </c>
      <c r="E150" s="77">
        <v>11322</v>
      </c>
      <c r="F150" s="77">
        <v>0</v>
      </c>
    </row>
    <row r="151" spans="1:6" x14ac:dyDescent="0.25">
      <c r="A151" s="79">
        <v>10148</v>
      </c>
      <c r="B151" s="77">
        <v>2</v>
      </c>
      <c r="C151" s="77">
        <v>1</v>
      </c>
      <c r="D151" s="79">
        <v>3</v>
      </c>
      <c r="E151" s="77">
        <v>11323</v>
      </c>
      <c r="F151" s="77">
        <v>0</v>
      </c>
    </row>
    <row r="152" spans="1:6" x14ac:dyDescent="0.25">
      <c r="A152" s="79">
        <v>10149</v>
      </c>
      <c r="B152" s="77">
        <v>2</v>
      </c>
      <c r="C152" s="77">
        <v>1</v>
      </c>
      <c r="D152" s="79">
        <v>3</v>
      </c>
      <c r="E152" s="77">
        <v>11324</v>
      </c>
      <c r="F152" s="77">
        <v>0</v>
      </c>
    </row>
    <row r="153" spans="1:6" x14ac:dyDescent="0.25">
      <c r="A153" s="79">
        <v>10150</v>
      </c>
      <c r="B153" s="77">
        <v>2</v>
      </c>
      <c r="C153" s="77">
        <v>1</v>
      </c>
      <c r="D153" s="79">
        <v>3</v>
      </c>
      <c r="E153" s="77">
        <v>11325</v>
      </c>
      <c r="F153" s="77">
        <v>0</v>
      </c>
    </row>
    <row r="154" spans="1:6" x14ac:dyDescent="0.25">
      <c r="A154" s="79">
        <v>10151</v>
      </c>
      <c r="B154" s="77">
        <v>3</v>
      </c>
      <c r="C154" s="77">
        <v>1</v>
      </c>
      <c r="D154" s="79">
        <v>1</v>
      </c>
      <c r="E154" s="77">
        <v>11101</v>
      </c>
      <c r="F154" s="77">
        <v>0</v>
      </c>
    </row>
    <row r="155" spans="1:6" x14ac:dyDescent="0.25">
      <c r="A155" s="79">
        <v>10152</v>
      </c>
      <c r="B155" s="77">
        <v>3</v>
      </c>
      <c r="C155" s="77">
        <v>1</v>
      </c>
      <c r="D155" s="79">
        <v>1</v>
      </c>
      <c r="E155" s="77">
        <v>11102</v>
      </c>
      <c r="F155" s="77">
        <v>0</v>
      </c>
    </row>
    <row r="156" spans="1:6" x14ac:dyDescent="0.25">
      <c r="A156" s="79">
        <v>10153</v>
      </c>
      <c r="B156" s="77">
        <v>3</v>
      </c>
      <c r="C156" s="77">
        <v>1</v>
      </c>
      <c r="D156" s="79">
        <v>1</v>
      </c>
      <c r="E156" s="77">
        <v>11103</v>
      </c>
      <c r="F156" s="77">
        <v>0</v>
      </c>
    </row>
    <row r="157" spans="1:6" x14ac:dyDescent="0.25">
      <c r="A157" s="79">
        <v>10154</v>
      </c>
      <c r="B157" s="77">
        <v>3</v>
      </c>
      <c r="C157" s="77">
        <v>1</v>
      </c>
      <c r="D157" s="79">
        <v>1</v>
      </c>
      <c r="E157" s="77">
        <v>11104</v>
      </c>
      <c r="F157" s="77">
        <v>0</v>
      </c>
    </row>
    <row r="158" spans="1:6" x14ac:dyDescent="0.25">
      <c r="A158" s="79">
        <v>10155</v>
      </c>
      <c r="B158" s="77">
        <v>3</v>
      </c>
      <c r="C158" s="77">
        <v>1</v>
      </c>
      <c r="D158" s="79">
        <v>1</v>
      </c>
      <c r="E158" s="77">
        <v>11105</v>
      </c>
      <c r="F158" s="77">
        <v>0</v>
      </c>
    </row>
    <row r="159" spans="1:6" x14ac:dyDescent="0.25">
      <c r="A159" s="79">
        <v>10156</v>
      </c>
      <c r="B159" s="77">
        <v>3</v>
      </c>
      <c r="C159" s="77">
        <v>1</v>
      </c>
      <c r="D159" s="79">
        <v>1</v>
      </c>
      <c r="E159" s="77">
        <v>11106</v>
      </c>
      <c r="F159" s="77">
        <v>0</v>
      </c>
    </row>
    <row r="160" spans="1:6" x14ac:dyDescent="0.25">
      <c r="A160" s="79">
        <v>10157</v>
      </c>
      <c r="B160" s="77">
        <v>3</v>
      </c>
      <c r="C160" s="77">
        <v>1</v>
      </c>
      <c r="D160" s="79">
        <v>1</v>
      </c>
      <c r="E160" s="77">
        <v>11107</v>
      </c>
      <c r="F160" s="77">
        <v>0</v>
      </c>
    </row>
    <row r="161" spans="1:6" x14ac:dyDescent="0.25">
      <c r="A161" s="79">
        <v>10158</v>
      </c>
      <c r="B161" s="77">
        <v>3</v>
      </c>
      <c r="C161" s="77">
        <v>1</v>
      </c>
      <c r="D161" s="79">
        <v>1</v>
      </c>
      <c r="E161" s="77">
        <v>11108</v>
      </c>
      <c r="F161" s="77">
        <v>0</v>
      </c>
    </row>
    <row r="162" spans="1:6" x14ac:dyDescent="0.25">
      <c r="A162" s="79">
        <v>10159</v>
      </c>
      <c r="B162" s="77">
        <v>3</v>
      </c>
      <c r="C162" s="77">
        <v>1</v>
      </c>
      <c r="D162" s="79">
        <v>1</v>
      </c>
      <c r="E162" s="77">
        <v>11109</v>
      </c>
      <c r="F162" s="77">
        <v>0</v>
      </c>
    </row>
    <row r="163" spans="1:6" x14ac:dyDescent="0.25">
      <c r="A163" s="79">
        <v>10160</v>
      </c>
      <c r="B163" s="77">
        <v>3</v>
      </c>
      <c r="C163" s="77">
        <v>1</v>
      </c>
      <c r="D163" s="79">
        <v>1</v>
      </c>
      <c r="E163" s="77">
        <v>11110</v>
      </c>
      <c r="F163" s="77">
        <v>0</v>
      </c>
    </row>
    <row r="164" spans="1:6" x14ac:dyDescent="0.25">
      <c r="A164" s="79">
        <v>10161</v>
      </c>
      <c r="B164" s="77">
        <v>3</v>
      </c>
      <c r="C164" s="77">
        <v>1</v>
      </c>
      <c r="D164" s="79">
        <v>1</v>
      </c>
      <c r="E164" s="77">
        <v>11111</v>
      </c>
      <c r="F164" s="77">
        <v>10</v>
      </c>
    </row>
    <row r="165" spans="1:6" x14ac:dyDescent="0.25">
      <c r="A165" s="79">
        <v>10162</v>
      </c>
      <c r="B165" s="77">
        <v>3</v>
      </c>
      <c r="C165" s="77">
        <v>1</v>
      </c>
      <c r="D165" s="79">
        <v>1</v>
      </c>
      <c r="E165" s="77">
        <v>11112</v>
      </c>
      <c r="F165" s="77">
        <v>10</v>
      </c>
    </row>
    <row r="166" spans="1:6" x14ac:dyDescent="0.25">
      <c r="A166" s="79">
        <v>10163</v>
      </c>
      <c r="B166" s="77">
        <v>3</v>
      </c>
      <c r="C166" s="77">
        <v>1</v>
      </c>
      <c r="D166" s="79">
        <v>1</v>
      </c>
      <c r="E166" s="77">
        <v>11113</v>
      </c>
      <c r="F166" s="77">
        <v>10</v>
      </c>
    </row>
    <row r="167" spans="1:6" x14ac:dyDescent="0.25">
      <c r="A167" s="79">
        <v>10164</v>
      </c>
      <c r="B167" s="77">
        <v>3</v>
      </c>
      <c r="C167" s="77">
        <v>1</v>
      </c>
      <c r="D167" s="79">
        <v>1</v>
      </c>
      <c r="E167" s="77">
        <v>11114</v>
      </c>
      <c r="F167" s="77">
        <v>10</v>
      </c>
    </row>
    <row r="168" spans="1:6" x14ac:dyDescent="0.25">
      <c r="A168" s="79">
        <v>10165</v>
      </c>
      <c r="B168" s="77">
        <v>3</v>
      </c>
      <c r="C168" s="77">
        <v>1</v>
      </c>
      <c r="D168" s="79">
        <v>1</v>
      </c>
      <c r="E168" s="77">
        <v>11115</v>
      </c>
      <c r="F168" s="77">
        <v>10</v>
      </c>
    </row>
    <row r="169" spans="1:6" x14ac:dyDescent="0.25">
      <c r="A169" s="79">
        <v>10166</v>
      </c>
      <c r="B169" s="77">
        <v>3</v>
      </c>
      <c r="C169" s="77">
        <v>1</v>
      </c>
      <c r="D169" s="79">
        <v>1</v>
      </c>
      <c r="E169" s="77">
        <v>11116</v>
      </c>
      <c r="F169" s="77">
        <v>10</v>
      </c>
    </row>
    <row r="170" spans="1:6" x14ac:dyDescent="0.25">
      <c r="A170" s="79">
        <v>10167</v>
      </c>
      <c r="B170" s="77">
        <v>3</v>
      </c>
      <c r="C170" s="77">
        <v>1</v>
      </c>
      <c r="D170" s="79">
        <v>1</v>
      </c>
      <c r="E170" s="77">
        <v>11117</v>
      </c>
      <c r="F170" s="77">
        <v>10</v>
      </c>
    </row>
    <row r="171" spans="1:6" x14ac:dyDescent="0.25">
      <c r="A171" s="79">
        <v>10168</v>
      </c>
      <c r="B171" s="77">
        <v>3</v>
      </c>
      <c r="C171" s="77">
        <v>1</v>
      </c>
      <c r="D171" s="79">
        <v>1</v>
      </c>
      <c r="E171" s="77">
        <v>11118</v>
      </c>
      <c r="F171" s="77">
        <v>10</v>
      </c>
    </row>
    <row r="172" spans="1:6" x14ac:dyDescent="0.25">
      <c r="A172" s="79">
        <v>10169</v>
      </c>
      <c r="B172" s="77">
        <v>3</v>
      </c>
      <c r="C172" s="77">
        <v>1</v>
      </c>
      <c r="D172" s="79">
        <v>1</v>
      </c>
      <c r="E172" s="77">
        <v>11119</v>
      </c>
      <c r="F172" s="77">
        <v>10</v>
      </c>
    </row>
    <row r="173" spans="1:6" x14ac:dyDescent="0.25">
      <c r="A173" s="79">
        <v>10170</v>
      </c>
      <c r="B173" s="77">
        <v>3</v>
      </c>
      <c r="C173" s="77">
        <v>1</v>
      </c>
      <c r="D173" s="79">
        <v>1</v>
      </c>
      <c r="E173" s="77">
        <v>11120</v>
      </c>
      <c r="F173" s="77">
        <v>10</v>
      </c>
    </row>
    <row r="174" spans="1:6" x14ac:dyDescent="0.25">
      <c r="A174" s="79">
        <v>10171</v>
      </c>
      <c r="B174" s="77">
        <v>3</v>
      </c>
      <c r="C174" s="77">
        <v>1</v>
      </c>
      <c r="D174" s="79">
        <v>1</v>
      </c>
      <c r="E174" s="77">
        <v>11121</v>
      </c>
      <c r="F174" s="77">
        <v>10</v>
      </c>
    </row>
    <row r="175" spans="1:6" x14ac:dyDescent="0.25">
      <c r="A175" s="79">
        <v>10172</v>
      </c>
      <c r="B175" s="77">
        <v>3</v>
      </c>
      <c r="C175" s="77">
        <v>1</v>
      </c>
      <c r="D175" s="79">
        <v>1</v>
      </c>
      <c r="E175" s="77">
        <v>11122</v>
      </c>
      <c r="F175" s="77">
        <v>10</v>
      </c>
    </row>
    <row r="176" spans="1:6" x14ac:dyDescent="0.25">
      <c r="A176" s="79">
        <v>10173</v>
      </c>
      <c r="B176" s="77">
        <v>3</v>
      </c>
      <c r="C176" s="77">
        <v>1</v>
      </c>
      <c r="D176" s="79">
        <v>1</v>
      </c>
      <c r="E176" s="77">
        <v>11123</v>
      </c>
      <c r="F176" s="77">
        <v>10</v>
      </c>
    </row>
    <row r="177" spans="1:6" x14ac:dyDescent="0.25">
      <c r="A177" s="79">
        <v>10174</v>
      </c>
      <c r="B177" s="77">
        <v>3</v>
      </c>
      <c r="C177" s="77">
        <v>1</v>
      </c>
      <c r="D177" s="79">
        <v>1</v>
      </c>
      <c r="E177" s="77">
        <v>11124</v>
      </c>
      <c r="F177" s="77">
        <v>10</v>
      </c>
    </row>
    <row r="178" spans="1:6" x14ac:dyDescent="0.25">
      <c r="A178" s="79">
        <v>10175</v>
      </c>
      <c r="B178" s="77">
        <v>3</v>
      </c>
      <c r="C178" s="77">
        <v>1</v>
      </c>
      <c r="D178" s="79">
        <v>1</v>
      </c>
      <c r="E178" s="77">
        <v>11125</v>
      </c>
      <c r="F178" s="77">
        <v>10</v>
      </c>
    </row>
    <row r="179" spans="1:6" x14ac:dyDescent="0.25">
      <c r="A179" s="79">
        <v>10176</v>
      </c>
      <c r="B179" s="77">
        <v>3</v>
      </c>
      <c r="C179" s="77">
        <v>1</v>
      </c>
      <c r="D179" s="79">
        <v>2</v>
      </c>
      <c r="E179" s="77">
        <v>11201</v>
      </c>
      <c r="F179" s="77">
        <v>0</v>
      </c>
    </row>
    <row r="180" spans="1:6" x14ac:dyDescent="0.25">
      <c r="A180" s="79">
        <v>10177</v>
      </c>
      <c r="B180" s="77">
        <v>3</v>
      </c>
      <c r="C180" s="77">
        <v>1</v>
      </c>
      <c r="D180" s="79">
        <v>2</v>
      </c>
      <c r="E180" s="77">
        <v>11202</v>
      </c>
      <c r="F180" s="77">
        <v>0</v>
      </c>
    </row>
    <row r="181" spans="1:6" x14ac:dyDescent="0.25">
      <c r="A181" s="79">
        <v>10178</v>
      </c>
      <c r="B181" s="77">
        <v>3</v>
      </c>
      <c r="C181" s="77">
        <v>1</v>
      </c>
      <c r="D181" s="79">
        <v>2</v>
      </c>
      <c r="E181" s="77">
        <v>11203</v>
      </c>
      <c r="F181" s="77">
        <v>0</v>
      </c>
    </row>
    <row r="182" spans="1:6" x14ac:dyDescent="0.25">
      <c r="A182" s="79">
        <v>10179</v>
      </c>
      <c r="B182" s="77">
        <v>3</v>
      </c>
      <c r="C182" s="77">
        <v>1</v>
      </c>
      <c r="D182" s="79">
        <v>2</v>
      </c>
      <c r="E182" s="77">
        <v>11204</v>
      </c>
      <c r="F182" s="77">
        <v>0</v>
      </c>
    </row>
    <row r="183" spans="1:6" x14ac:dyDescent="0.25">
      <c r="A183" s="79">
        <v>10180</v>
      </c>
      <c r="B183" s="77">
        <v>3</v>
      </c>
      <c r="C183" s="77">
        <v>1</v>
      </c>
      <c r="D183" s="79">
        <v>2</v>
      </c>
      <c r="E183" s="77">
        <v>11205</v>
      </c>
      <c r="F183" s="77">
        <v>0</v>
      </c>
    </row>
    <row r="184" spans="1:6" x14ac:dyDescent="0.25">
      <c r="A184" s="79">
        <v>10181</v>
      </c>
      <c r="B184" s="77">
        <v>3</v>
      </c>
      <c r="C184" s="77">
        <v>1</v>
      </c>
      <c r="D184" s="79">
        <v>2</v>
      </c>
      <c r="E184" s="77">
        <v>11206</v>
      </c>
      <c r="F184" s="77">
        <v>0</v>
      </c>
    </row>
    <row r="185" spans="1:6" x14ac:dyDescent="0.25">
      <c r="A185" s="79">
        <v>10182</v>
      </c>
      <c r="B185" s="77">
        <v>3</v>
      </c>
      <c r="C185" s="77">
        <v>1</v>
      </c>
      <c r="D185" s="79">
        <v>2</v>
      </c>
      <c r="E185" s="77">
        <v>11207</v>
      </c>
      <c r="F185" s="77">
        <v>0</v>
      </c>
    </row>
    <row r="186" spans="1:6" x14ac:dyDescent="0.25">
      <c r="A186" s="79">
        <v>10183</v>
      </c>
      <c r="B186" s="77">
        <v>3</v>
      </c>
      <c r="C186" s="77">
        <v>1</v>
      </c>
      <c r="D186" s="79">
        <v>2</v>
      </c>
      <c r="E186" s="77">
        <v>11208</v>
      </c>
      <c r="F186" s="77">
        <v>0</v>
      </c>
    </row>
    <row r="187" spans="1:6" x14ac:dyDescent="0.25">
      <c r="A187" s="79">
        <v>10184</v>
      </c>
      <c r="B187" s="77">
        <v>3</v>
      </c>
      <c r="C187" s="77">
        <v>1</v>
      </c>
      <c r="D187" s="79">
        <v>2</v>
      </c>
      <c r="E187" s="77">
        <v>11209</v>
      </c>
      <c r="F187" s="77">
        <v>0</v>
      </c>
    </row>
    <row r="188" spans="1:6" x14ac:dyDescent="0.25">
      <c r="A188" s="79">
        <v>10185</v>
      </c>
      <c r="B188" s="77">
        <v>3</v>
      </c>
      <c r="C188" s="77">
        <v>1</v>
      </c>
      <c r="D188" s="79">
        <v>2</v>
      </c>
      <c r="E188" s="77">
        <v>11210</v>
      </c>
      <c r="F188" s="77">
        <v>0</v>
      </c>
    </row>
    <row r="189" spans="1:6" x14ac:dyDescent="0.25">
      <c r="A189" s="79">
        <v>10186</v>
      </c>
      <c r="B189" s="77">
        <v>3</v>
      </c>
      <c r="C189" s="77">
        <v>1</v>
      </c>
      <c r="D189" s="79">
        <v>2</v>
      </c>
      <c r="E189" s="77">
        <v>11211</v>
      </c>
      <c r="F189" s="77">
        <v>10</v>
      </c>
    </row>
    <row r="190" spans="1:6" x14ac:dyDescent="0.25">
      <c r="A190" s="79">
        <v>10187</v>
      </c>
      <c r="B190" s="77">
        <v>3</v>
      </c>
      <c r="C190" s="77">
        <v>1</v>
      </c>
      <c r="D190" s="79">
        <v>2</v>
      </c>
      <c r="E190" s="77">
        <v>11212</v>
      </c>
      <c r="F190" s="77">
        <v>10</v>
      </c>
    </row>
    <row r="191" spans="1:6" x14ac:dyDescent="0.25">
      <c r="A191" s="79">
        <v>10188</v>
      </c>
      <c r="B191" s="77">
        <v>3</v>
      </c>
      <c r="C191" s="77">
        <v>1</v>
      </c>
      <c r="D191" s="79">
        <v>2</v>
      </c>
      <c r="E191" s="77">
        <v>11213</v>
      </c>
      <c r="F191" s="77">
        <v>10</v>
      </c>
    </row>
    <row r="192" spans="1:6" x14ac:dyDescent="0.25">
      <c r="A192" s="79">
        <v>10189</v>
      </c>
      <c r="B192" s="77">
        <v>3</v>
      </c>
      <c r="C192" s="77">
        <v>1</v>
      </c>
      <c r="D192" s="79">
        <v>2</v>
      </c>
      <c r="E192" s="77">
        <v>11214</v>
      </c>
      <c r="F192" s="77">
        <v>10</v>
      </c>
    </row>
    <row r="193" spans="1:6" x14ac:dyDescent="0.25">
      <c r="A193" s="79">
        <v>10190</v>
      </c>
      <c r="B193" s="77">
        <v>3</v>
      </c>
      <c r="C193" s="77">
        <v>1</v>
      </c>
      <c r="D193" s="79">
        <v>2</v>
      </c>
      <c r="E193" s="77">
        <v>11215</v>
      </c>
      <c r="F193" s="77">
        <v>10</v>
      </c>
    </row>
    <row r="194" spans="1:6" x14ac:dyDescent="0.25">
      <c r="A194" s="79">
        <v>10191</v>
      </c>
      <c r="B194" s="77">
        <v>3</v>
      </c>
      <c r="C194" s="77">
        <v>1</v>
      </c>
      <c r="D194" s="79">
        <v>2</v>
      </c>
      <c r="E194" s="77">
        <v>11216</v>
      </c>
      <c r="F194" s="77">
        <v>10</v>
      </c>
    </row>
    <row r="195" spans="1:6" x14ac:dyDescent="0.25">
      <c r="A195" s="79">
        <v>10192</v>
      </c>
      <c r="B195" s="77">
        <v>3</v>
      </c>
      <c r="C195" s="77">
        <v>1</v>
      </c>
      <c r="D195" s="79">
        <v>2</v>
      </c>
      <c r="E195" s="77">
        <v>11217</v>
      </c>
      <c r="F195" s="77">
        <v>10</v>
      </c>
    </row>
    <row r="196" spans="1:6" x14ac:dyDescent="0.25">
      <c r="A196" s="79">
        <v>10193</v>
      </c>
      <c r="B196" s="77">
        <v>3</v>
      </c>
      <c r="C196" s="77">
        <v>1</v>
      </c>
      <c r="D196" s="79">
        <v>2</v>
      </c>
      <c r="E196" s="77">
        <v>11218</v>
      </c>
      <c r="F196" s="77">
        <v>10</v>
      </c>
    </row>
    <row r="197" spans="1:6" x14ac:dyDescent="0.25">
      <c r="A197" s="79">
        <v>10194</v>
      </c>
      <c r="B197" s="77">
        <v>3</v>
      </c>
      <c r="C197" s="77">
        <v>1</v>
      </c>
      <c r="D197" s="79">
        <v>2</v>
      </c>
      <c r="E197" s="77">
        <v>11219</v>
      </c>
      <c r="F197" s="77">
        <v>10</v>
      </c>
    </row>
    <row r="198" spans="1:6" x14ac:dyDescent="0.25">
      <c r="A198" s="79">
        <v>10195</v>
      </c>
      <c r="B198" s="77">
        <v>3</v>
      </c>
      <c r="C198" s="77">
        <v>1</v>
      </c>
      <c r="D198" s="79">
        <v>2</v>
      </c>
      <c r="E198" s="77">
        <v>11220</v>
      </c>
      <c r="F198" s="77">
        <v>10</v>
      </c>
    </row>
    <row r="199" spans="1:6" x14ac:dyDescent="0.25">
      <c r="A199" s="79">
        <v>10196</v>
      </c>
      <c r="B199" s="77">
        <v>3</v>
      </c>
      <c r="C199" s="77">
        <v>1</v>
      </c>
      <c r="D199" s="79">
        <v>2</v>
      </c>
      <c r="E199" s="77">
        <v>11221</v>
      </c>
      <c r="F199" s="77">
        <v>10</v>
      </c>
    </row>
    <row r="200" spans="1:6" x14ac:dyDescent="0.25">
      <c r="A200" s="79">
        <v>10197</v>
      </c>
      <c r="B200" s="77">
        <v>3</v>
      </c>
      <c r="C200" s="77">
        <v>1</v>
      </c>
      <c r="D200" s="79">
        <v>2</v>
      </c>
      <c r="E200" s="77">
        <v>11222</v>
      </c>
      <c r="F200" s="77">
        <v>10</v>
      </c>
    </row>
    <row r="201" spans="1:6" x14ac:dyDescent="0.25">
      <c r="A201" s="79">
        <v>10198</v>
      </c>
      <c r="B201" s="77">
        <v>3</v>
      </c>
      <c r="C201" s="77">
        <v>1</v>
      </c>
      <c r="D201" s="79">
        <v>2</v>
      </c>
      <c r="E201" s="77">
        <v>11223</v>
      </c>
      <c r="F201" s="77">
        <v>10</v>
      </c>
    </row>
    <row r="202" spans="1:6" x14ac:dyDescent="0.25">
      <c r="A202" s="79">
        <v>10199</v>
      </c>
      <c r="B202" s="77">
        <v>3</v>
      </c>
      <c r="C202" s="77">
        <v>1</v>
      </c>
      <c r="D202" s="79">
        <v>2</v>
      </c>
      <c r="E202" s="77">
        <v>11224</v>
      </c>
      <c r="F202" s="77">
        <v>10</v>
      </c>
    </row>
    <row r="203" spans="1:6" x14ac:dyDescent="0.25">
      <c r="A203" s="79">
        <v>10200</v>
      </c>
      <c r="B203" s="77">
        <v>3</v>
      </c>
      <c r="C203" s="77">
        <v>1</v>
      </c>
      <c r="D203" s="79">
        <v>2</v>
      </c>
      <c r="E203" s="77">
        <v>11225</v>
      </c>
      <c r="F203" s="77">
        <v>10</v>
      </c>
    </row>
    <row r="204" spans="1:6" x14ac:dyDescent="0.25">
      <c r="A204" s="79">
        <v>10201</v>
      </c>
      <c r="B204" s="77">
        <v>3</v>
      </c>
      <c r="C204" s="77">
        <v>1</v>
      </c>
      <c r="D204" s="79">
        <v>3</v>
      </c>
      <c r="E204" s="77">
        <v>11301</v>
      </c>
      <c r="F204" s="77">
        <v>0</v>
      </c>
    </row>
    <row r="205" spans="1:6" x14ac:dyDescent="0.25">
      <c r="A205" s="79">
        <v>10202</v>
      </c>
      <c r="B205" s="77">
        <v>3</v>
      </c>
      <c r="C205" s="77">
        <v>1</v>
      </c>
      <c r="D205" s="79">
        <v>3</v>
      </c>
      <c r="E205" s="77">
        <v>11302</v>
      </c>
      <c r="F205" s="77">
        <v>0</v>
      </c>
    </row>
    <row r="206" spans="1:6" x14ac:dyDescent="0.25">
      <c r="A206" s="79">
        <v>10203</v>
      </c>
      <c r="B206" s="77">
        <v>3</v>
      </c>
      <c r="C206" s="77">
        <v>1</v>
      </c>
      <c r="D206" s="79">
        <v>3</v>
      </c>
      <c r="E206" s="77">
        <v>11303</v>
      </c>
      <c r="F206" s="77">
        <v>0</v>
      </c>
    </row>
    <row r="207" spans="1:6" x14ac:dyDescent="0.25">
      <c r="A207" s="79">
        <v>10204</v>
      </c>
      <c r="B207" s="77">
        <v>3</v>
      </c>
      <c r="C207" s="77">
        <v>1</v>
      </c>
      <c r="D207" s="79">
        <v>3</v>
      </c>
      <c r="E207" s="77">
        <v>11304</v>
      </c>
      <c r="F207" s="77">
        <v>0</v>
      </c>
    </row>
    <row r="208" spans="1:6" x14ac:dyDescent="0.25">
      <c r="A208" s="79">
        <v>10205</v>
      </c>
      <c r="B208" s="77">
        <v>3</v>
      </c>
      <c r="C208" s="77">
        <v>1</v>
      </c>
      <c r="D208" s="79">
        <v>3</v>
      </c>
      <c r="E208" s="77">
        <v>11305</v>
      </c>
      <c r="F208" s="77">
        <v>0</v>
      </c>
    </row>
    <row r="209" spans="1:6" x14ac:dyDescent="0.25">
      <c r="A209" s="79">
        <v>10206</v>
      </c>
      <c r="B209" s="77">
        <v>3</v>
      </c>
      <c r="C209" s="77">
        <v>1</v>
      </c>
      <c r="D209" s="79">
        <v>3</v>
      </c>
      <c r="E209" s="77">
        <v>11306</v>
      </c>
      <c r="F209" s="77">
        <v>0</v>
      </c>
    </row>
    <row r="210" spans="1:6" x14ac:dyDescent="0.25">
      <c r="A210" s="79">
        <v>10207</v>
      </c>
      <c r="B210" s="77">
        <v>3</v>
      </c>
      <c r="C210" s="77">
        <v>1</v>
      </c>
      <c r="D210" s="79">
        <v>3</v>
      </c>
      <c r="E210" s="77">
        <v>11307</v>
      </c>
      <c r="F210" s="77">
        <v>0</v>
      </c>
    </row>
    <row r="211" spans="1:6" x14ac:dyDescent="0.25">
      <c r="A211" s="79">
        <v>10208</v>
      </c>
      <c r="B211" s="77">
        <v>3</v>
      </c>
      <c r="C211" s="77">
        <v>1</v>
      </c>
      <c r="D211" s="79">
        <v>3</v>
      </c>
      <c r="E211" s="77">
        <v>11308</v>
      </c>
      <c r="F211" s="77">
        <v>0</v>
      </c>
    </row>
    <row r="212" spans="1:6" x14ac:dyDescent="0.25">
      <c r="A212" s="79">
        <v>10209</v>
      </c>
      <c r="B212" s="77">
        <v>3</v>
      </c>
      <c r="C212" s="77">
        <v>1</v>
      </c>
      <c r="D212" s="79">
        <v>3</v>
      </c>
      <c r="E212" s="77">
        <v>11309</v>
      </c>
      <c r="F212" s="77">
        <v>0</v>
      </c>
    </row>
    <row r="213" spans="1:6" x14ac:dyDescent="0.25">
      <c r="A213" s="79">
        <v>10210</v>
      </c>
      <c r="B213" s="77">
        <v>3</v>
      </c>
      <c r="C213" s="77">
        <v>1</v>
      </c>
      <c r="D213" s="79">
        <v>3</v>
      </c>
      <c r="E213" s="77">
        <v>11310</v>
      </c>
      <c r="F213" s="77">
        <v>0</v>
      </c>
    </row>
    <row r="214" spans="1:6" x14ac:dyDescent="0.25">
      <c r="A214" s="79">
        <v>10211</v>
      </c>
      <c r="B214" s="77">
        <v>3</v>
      </c>
      <c r="C214" s="77">
        <v>1</v>
      </c>
      <c r="D214" s="79">
        <v>3</v>
      </c>
      <c r="E214" s="77">
        <v>11311</v>
      </c>
      <c r="F214" s="77">
        <v>10</v>
      </c>
    </row>
    <row r="215" spans="1:6" x14ac:dyDescent="0.25">
      <c r="A215" s="79">
        <v>10212</v>
      </c>
      <c r="B215" s="77">
        <v>3</v>
      </c>
      <c r="C215" s="77">
        <v>1</v>
      </c>
      <c r="D215" s="79">
        <v>3</v>
      </c>
      <c r="E215" s="77">
        <v>11312</v>
      </c>
      <c r="F215" s="77">
        <v>10</v>
      </c>
    </row>
    <row r="216" spans="1:6" x14ac:dyDescent="0.25">
      <c r="A216" s="79">
        <v>10213</v>
      </c>
      <c r="B216" s="77">
        <v>3</v>
      </c>
      <c r="C216" s="77">
        <v>1</v>
      </c>
      <c r="D216" s="79">
        <v>3</v>
      </c>
      <c r="E216" s="77">
        <v>11313</v>
      </c>
      <c r="F216" s="77">
        <v>10</v>
      </c>
    </row>
    <row r="217" spans="1:6" x14ac:dyDescent="0.25">
      <c r="A217" s="79">
        <v>10214</v>
      </c>
      <c r="B217" s="77">
        <v>3</v>
      </c>
      <c r="C217" s="77">
        <v>1</v>
      </c>
      <c r="D217" s="79">
        <v>3</v>
      </c>
      <c r="E217" s="77">
        <v>11314</v>
      </c>
      <c r="F217" s="77">
        <v>10</v>
      </c>
    </row>
    <row r="218" spans="1:6" x14ac:dyDescent="0.25">
      <c r="A218" s="79">
        <v>10215</v>
      </c>
      <c r="B218" s="77">
        <v>3</v>
      </c>
      <c r="C218" s="77">
        <v>1</v>
      </c>
      <c r="D218" s="79">
        <v>3</v>
      </c>
      <c r="E218" s="77">
        <v>11315</v>
      </c>
      <c r="F218" s="77">
        <v>10</v>
      </c>
    </row>
    <row r="219" spans="1:6" x14ac:dyDescent="0.25">
      <c r="A219" s="79">
        <v>10216</v>
      </c>
      <c r="B219" s="77">
        <v>3</v>
      </c>
      <c r="C219" s="77">
        <v>1</v>
      </c>
      <c r="D219" s="79">
        <v>3</v>
      </c>
      <c r="E219" s="77">
        <v>11316</v>
      </c>
      <c r="F219" s="77">
        <v>10</v>
      </c>
    </row>
    <row r="220" spans="1:6" x14ac:dyDescent="0.25">
      <c r="A220" s="79">
        <v>10217</v>
      </c>
      <c r="B220" s="77">
        <v>3</v>
      </c>
      <c r="C220" s="77">
        <v>1</v>
      </c>
      <c r="D220" s="79">
        <v>3</v>
      </c>
      <c r="E220" s="77">
        <v>11317</v>
      </c>
      <c r="F220" s="77">
        <v>10</v>
      </c>
    </row>
    <row r="221" spans="1:6" x14ac:dyDescent="0.25">
      <c r="A221" s="79">
        <v>10218</v>
      </c>
      <c r="B221" s="77">
        <v>3</v>
      </c>
      <c r="C221" s="77">
        <v>1</v>
      </c>
      <c r="D221" s="79">
        <v>3</v>
      </c>
      <c r="E221" s="77">
        <v>11318</v>
      </c>
      <c r="F221" s="77">
        <v>10</v>
      </c>
    </row>
    <row r="222" spans="1:6" x14ac:dyDescent="0.25">
      <c r="A222" s="79">
        <v>10219</v>
      </c>
      <c r="B222" s="77">
        <v>3</v>
      </c>
      <c r="C222" s="77">
        <v>1</v>
      </c>
      <c r="D222" s="79">
        <v>3</v>
      </c>
      <c r="E222" s="77">
        <v>11319</v>
      </c>
      <c r="F222" s="77">
        <v>10</v>
      </c>
    </row>
    <row r="223" spans="1:6" x14ac:dyDescent="0.25">
      <c r="A223" s="79">
        <v>10220</v>
      </c>
      <c r="B223" s="77">
        <v>3</v>
      </c>
      <c r="C223" s="77">
        <v>1</v>
      </c>
      <c r="D223" s="79">
        <v>3</v>
      </c>
      <c r="E223" s="77">
        <v>11320</v>
      </c>
      <c r="F223" s="77">
        <v>10</v>
      </c>
    </row>
    <row r="224" spans="1:6" x14ac:dyDescent="0.25">
      <c r="A224" s="79">
        <v>10221</v>
      </c>
      <c r="B224" s="77">
        <v>3</v>
      </c>
      <c r="C224" s="77">
        <v>1</v>
      </c>
      <c r="D224" s="79">
        <v>3</v>
      </c>
      <c r="E224" s="77">
        <v>11321</v>
      </c>
      <c r="F224" s="77">
        <v>10</v>
      </c>
    </row>
    <row r="225" spans="1:6" x14ac:dyDescent="0.25">
      <c r="A225" s="79">
        <v>10222</v>
      </c>
      <c r="B225" s="77">
        <v>3</v>
      </c>
      <c r="C225" s="77">
        <v>1</v>
      </c>
      <c r="D225" s="79">
        <v>3</v>
      </c>
      <c r="E225" s="77">
        <v>11322</v>
      </c>
      <c r="F225" s="77">
        <v>10</v>
      </c>
    </row>
    <row r="226" spans="1:6" x14ac:dyDescent="0.25">
      <c r="A226" s="79">
        <v>10223</v>
      </c>
      <c r="B226" s="77">
        <v>3</v>
      </c>
      <c r="C226" s="77">
        <v>1</v>
      </c>
      <c r="D226" s="79">
        <v>3</v>
      </c>
      <c r="E226" s="77">
        <v>11323</v>
      </c>
      <c r="F226" s="77">
        <v>10</v>
      </c>
    </row>
    <row r="227" spans="1:6" x14ac:dyDescent="0.25">
      <c r="A227" s="79">
        <v>10224</v>
      </c>
      <c r="B227" s="77">
        <v>3</v>
      </c>
      <c r="C227" s="77">
        <v>1</v>
      </c>
      <c r="D227" s="79">
        <v>3</v>
      </c>
      <c r="E227" s="77">
        <v>11324</v>
      </c>
      <c r="F227" s="77">
        <v>10</v>
      </c>
    </row>
    <row r="228" spans="1:6" x14ac:dyDescent="0.25">
      <c r="A228" s="79">
        <v>10225</v>
      </c>
      <c r="B228" s="77">
        <v>3</v>
      </c>
      <c r="C228" s="77">
        <v>1</v>
      </c>
      <c r="D228" s="79">
        <v>3</v>
      </c>
      <c r="E228" s="77">
        <v>11325</v>
      </c>
      <c r="F228" s="77">
        <v>10</v>
      </c>
    </row>
    <row r="229" spans="1:6" x14ac:dyDescent="0.25">
      <c r="A229" s="79">
        <v>10226</v>
      </c>
      <c r="B229" s="77">
        <v>4</v>
      </c>
      <c r="C229" s="77">
        <v>1</v>
      </c>
      <c r="D229" s="79">
        <v>1</v>
      </c>
      <c r="E229" s="77">
        <v>11101</v>
      </c>
      <c r="F229" s="77">
        <v>0</v>
      </c>
    </row>
    <row r="230" spans="1:6" x14ac:dyDescent="0.25">
      <c r="A230" s="79">
        <v>10227</v>
      </c>
      <c r="B230" s="77">
        <v>4</v>
      </c>
      <c r="C230" s="77">
        <v>1</v>
      </c>
      <c r="D230" s="79">
        <v>1</v>
      </c>
      <c r="E230" s="77">
        <v>11102</v>
      </c>
      <c r="F230" s="77">
        <v>0</v>
      </c>
    </row>
    <row r="231" spans="1:6" x14ac:dyDescent="0.25">
      <c r="A231" s="79">
        <v>10228</v>
      </c>
      <c r="B231" s="77">
        <v>4</v>
      </c>
      <c r="C231" s="77">
        <v>1</v>
      </c>
      <c r="D231" s="79">
        <v>1</v>
      </c>
      <c r="E231" s="77">
        <v>11103</v>
      </c>
      <c r="F231" s="77">
        <v>0</v>
      </c>
    </row>
    <row r="232" spans="1:6" x14ac:dyDescent="0.25">
      <c r="A232" s="79">
        <v>10229</v>
      </c>
      <c r="B232" s="77">
        <v>4</v>
      </c>
      <c r="C232" s="77">
        <v>1</v>
      </c>
      <c r="D232" s="79">
        <v>1</v>
      </c>
      <c r="E232" s="77">
        <v>11104</v>
      </c>
      <c r="F232" s="77">
        <v>0</v>
      </c>
    </row>
    <row r="233" spans="1:6" x14ac:dyDescent="0.25">
      <c r="A233" s="79">
        <v>10230</v>
      </c>
      <c r="B233" s="77">
        <v>4</v>
      </c>
      <c r="C233" s="77">
        <v>1</v>
      </c>
      <c r="D233" s="79">
        <v>1</v>
      </c>
      <c r="E233" s="77">
        <v>11105</v>
      </c>
      <c r="F233" s="77">
        <v>0</v>
      </c>
    </row>
    <row r="234" spans="1:6" x14ac:dyDescent="0.25">
      <c r="A234" s="79">
        <v>10231</v>
      </c>
      <c r="B234" s="77">
        <v>4</v>
      </c>
      <c r="C234" s="77">
        <v>1</v>
      </c>
      <c r="D234" s="79">
        <v>1</v>
      </c>
      <c r="E234" s="77">
        <v>11106</v>
      </c>
      <c r="F234" s="77">
        <v>0</v>
      </c>
    </row>
    <row r="235" spans="1:6" x14ac:dyDescent="0.25">
      <c r="A235" s="79">
        <v>10232</v>
      </c>
      <c r="B235" s="77">
        <v>4</v>
      </c>
      <c r="C235" s="77">
        <v>1</v>
      </c>
      <c r="D235" s="79">
        <v>1</v>
      </c>
      <c r="E235" s="77">
        <v>11107</v>
      </c>
      <c r="F235" s="77">
        <v>0</v>
      </c>
    </row>
    <row r="236" spans="1:6" x14ac:dyDescent="0.25">
      <c r="A236" s="79">
        <v>10233</v>
      </c>
      <c r="B236" s="77">
        <v>4</v>
      </c>
      <c r="C236" s="77">
        <v>1</v>
      </c>
      <c r="D236" s="79">
        <v>1</v>
      </c>
      <c r="E236" s="77">
        <v>11108</v>
      </c>
      <c r="F236" s="77">
        <v>0</v>
      </c>
    </row>
    <row r="237" spans="1:6" x14ac:dyDescent="0.25">
      <c r="A237" s="79">
        <v>10234</v>
      </c>
      <c r="B237" s="77">
        <v>4</v>
      </c>
      <c r="C237" s="77">
        <v>1</v>
      </c>
      <c r="D237" s="79">
        <v>1</v>
      </c>
      <c r="E237" s="77">
        <v>11109</v>
      </c>
      <c r="F237" s="77">
        <v>0</v>
      </c>
    </row>
    <row r="238" spans="1:6" x14ac:dyDescent="0.25">
      <c r="A238" s="79">
        <v>10235</v>
      </c>
      <c r="B238" s="77">
        <v>4</v>
      </c>
      <c r="C238" s="77">
        <v>1</v>
      </c>
      <c r="D238" s="79">
        <v>1</v>
      </c>
      <c r="E238" s="77">
        <v>11110</v>
      </c>
      <c r="F238" s="77">
        <v>0</v>
      </c>
    </row>
    <row r="239" spans="1:6" x14ac:dyDescent="0.25">
      <c r="A239" s="79">
        <v>10236</v>
      </c>
      <c r="B239" s="77">
        <v>4</v>
      </c>
      <c r="C239" s="77">
        <v>1</v>
      </c>
      <c r="D239" s="79">
        <v>1</v>
      </c>
      <c r="E239" s="77">
        <v>11111</v>
      </c>
      <c r="F239" s="77">
        <v>0</v>
      </c>
    </row>
    <row r="240" spans="1:6" x14ac:dyDescent="0.25">
      <c r="A240" s="79">
        <v>10237</v>
      </c>
      <c r="B240" s="77">
        <v>4</v>
      </c>
      <c r="C240" s="77">
        <v>1</v>
      </c>
      <c r="D240" s="79">
        <v>1</v>
      </c>
      <c r="E240" s="77">
        <v>11112</v>
      </c>
      <c r="F240" s="77">
        <v>0</v>
      </c>
    </row>
    <row r="241" spans="1:6" x14ac:dyDescent="0.25">
      <c r="A241" s="79">
        <v>10238</v>
      </c>
      <c r="B241" s="77">
        <v>4</v>
      </c>
      <c r="C241" s="77">
        <v>1</v>
      </c>
      <c r="D241" s="79">
        <v>1</v>
      </c>
      <c r="E241" s="77">
        <v>11113</v>
      </c>
      <c r="F241" s="77">
        <v>0</v>
      </c>
    </row>
    <row r="242" spans="1:6" x14ac:dyDescent="0.25">
      <c r="A242" s="79">
        <v>10239</v>
      </c>
      <c r="B242" s="77">
        <v>4</v>
      </c>
      <c r="C242" s="77">
        <v>1</v>
      </c>
      <c r="D242" s="79">
        <v>1</v>
      </c>
      <c r="E242" s="77">
        <v>11114</v>
      </c>
      <c r="F242" s="77">
        <v>0</v>
      </c>
    </row>
    <row r="243" spans="1:6" x14ac:dyDescent="0.25">
      <c r="A243" s="79">
        <v>10240</v>
      </c>
      <c r="B243" s="77">
        <v>4</v>
      </c>
      <c r="C243" s="77">
        <v>1</v>
      </c>
      <c r="D243" s="79">
        <v>1</v>
      </c>
      <c r="E243" s="77">
        <v>11115</v>
      </c>
      <c r="F243" s="77">
        <v>0</v>
      </c>
    </row>
    <row r="244" spans="1:6" x14ac:dyDescent="0.25">
      <c r="A244" s="79">
        <v>10241</v>
      </c>
      <c r="B244" s="77">
        <v>4</v>
      </c>
      <c r="C244" s="77">
        <v>1</v>
      </c>
      <c r="D244" s="79">
        <v>1</v>
      </c>
      <c r="E244" s="77">
        <v>11116</v>
      </c>
      <c r="F244" s="77">
        <v>10</v>
      </c>
    </row>
    <row r="245" spans="1:6" x14ac:dyDescent="0.25">
      <c r="A245" s="79">
        <v>10242</v>
      </c>
      <c r="B245" s="77">
        <v>4</v>
      </c>
      <c r="C245" s="77">
        <v>1</v>
      </c>
      <c r="D245" s="79">
        <v>1</v>
      </c>
      <c r="E245" s="77">
        <v>11117</v>
      </c>
      <c r="F245" s="77">
        <v>10</v>
      </c>
    </row>
    <row r="246" spans="1:6" x14ac:dyDescent="0.25">
      <c r="A246" s="79">
        <v>10243</v>
      </c>
      <c r="B246" s="77">
        <v>4</v>
      </c>
      <c r="C246" s="77">
        <v>1</v>
      </c>
      <c r="D246" s="79">
        <v>1</v>
      </c>
      <c r="E246" s="77">
        <v>11118</v>
      </c>
      <c r="F246" s="77">
        <v>10</v>
      </c>
    </row>
    <row r="247" spans="1:6" x14ac:dyDescent="0.25">
      <c r="A247" s="79">
        <v>10244</v>
      </c>
      <c r="B247" s="77">
        <v>4</v>
      </c>
      <c r="C247" s="77">
        <v>1</v>
      </c>
      <c r="D247" s="79">
        <v>1</v>
      </c>
      <c r="E247" s="77">
        <v>11119</v>
      </c>
      <c r="F247" s="77">
        <v>10</v>
      </c>
    </row>
    <row r="248" spans="1:6" x14ac:dyDescent="0.25">
      <c r="A248" s="79">
        <v>10245</v>
      </c>
      <c r="B248" s="77">
        <v>4</v>
      </c>
      <c r="C248" s="77">
        <v>1</v>
      </c>
      <c r="D248" s="79">
        <v>1</v>
      </c>
      <c r="E248" s="77">
        <v>11120</v>
      </c>
      <c r="F248" s="77">
        <v>10</v>
      </c>
    </row>
    <row r="249" spans="1:6" x14ac:dyDescent="0.25">
      <c r="A249" s="79">
        <v>10246</v>
      </c>
      <c r="B249" s="77">
        <v>4</v>
      </c>
      <c r="C249" s="77">
        <v>1</v>
      </c>
      <c r="D249" s="79">
        <v>1</v>
      </c>
      <c r="E249" s="77">
        <v>11121</v>
      </c>
      <c r="F249" s="77">
        <v>10</v>
      </c>
    </row>
    <row r="250" spans="1:6" x14ac:dyDescent="0.25">
      <c r="A250" s="79">
        <v>10247</v>
      </c>
      <c r="B250" s="77">
        <v>4</v>
      </c>
      <c r="C250" s="77">
        <v>1</v>
      </c>
      <c r="D250" s="79">
        <v>1</v>
      </c>
      <c r="E250" s="77">
        <v>11122</v>
      </c>
      <c r="F250" s="77">
        <v>10</v>
      </c>
    </row>
    <row r="251" spans="1:6" x14ac:dyDescent="0.25">
      <c r="A251" s="79">
        <v>10248</v>
      </c>
      <c r="B251" s="77">
        <v>4</v>
      </c>
      <c r="C251" s="77">
        <v>1</v>
      </c>
      <c r="D251" s="79">
        <v>1</v>
      </c>
      <c r="E251" s="77">
        <v>11123</v>
      </c>
      <c r="F251" s="77">
        <v>10</v>
      </c>
    </row>
    <row r="252" spans="1:6" x14ac:dyDescent="0.25">
      <c r="A252" s="79">
        <v>10249</v>
      </c>
      <c r="B252" s="77">
        <v>4</v>
      </c>
      <c r="C252" s="77">
        <v>1</v>
      </c>
      <c r="D252" s="79">
        <v>1</v>
      </c>
      <c r="E252" s="77">
        <v>11124</v>
      </c>
      <c r="F252" s="77">
        <v>10</v>
      </c>
    </row>
    <row r="253" spans="1:6" x14ac:dyDescent="0.25">
      <c r="A253" s="79">
        <v>10250</v>
      </c>
      <c r="B253" s="77">
        <v>4</v>
      </c>
      <c r="C253" s="77">
        <v>1</v>
      </c>
      <c r="D253" s="79">
        <v>1</v>
      </c>
      <c r="E253" s="77">
        <v>11125</v>
      </c>
      <c r="F253" s="77">
        <v>10</v>
      </c>
    </row>
    <row r="254" spans="1:6" x14ac:dyDescent="0.25">
      <c r="A254" s="79">
        <v>10251</v>
      </c>
      <c r="B254" s="77">
        <v>4</v>
      </c>
      <c r="C254" s="77">
        <v>1</v>
      </c>
      <c r="D254" s="79">
        <v>2</v>
      </c>
      <c r="E254" s="77">
        <v>11201</v>
      </c>
      <c r="F254" s="77">
        <v>0</v>
      </c>
    </row>
    <row r="255" spans="1:6" x14ac:dyDescent="0.25">
      <c r="A255" s="79">
        <v>10252</v>
      </c>
      <c r="B255" s="77">
        <v>4</v>
      </c>
      <c r="C255" s="77">
        <v>1</v>
      </c>
      <c r="D255" s="79">
        <v>2</v>
      </c>
      <c r="E255" s="77">
        <v>11202</v>
      </c>
      <c r="F255" s="77">
        <v>0</v>
      </c>
    </row>
    <row r="256" spans="1:6" x14ac:dyDescent="0.25">
      <c r="A256" s="79">
        <v>10253</v>
      </c>
      <c r="B256" s="77">
        <v>4</v>
      </c>
      <c r="C256" s="77">
        <v>1</v>
      </c>
      <c r="D256" s="79">
        <v>2</v>
      </c>
      <c r="E256" s="77">
        <v>11203</v>
      </c>
      <c r="F256" s="77">
        <v>0</v>
      </c>
    </row>
    <row r="257" spans="1:6" x14ac:dyDescent="0.25">
      <c r="A257" s="79">
        <v>10254</v>
      </c>
      <c r="B257" s="77">
        <v>4</v>
      </c>
      <c r="C257" s="77">
        <v>1</v>
      </c>
      <c r="D257" s="79">
        <v>2</v>
      </c>
      <c r="E257" s="77">
        <v>11204</v>
      </c>
      <c r="F257" s="77">
        <v>0</v>
      </c>
    </row>
    <row r="258" spans="1:6" x14ac:dyDescent="0.25">
      <c r="A258" s="79">
        <v>10255</v>
      </c>
      <c r="B258" s="77">
        <v>4</v>
      </c>
      <c r="C258" s="77">
        <v>1</v>
      </c>
      <c r="D258" s="79">
        <v>2</v>
      </c>
      <c r="E258" s="77">
        <v>11205</v>
      </c>
      <c r="F258" s="77">
        <v>0</v>
      </c>
    </row>
    <row r="259" spans="1:6" x14ac:dyDescent="0.25">
      <c r="A259" s="79">
        <v>10256</v>
      </c>
      <c r="B259" s="77">
        <v>4</v>
      </c>
      <c r="C259" s="77">
        <v>1</v>
      </c>
      <c r="D259" s="79">
        <v>2</v>
      </c>
      <c r="E259" s="77">
        <v>11206</v>
      </c>
      <c r="F259" s="77">
        <v>0</v>
      </c>
    </row>
    <row r="260" spans="1:6" x14ac:dyDescent="0.25">
      <c r="A260" s="79">
        <v>10257</v>
      </c>
      <c r="B260" s="77">
        <v>4</v>
      </c>
      <c r="C260" s="77">
        <v>1</v>
      </c>
      <c r="D260" s="79">
        <v>2</v>
      </c>
      <c r="E260" s="77">
        <v>11207</v>
      </c>
      <c r="F260" s="77">
        <v>0</v>
      </c>
    </row>
    <row r="261" spans="1:6" x14ac:dyDescent="0.25">
      <c r="A261" s="79">
        <v>10258</v>
      </c>
      <c r="B261" s="77">
        <v>4</v>
      </c>
      <c r="C261" s="77">
        <v>1</v>
      </c>
      <c r="D261" s="79">
        <v>2</v>
      </c>
      <c r="E261" s="77">
        <v>11208</v>
      </c>
      <c r="F261" s="77">
        <v>0</v>
      </c>
    </row>
    <row r="262" spans="1:6" x14ac:dyDescent="0.25">
      <c r="A262" s="79">
        <v>10259</v>
      </c>
      <c r="B262" s="77">
        <v>4</v>
      </c>
      <c r="C262" s="77">
        <v>1</v>
      </c>
      <c r="D262" s="79">
        <v>2</v>
      </c>
      <c r="E262" s="77">
        <v>11209</v>
      </c>
      <c r="F262" s="77">
        <v>0</v>
      </c>
    </row>
    <row r="263" spans="1:6" x14ac:dyDescent="0.25">
      <c r="A263" s="79">
        <v>10260</v>
      </c>
      <c r="B263" s="77">
        <v>4</v>
      </c>
      <c r="C263" s="77">
        <v>1</v>
      </c>
      <c r="D263" s="79">
        <v>2</v>
      </c>
      <c r="E263" s="77">
        <v>11210</v>
      </c>
      <c r="F263" s="77">
        <v>0</v>
      </c>
    </row>
    <row r="264" spans="1:6" x14ac:dyDescent="0.25">
      <c r="A264" s="79">
        <v>10261</v>
      </c>
      <c r="B264" s="77">
        <v>4</v>
      </c>
      <c r="C264" s="77">
        <v>1</v>
      </c>
      <c r="D264" s="79">
        <v>2</v>
      </c>
      <c r="E264" s="77">
        <v>11211</v>
      </c>
      <c r="F264" s="77">
        <v>0</v>
      </c>
    </row>
    <row r="265" spans="1:6" x14ac:dyDescent="0.25">
      <c r="A265" s="79">
        <v>10262</v>
      </c>
      <c r="B265" s="77">
        <v>4</v>
      </c>
      <c r="C265" s="77">
        <v>1</v>
      </c>
      <c r="D265" s="79">
        <v>2</v>
      </c>
      <c r="E265" s="77">
        <v>11212</v>
      </c>
      <c r="F265" s="77">
        <v>0</v>
      </c>
    </row>
    <row r="266" spans="1:6" x14ac:dyDescent="0.25">
      <c r="A266" s="79">
        <v>10263</v>
      </c>
      <c r="B266" s="77">
        <v>4</v>
      </c>
      <c r="C266" s="77">
        <v>1</v>
      </c>
      <c r="D266" s="79">
        <v>2</v>
      </c>
      <c r="E266" s="77">
        <v>11213</v>
      </c>
      <c r="F266" s="77">
        <v>0</v>
      </c>
    </row>
    <row r="267" spans="1:6" x14ac:dyDescent="0.25">
      <c r="A267" s="79">
        <v>10264</v>
      </c>
      <c r="B267" s="77">
        <v>4</v>
      </c>
      <c r="C267" s="77">
        <v>1</v>
      </c>
      <c r="D267" s="79">
        <v>2</v>
      </c>
      <c r="E267" s="77">
        <v>11214</v>
      </c>
      <c r="F267" s="77">
        <v>0</v>
      </c>
    </row>
    <row r="268" spans="1:6" x14ac:dyDescent="0.25">
      <c r="A268" s="79">
        <v>10265</v>
      </c>
      <c r="B268" s="77">
        <v>4</v>
      </c>
      <c r="C268" s="77">
        <v>1</v>
      </c>
      <c r="D268" s="79">
        <v>2</v>
      </c>
      <c r="E268" s="77">
        <v>11215</v>
      </c>
      <c r="F268" s="77">
        <v>0</v>
      </c>
    </row>
    <row r="269" spans="1:6" x14ac:dyDescent="0.25">
      <c r="A269" s="79">
        <v>10266</v>
      </c>
      <c r="B269" s="77">
        <v>4</v>
      </c>
      <c r="C269" s="77">
        <v>1</v>
      </c>
      <c r="D269" s="79">
        <v>2</v>
      </c>
      <c r="E269" s="77">
        <v>11216</v>
      </c>
      <c r="F269" s="77">
        <v>10</v>
      </c>
    </row>
    <row r="270" spans="1:6" x14ac:dyDescent="0.25">
      <c r="A270" s="79">
        <v>10267</v>
      </c>
      <c r="B270" s="77">
        <v>4</v>
      </c>
      <c r="C270" s="77">
        <v>1</v>
      </c>
      <c r="D270" s="79">
        <v>2</v>
      </c>
      <c r="E270" s="77">
        <v>11217</v>
      </c>
      <c r="F270" s="77">
        <v>10</v>
      </c>
    </row>
    <row r="271" spans="1:6" x14ac:dyDescent="0.25">
      <c r="A271" s="79">
        <v>10268</v>
      </c>
      <c r="B271" s="77">
        <v>4</v>
      </c>
      <c r="C271" s="77">
        <v>1</v>
      </c>
      <c r="D271" s="79">
        <v>2</v>
      </c>
      <c r="E271" s="77">
        <v>11218</v>
      </c>
      <c r="F271" s="77">
        <v>10</v>
      </c>
    </row>
    <row r="272" spans="1:6" x14ac:dyDescent="0.25">
      <c r="A272" s="79">
        <v>10269</v>
      </c>
      <c r="B272" s="77">
        <v>4</v>
      </c>
      <c r="C272" s="77">
        <v>1</v>
      </c>
      <c r="D272" s="79">
        <v>2</v>
      </c>
      <c r="E272" s="77">
        <v>11219</v>
      </c>
      <c r="F272" s="77">
        <v>10</v>
      </c>
    </row>
    <row r="273" spans="1:6" x14ac:dyDescent="0.25">
      <c r="A273" s="79">
        <v>10270</v>
      </c>
      <c r="B273" s="77">
        <v>4</v>
      </c>
      <c r="C273" s="77">
        <v>1</v>
      </c>
      <c r="D273" s="79">
        <v>2</v>
      </c>
      <c r="E273" s="77">
        <v>11220</v>
      </c>
      <c r="F273" s="77">
        <v>10</v>
      </c>
    </row>
    <row r="274" spans="1:6" x14ac:dyDescent="0.25">
      <c r="A274" s="79">
        <v>10271</v>
      </c>
      <c r="B274" s="77">
        <v>4</v>
      </c>
      <c r="C274" s="77">
        <v>1</v>
      </c>
      <c r="D274" s="79">
        <v>2</v>
      </c>
      <c r="E274" s="77">
        <v>11221</v>
      </c>
      <c r="F274" s="77">
        <v>10</v>
      </c>
    </row>
    <row r="275" spans="1:6" x14ac:dyDescent="0.25">
      <c r="A275" s="79">
        <v>10272</v>
      </c>
      <c r="B275" s="77">
        <v>4</v>
      </c>
      <c r="C275" s="77">
        <v>1</v>
      </c>
      <c r="D275" s="79">
        <v>2</v>
      </c>
      <c r="E275" s="77">
        <v>11222</v>
      </c>
      <c r="F275" s="77">
        <v>10</v>
      </c>
    </row>
    <row r="276" spans="1:6" x14ac:dyDescent="0.25">
      <c r="A276" s="79">
        <v>10273</v>
      </c>
      <c r="B276" s="77">
        <v>4</v>
      </c>
      <c r="C276" s="77">
        <v>1</v>
      </c>
      <c r="D276" s="79">
        <v>2</v>
      </c>
      <c r="E276" s="77">
        <v>11223</v>
      </c>
      <c r="F276" s="77">
        <v>10</v>
      </c>
    </row>
    <row r="277" spans="1:6" x14ac:dyDescent="0.25">
      <c r="A277" s="79">
        <v>10274</v>
      </c>
      <c r="B277" s="77">
        <v>4</v>
      </c>
      <c r="C277" s="77">
        <v>1</v>
      </c>
      <c r="D277" s="79">
        <v>2</v>
      </c>
      <c r="E277" s="77">
        <v>11224</v>
      </c>
      <c r="F277" s="77">
        <v>10</v>
      </c>
    </row>
    <row r="278" spans="1:6" x14ac:dyDescent="0.25">
      <c r="A278" s="79">
        <v>10275</v>
      </c>
      <c r="B278" s="77">
        <v>4</v>
      </c>
      <c r="C278" s="77">
        <v>1</v>
      </c>
      <c r="D278" s="79">
        <v>2</v>
      </c>
      <c r="E278" s="77">
        <v>11225</v>
      </c>
      <c r="F278" s="77">
        <v>10</v>
      </c>
    </row>
    <row r="279" spans="1:6" x14ac:dyDescent="0.25">
      <c r="A279" s="79">
        <v>10276</v>
      </c>
      <c r="B279" s="77">
        <v>4</v>
      </c>
      <c r="C279" s="77">
        <v>1</v>
      </c>
      <c r="D279" s="79">
        <v>3</v>
      </c>
      <c r="E279" s="77">
        <v>11301</v>
      </c>
      <c r="F279" s="77">
        <v>0</v>
      </c>
    </row>
    <row r="280" spans="1:6" x14ac:dyDescent="0.25">
      <c r="A280" s="79">
        <v>10277</v>
      </c>
      <c r="B280" s="77">
        <v>4</v>
      </c>
      <c r="C280" s="77">
        <v>1</v>
      </c>
      <c r="D280" s="79">
        <v>3</v>
      </c>
      <c r="E280" s="77">
        <v>11302</v>
      </c>
      <c r="F280" s="77">
        <v>0</v>
      </c>
    </row>
    <row r="281" spans="1:6" x14ac:dyDescent="0.25">
      <c r="A281" s="79">
        <v>10278</v>
      </c>
      <c r="B281" s="77">
        <v>4</v>
      </c>
      <c r="C281" s="77">
        <v>1</v>
      </c>
      <c r="D281" s="79">
        <v>3</v>
      </c>
      <c r="E281" s="77">
        <v>11303</v>
      </c>
      <c r="F281" s="77">
        <v>0</v>
      </c>
    </row>
    <row r="282" spans="1:6" x14ac:dyDescent="0.25">
      <c r="A282" s="79">
        <v>10279</v>
      </c>
      <c r="B282" s="77">
        <v>4</v>
      </c>
      <c r="C282" s="77">
        <v>1</v>
      </c>
      <c r="D282" s="79">
        <v>3</v>
      </c>
      <c r="E282" s="77">
        <v>11304</v>
      </c>
      <c r="F282" s="77">
        <v>0</v>
      </c>
    </row>
    <row r="283" spans="1:6" x14ac:dyDescent="0.25">
      <c r="A283" s="79">
        <v>10280</v>
      </c>
      <c r="B283" s="77">
        <v>4</v>
      </c>
      <c r="C283" s="77">
        <v>1</v>
      </c>
      <c r="D283" s="79">
        <v>3</v>
      </c>
      <c r="E283" s="77">
        <v>11305</v>
      </c>
      <c r="F283" s="77">
        <v>0</v>
      </c>
    </row>
    <row r="284" spans="1:6" x14ac:dyDescent="0.25">
      <c r="A284" s="79">
        <v>10281</v>
      </c>
      <c r="B284" s="77">
        <v>4</v>
      </c>
      <c r="C284" s="77">
        <v>1</v>
      </c>
      <c r="D284" s="79">
        <v>3</v>
      </c>
      <c r="E284" s="77">
        <v>11306</v>
      </c>
      <c r="F284" s="77">
        <v>0</v>
      </c>
    </row>
    <row r="285" spans="1:6" x14ac:dyDescent="0.25">
      <c r="A285" s="79">
        <v>10282</v>
      </c>
      <c r="B285" s="77">
        <v>4</v>
      </c>
      <c r="C285" s="77">
        <v>1</v>
      </c>
      <c r="D285" s="79">
        <v>3</v>
      </c>
      <c r="E285" s="77">
        <v>11307</v>
      </c>
      <c r="F285" s="77">
        <v>0</v>
      </c>
    </row>
    <row r="286" spans="1:6" x14ac:dyDescent="0.25">
      <c r="A286" s="79">
        <v>10283</v>
      </c>
      <c r="B286" s="77">
        <v>4</v>
      </c>
      <c r="C286" s="77">
        <v>1</v>
      </c>
      <c r="D286" s="79">
        <v>3</v>
      </c>
      <c r="E286" s="77">
        <v>11308</v>
      </c>
      <c r="F286" s="77">
        <v>0</v>
      </c>
    </row>
    <row r="287" spans="1:6" x14ac:dyDescent="0.25">
      <c r="A287" s="79">
        <v>10284</v>
      </c>
      <c r="B287" s="77">
        <v>4</v>
      </c>
      <c r="C287" s="77">
        <v>1</v>
      </c>
      <c r="D287" s="79">
        <v>3</v>
      </c>
      <c r="E287" s="77">
        <v>11309</v>
      </c>
      <c r="F287" s="77">
        <v>0</v>
      </c>
    </row>
    <row r="288" spans="1:6" x14ac:dyDescent="0.25">
      <c r="A288" s="79">
        <v>10285</v>
      </c>
      <c r="B288" s="77">
        <v>4</v>
      </c>
      <c r="C288" s="77">
        <v>1</v>
      </c>
      <c r="D288" s="79">
        <v>3</v>
      </c>
      <c r="E288" s="77">
        <v>11310</v>
      </c>
      <c r="F288" s="77">
        <v>0</v>
      </c>
    </row>
    <row r="289" spans="1:6" x14ac:dyDescent="0.25">
      <c r="A289" s="79">
        <v>10286</v>
      </c>
      <c r="B289" s="77">
        <v>4</v>
      </c>
      <c r="C289" s="77">
        <v>1</v>
      </c>
      <c r="D289" s="79">
        <v>3</v>
      </c>
      <c r="E289" s="77">
        <v>11311</v>
      </c>
      <c r="F289" s="77">
        <v>0</v>
      </c>
    </row>
    <row r="290" spans="1:6" x14ac:dyDescent="0.25">
      <c r="A290" s="79">
        <v>10287</v>
      </c>
      <c r="B290" s="77">
        <v>4</v>
      </c>
      <c r="C290" s="77">
        <v>1</v>
      </c>
      <c r="D290" s="79">
        <v>3</v>
      </c>
      <c r="E290" s="77">
        <v>11312</v>
      </c>
      <c r="F290" s="77">
        <v>0</v>
      </c>
    </row>
    <row r="291" spans="1:6" x14ac:dyDescent="0.25">
      <c r="A291" s="79">
        <v>10288</v>
      </c>
      <c r="B291" s="77">
        <v>4</v>
      </c>
      <c r="C291" s="77">
        <v>1</v>
      </c>
      <c r="D291" s="79">
        <v>3</v>
      </c>
      <c r="E291" s="77">
        <v>11313</v>
      </c>
      <c r="F291" s="77">
        <v>0</v>
      </c>
    </row>
    <row r="292" spans="1:6" x14ac:dyDescent="0.25">
      <c r="A292" s="79">
        <v>10289</v>
      </c>
      <c r="B292" s="77">
        <v>4</v>
      </c>
      <c r="C292" s="77">
        <v>1</v>
      </c>
      <c r="D292" s="79">
        <v>3</v>
      </c>
      <c r="E292" s="77">
        <v>11314</v>
      </c>
      <c r="F292" s="77">
        <v>0</v>
      </c>
    </row>
    <row r="293" spans="1:6" x14ac:dyDescent="0.25">
      <c r="A293" s="79">
        <v>10290</v>
      </c>
      <c r="B293" s="77">
        <v>4</v>
      </c>
      <c r="C293" s="77">
        <v>1</v>
      </c>
      <c r="D293" s="79">
        <v>3</v>
      </c>
      <c r="E293" s="77">
        <v>11315</v>
      </c>
      <c r="F293" s="77">
        <v>0</v>
      </c>
    </row>
    <row r="294" spans="1:6" x14ac:dyDescent="0.25">
      <c r="A294" s="79">
        <v>10291</v>
      </c>
      <c r="B294" s="77">
        <v>4</v>
      </c>
      <c r="C294" s="77">
        <v>1</v>
      </c>
      <c r="D294" s="79">
        <v>3</v>
      </c>
      <c r="E294" s="77">
        <v>11316</v>
      </c>
      <c r="F294" s="77">
        <v>10</v>
      </c>
    </row>
    <row r="295" spans="1:6" x14ac:dyDescent="0.25">
      <c r="A295" s="79">
        <v>10292</v>
      </c>
      <c r="B295" s="77">
        <v>4</v>
      </c>
      <c r="C295" s="77">
        <v>1</v>
      </c>
      <c r="D295" s="79">
        <v>3</v>
      </c>
      <c r="E295" s="77">
        <v>11317</v>
      </c>
      <c r="F295" s="77">
        <v>10</v>
      </c>
    </row>
    <row r="296" spans="1:6" x14ac:dyDescent="0.25">
      <c r="A296" s="79">
        <v>10293</v>
      </c>
      <c r="B296" s="77">
        <v>4</v>
      </c>
      <c r="C296" s="77">
        <v>1</v>
      </c>
      <c r="D296" s="79">
        <v>3</v>
      </c>
      <c r="E296" s="77">
        <v>11318</v>
      </c>
      <c r="F296" s="77">
        <v>10</v>
      </c>
    </row>
    <row r="297" spans="1:6" x14ac:dyDescent="0.25">
      <c r="A297" s="79">
        <v>10294</v>
      </c>
      <c r="B297" s="77">
        <v>4</v>
      </c>
      <c r="C297" s="77">
        <v>1</v>
      </c>
      <c r="D297" s="79">
        <v>3</v>
      </c>
      <c r="E297" s="77">
        <v>11319</v>
      </c>
      <c r="F297" s="77">
        <v>10</v>
      </c>
    </row>
    <row r="298" spans="1:6" x14ac:dyDescent="0.25">
      <c r="A298" s="79">
        <v>10295</v>
      </c>
      <c r="B298" s="77">
        <v>4</v>
      </c>
      <c r="C298" s="77">
        <v>1</v>
      </c>
      <c r="D298" s="79">
        <v>3</v>
      </c>
      <c r="E298" s="77">
        <v>11320</v>
      </c>
      <c r="F298" s="77">
        <v>10</v>
      </c>
    </row>
    <row r="299" spans="1:6" x14ac:dyDescent="0.25">
      <c r="A299" s="79">
        <v>10296</v>
      </c>
      <c r="B299" s="77">
        <v>4</v>
      </c>
      <c r="C299" s="77">
        <v>1</v>
      </c>
      <c r="D299" s="79">
        <v>3</v>
      </c>
      <c r="E299" s="77">
        <v>11321</v>
      </c>
      <c r="F299" s="77">
        <v>10</v>
      </c>
    </row>
    <row r="300" spans="1:6" x14ac:dyDescent="0.25">
      <c r="A300" s="79">
        <v>10297</v>
      </c>
      <c r="B300" s="77">
        <v>4</v>
      </c>
      <c r="C300" s="77">
        <v>1</v>
      </c>
      <c r="D300" s="79">
        <v>3</v>
      </c>
      <c r="E300" s="77">
        <v>11322</v>
      </c>
      <c r="F300" s="77">
        <v>10</v>
      </c>
    </row>
    <row r="301" spans="1:6" x14ac:dyDescent="0.25">
      <c r="A301" s="79">
        <v>10298</v>
      </c>
      <c r="B301" s="77">
        <v>4</v>
      </c>
      <c r="C301" s="77">
        <v>1</v>
      </c>
      <c r="D301" s="79">
        <v>3</v>
      </c>
      <c r="E301" s="77">
        <v>11323</v>
      </c>
      <c r="F301" s="77">
        <v>10</v>
      </c>
    </row>
    <row r="302" spans="1:6" x14ac:dyDescent="0.25">
      <c r="A302" s="79">
        <v>10299</v>
      </c>
      <c r="B302" s="77">
        <v>4</v>
      </c>
      <c r="C302" s="77">
        <v>1</v>
      </c>
      <c r="D302" s="79">
        <v>3</v>
      </c>
      <c r="E302" s="77">
        <v>11324</v>
      </c>
      <c r="F302" s="77">
        <v>10</v>
      </c>
    </row>
    <row r="303" spans="1:6" x14ac:dyDescent="0.25">
      <c r="A303" s="79">
        <v>10300</v>
      </c>
      <c r="B303" s="77">
        <v>4</v>
      </c>
      <c r="C303" s="77">
        <v>1</v>
      </c>
      <c r="D303" s="79">
        <v>3</v>
      </c>
      <c r="E303" s="77">
        <v>11325</v>
      </c>
      <c r="F303" s="77">
        <v>10</v>
      </c>
    </row>
    <row r="304" spans="1:6" x14ac:dyDescent="0.25">
      <c r="A304" s="79">
        <v>10301</v>
      </c>
      <c r="B304" s="77">
        <v>5</v>
      </c>
      <c r="C304" s="77">
        <v>1</v>
      </c>
      <c r="D304" s="79">
        <v>1</v>
      </c>
      <c r="E304" s="77">
        <v>11101</v>
      </c>
      <c r="F304" s="77">
        <v>0</v>
      </c>
    </row>
    <row r="305" spans="1:6" x14ac:dyDescent="0.25">
      <c r="A305" s="79">
        <v>10302</v>
      </c>
      <c r="B305" s="77">
        <v>5</v>
      </c>
      <c r="C305" s="77">
        <v>1</v>
      </c>
      <c r="D305" s="79">
        <v>1</v>
      </c>
      <c r="E305" s="77">
        <v>11102</v>
      </c>
      <c r="F305" s="77">
        <v>0</v>
      </c>
    </row>
    <row r="306" spans="1:6" x14ac:dyDescent="0.25">
      <c r="A306" s="79">
        <v>10303</v>
      </c>
      <c r="B306" s="77">
        <v>5</v>
      </c>
      <c r="C306" s="77">
        <v>1</v>
      </c>
      <c r="D306" s="79">
        <v>1</v>
      </c>
      <c r="E306" s="77">
        <v>11103</v>
      </c>
      <c r="F306" s="77">
        <v>0</v>
      </c>
    </row>
    <row r="307" spans="1:6" x14ac:dyDescent="0.25">
      <c r="A307" s="79">
        <v>10304</v>
      </c>
      <c r="B307" s="77">
        <v>5</v>
      </c>
      <c r="C307" s="77">
        <v>1</v>
      </c>
      <c r="D307" s="79">
        <v>1</v>
      </c>
      <c r="E307" s="77">
        <v>11104</v>
      </c>
      <c r="F307" s="77">
        <v>0</v>
      </c>
    </row>
    <row r="308" spans="1:6" x14ac:dyDescent="0.25">
      <c r="A308" s="79">
        <v>10305</v>
      </c>
      <c r="B308" s="77">
        <v>5</v>
      </c>
      <c r="C308" s="77">
        <v>1</v>
      </c>
      <c r="D308" s="79">
        <v>1</v>
      </c>
      <c r="E308" s="77">
        <v>11105</v>
      </c>
      <c r="F308" s="77">
        <v>0</v>
      </c>
    </row>
    <row r="309" spans="1:6" x14ac:dyDescent="0.25">
      <c r="A309" s="79">
        <v>10306</v>
      </c>
      <c r="B309" s="77">
        <v>5</v>
      </c>
      <c r="C309" s="77">
        <v>1</v>
      </c>
      <c r="D309" s="79">
        <v>1</v>
      </c>
      <c r="E309" s="77">
        <v>11106</v>
      </c>
      <c r="F309" s="77">
        <v>0</v>
      </c>
    </row>
    <row r="310" spans="1:6" x14ac:dyDescent="0.25">
      <c r="A310" s="79">
        <v>10307</v>
      </c>
      <c r="B310" s="77">
        <v>5</v>
      </c>
      <c r="C310" s="77">
        <v>1</v>
      </c>
      <c r="D310" s="79">
        <v>1</v>
      </c>
      <c r="E310" s="77">
        <v>11107</v>
      </c>
      <c r="F310" s="77">
        <v>0</v>
      </c>
    </row>
    <row r="311" spans="1:6" x14ac:dyDescent="0.25">
      <c r="A311" s="79">
        <v>10308</v>
      </c>
      <c r="B311" s="77">
        <v>5</v>
      </c>
      <c r="C311" s="77">
        <v>1</v>
      </c>
      <c r="D311" s="79">
        <v>1</v>
      </c>
      <c r="E311" s="77">
        <v>11108</v>
      </c>
      <c r="F311" s="77">
        <v>0</v>
      </c>
    </row>
    <row r="312" spans="1:6" x14ac:dyDescent="0.25">
      <c r="A312" s="79">
        <v>10309</v>
      </c>
      <c r="B312" s="77">
        <v>5</v>
      </c>
      <c r="C312" s="77">
        <v>1</v>
      </c>
      <c r="D312" s="79">
        <v>1</v>
      </c>
      <c r="E312" s="77">
        <v>11109</v>
      </c>
      <c r="F312" s="77">
        <v>0</v>
      </c>
    </row>
    <row r="313" spans="1:6" x14ac:dyDescent="0.25">
      <c r="A313" s="79">
        <v>10310</v>
      </c>
      <c r="B313" s="77">
        <v>5</v>
      </c>
      <c r="C313" s="77">
        <v>1</v>
      </c>
      <c r="D313" s="79">
        <v>1</v>
      </c>
      <c r="E313" s="77">
        <v>11110</v>
      </c>
      <c r="F313" s="77">
        <v>0</v>
      </c>
    </row>
    <row r="314" spans="1:6" x14ac:dyDescent="0.25">
      <c r="A314" s="79">
        <v>10311</v>
      </c>
      <c r="B314" s="77">
        <v>5</v>
      </c>
      <c r="C314" s="77">
        <v>1</v>
      </c>
      <c r="D314" s="79">
        <v>1</v>
      </c>
      <c r="E314" s="77">
        <v>11111</v>
      </c>
      <c r="F314" s="77">
        <v>0</v>
      </c>
    </row>
    <row r="315" spans="1:6" x14ac:dyDescent="0.25">
      <c r="A315" s="79">
        <v>10312</v>
      </c>
      <c r="B315" s="77">
        <v>5</v>
      </c>
      <c r="C315" s="77">
        <v>1</v>
      </c>
      <c r="D315" s="79">
        <v>1</v>
      </c>
      <c r="E315" s="77">
        <v>11112</v>
      </c>
      <c r="F315" s="77">
        <v>0</v>
      </c>
    </row>
    <row r="316" spans="1:6" x14ac:dyDescent="0.25">
      <c r="A316" s="79">
        <v>10313</v>
      </c>
      <c r="B316" s="77">
        <v>5</v>
      </c>
      <c r="C316" s="77">
        <v>1</v>
      </c>
      <c r="D316" s="79">
        <v>1</v>
      </c>
      <c r="E316" s="77">
        <v>11113</v>
      </c>
      <c r="F316" s="77">
        <v>0</v>
      </c>
    </row>
    <row r="317" spans="1:6" x14ac:dyDescent="0.25">
      <c r="A317" s="79">
        <v>10314</v>
      </c>
      <c r="B317" s="77">
        <v>5</v>
      </c>
      <c r="C317" s="77">
        <v>1</v>
      </c>
      <c r="D317" s="79">
        <v>1</v>
      </c>
      <c r="E317" s="77">
        <v>11114</v>
      </c>
      <c r="F317" s="77">
        <v>0</v>
      </c>
    </row>
    <row r="318" spans="1:6" x14ac:dyDescent="0.25">
      <c r="A318" s="79">
        <v>10315</v>
      </c>
      <c r="B318" s="77">
        <v>5</v>
      </c>
      <c r="C318" s="77">
        <v>1</v>
      </c>
      <c r="D318" s="79">
        <v>1</v>
      </c>
      <c r="E318" s="77">
        <v>11115</v>
      </c>
      <c r="F318" s="77">
        <v>0</v>
      </c>
    </row>
    <row r="319" spans="1:6" x14ac:dyDescent="0.25">
      <c r="A319" s="79">
        <v>10316</v>
      </c>
      <c r="B319" s="77">
        <v>5</v>
      </c>
      <c r="C319" s="77">
        <v>1</v>
      </c>
      <c r="D319" s="79">
        <v>1</v>
      </c>
      <c r="E319" s="77">
        <v>11116</v>
      </c>
      <c r="F319" s="77">
        <v>10</v>
      </c>
    </row>
    <row r="320" spans="1:6" x14ac:dyDescent="0.25">
      <c r="A320" s="79">
        <v>10317</v>
      </c>
      <c r="B320" s="77">
        <v>5</v>
      </c>
      <c r="C320" s="77">
        <v>1</v>
      </c>
      <c r="D320" s="79">
        <v>1</v>
      </c>
      <c r="E320" s="77">
        <v>11117</v>
      </c>
      <c r="F320" s="77">
        <v>10</v>
      </c>
    </row>
    <row r="321" spans="1:6" x14ac:dyDescent="0.25">
      <c r="A321" s="79">
        <v>10318</v>
      </c>
      <c r="B321" s="77">
        <v>5</v>
      </c>
      <c r="C321" s="77">
        <v>1</v>
      </c>
      <c r="D321" s="79">
        <v>1</v>
      </c>
      <c r="E321" s="77">
        <v>11118</v>
      </c>
      <c r="F321" s="77">
        <v>10</v>
      </c>
    </row>
    <row r="322" spans="1:6" x14ac:dyDescent="0.25">
      <c r="A322" s="79">
        <v>10319</v>
      </c>
      <c r="B322" s="77">
        <v>5</v>
      </c>
      <c r="C322" s="77">
        <v>1</v>
      </c>
      <c r="D322" s="79">
        <v>1</v>
      </c>
      <c r="E322" s="77">
        <v>11119</v>
      </c>
      <c r="F322" s="77">
        <v>10</v>
      </c>
    </row>
    <row r="323" spans="1:6" x14ac:dyDescent="0.25">
      <c r="A323" s="79">
        <v>10320</v>
      </c>
      <c r="B323" s="77">
        <v>5</v>
      </c>
      <c r="C323" s="77">
        <v>1</v>
      </c>
      <c r="D323" s="79">
        <v>1</v>
      </c>
      <c r="E323" s="77">
        <v>11120</v>
      </c>
      <c r="F323" s="77">
        <v>10</v>
      </c>
    </row>
    <row r="324" spans="1:6" x14ac:dyDescent="0.25">
      <c r="A324" s="79">
        <v>10321</v>
      </c>
      <c r="B324" s="77">
        <v>5</v>
      </c>
      <c r="C324" s="77">
        <v>1</v>
      </c>
      <c r="D324" s="79">
        <v>1</v>
      </c>
      <c r="E324" s="77">
        <v>11121</v>
      </c>
      <c r="F324" s="77">
        <v>10</v>
      </c>
    </row>
    <row r="325" spans="1:6" x14ac:dyDescent="0.25">
      <c r="A325" s="79">
        <v>10322</v>
      </c>
      <c r="B325" s="77">
        <v>5</v>
      </c>
      <c r="C325" s="77">
        <v>1</v>
      </c>
      <c r="D325" s="79">
        <v>1</v>
      </c>
      <c r="E325" s="77">
        <v>11122</v>
      </c>
      <c r="F325" s="77">
        <v>10</v>
      </c>
    </row>
    <row r="326" spans="1:6" x14ac:dyDescent="0.25">
      <c r="A326" s="79">
        <v>10323</v>
      </c>
      <c r="B326" s="77">
        <v>5</v>
      </c>
      <c r="C326" s="77">
        <v>1</v>
      </c>
      <c r="D326" s="79">
        <v>1</v>
      </c>
      <c r="E326" s="77">
        <v>11123</v>
      </c>
      <c r="F326" s="77">
        <v>10</v>
      </c>
    </row>
    <row r="327" spans="1:6" x14ac:dyDescent="0.25">
      <c r="A327" s="79">
        <v>10324</v>
      </c>
      <c r="B327" s="77">
        <v>5</v>
      </c>
      <c r="C327" s="77">
        <v>1</v>
      </c>
      <c r="D327" s="79">
        <v>1</v>
      </c>
      <c r="E327" s="77">
        <v>11124</v>
      </c>
      <c r="F327" s="77">
        <v>10</v>
      </c>
    </row>
    <row r="328" spans="1:6" x14ac:dyDescent="0.25">
      <c r="A328" s="79">
        <v>10325</v>
      </c>
      <c r="B328" s="77">
        <v>5</v>
      </c>
      <c r="C328" s="77">
        <v>1</v>
      </c>
      <c r="D328" s="79">
        <v>1</v>
      </c>
      <c r="E328" s="77">
        <v>11125</v>
      </c>
      <c r="F328" s="77">
        <v>10</v>
      </c>
    </row>
    <row r="329" spans="1:6" x14ac:dyDescent="0.25">
      <c r="A329" s="79">
        <v>10326</v>
      </c>
      <c r="B329" s="77">
        <v>5</v>
      </c>
      <c r="C329" s="77">
        <v>1</v>
      </c>
      <c r="D329" s="79">
        <v>2</v>
      </c>
      <c r="E329" s="77">
        <v>11201</v>
      </c>
      <c r="F329" s="77">
        <v>0</v>
      </c>
    </row>
    <row r="330" spans="1:6" x14ac:dyDescent="0.25">
      <c r="A330" s="79">
        <v>10327</v>
      </c>
      <c r="B330" s="77">
        <v>5</v>
      </c>
      <c r="C330" s="77">
        <v>1</v>
      </c>
      <c r="D330" s="79">
        <v>2</v>
      </c>
      <c r="E330" s="77">
        <v>11202</v>
      </c>
      <c r="F330" s="77">
        <v>0</v>
      </c>
    </row>
    <row r="331" spans="1:6" x14ac:dyDescent="0.25">
      <c r="A331" s="79">
        <v>10328</v>
      </c>
      <c r="B331" s="77">
        <v>5</v>
      </c>
      <c r="C331" s="77">
        <v>1</v>
      </c>
      <c r="D331" s="79">
        <v>2</v>
      </c>
      <c r="E331" s="77">
        <v>11203</v>
      </c>
      <c r="F331" s="77">
        <v>0</v>
      </c>
    </row>
    <row r="332" spans="1:6" x14ac:dyDescent="0.25">
      <c r="A332" s="79">
        <v>10329</v>
      </c>
      <c r="B332" s="77">
        <v>5</v>
      </c>
      <c r="C332" s="77">
        <v>1</v>
      </c>
      <c r="D332" s="79">
        <v>2</v>
      </c>
      <c r="E332" s="77">
        <v>11204</v>
      </c>
      <c r="F332" s="77">
        <v>0</v>
      </c>
    </row>
    <row r="333" spans="1:6" x14ac:dyDescent="0.25">
      <c r="A333" s="79">
        <v>10330</v>
      </c>
      <c r="B333" s="77">
        <v>5</v>
      </c>
      <c r="C333" s="77">
        <v>1</v>
      </c>
      <c r="D333" s="79">
        <v>2</v>
      </c>
      <c r="E333" s="77">
        <v>11205</v>
      </c>
      <c r="F333" s="77">
        <v>0</v>
      </c>
    </row>
    <row r="334" spans="1:6" x14ac:dyDescent="0.25">
      <c r="A334" s="79">
        <v>10331</v>
      </c>
      <c r="B334" s="77">
        <v>5</v>
      </c>
      <c r="C334" s="77">
        <v>1</v>
      </c>
      <c r="D334" s="79">
        <v>2</v>
      </c>
      <c r="E334" s="77">
        <v>11206</v>
      </c>
      <c r="F334" s="77">
        <v>0</v>
      </c>
    </row>
    <row r="335" spans="1:6" x14ac:dyDescent="0.25">
      <c r="A335" s="79">
        <v>10332</v>
      </c>
      <c r="B335" s="77">
        <v>5</v>
      </c>
      <c r="C335" s="77">
        <v>1</v>
      </c>
      <c r="D335" s="79">
        <v>2</v>
      </c>
      <c r="E335" s="77">
        <v>11207</v>
      </c>
      <c r="F335" s="77">
        <v>0</v>
      </c>
    </row>
    <row r="336" spans="1:6" x14ac:dyDescent="0.25">
      <c r="A336" s="79">
        <v>10333</v>
      </c>
      <c r="B336" s="77">
        <v>5</v>
      </c>
      <c r="C336" s="77">
        <v>1</v>
      </c>
      <c r="D336" s="79">
        <v>2</v>
      </c>
      <c r="E336" s="77">
        <v>11208</v>
      </c>
      <c r="F336" s="77">
        <v>0</v>
      </c>
    </row>
    <row r="337" spans="1:6" x14ac:dyDescent="0.25">
      <c r="A337" s="79">
        <v>10334</v>
      </c>
      <c r="B337" s="77">
        <v>5</v>
      </c>
      <c r="C337" s="77">
        <v>1</v>
      </c>
      <c r="D337" s="79">
        <v>2</v>
      </c>
      <c r="E337" s="77">
        <v>11209</v>
      </c>
      <c r="F337" s="77">
        <v>0</v>
      </c>
    </row>
    <row r="338" spans="1:6" x14ac:dyDescent="0.25">
      <c r="A338" s="79">
        <v>10335</v>
      </c>
      <c r="B338" s="77">
        <v>5</v>
      </c>
      <c r="C338" s="77">
        <v>1</v>
      </c>
      <c r="D338" s="79">
        <v>2</v>
      </c>
      <c r="E338" s="77">
        <v>11210</v>
      </c>
      <c r="F338" s="77">
        <v>0</v>
      </c>
    </row>
    <row r="339" spans="1:6" x14ac:dyDescent="0.25">
      <c r="A339" s="79">
        <v>10336</v>
      </c>
      <c r="B339" s="77">
        <v>5</v>
      </c>
      <c r="C339" s="77">
        <v>1</v>
      </c>
      <c r="D339" s="79">
        <v>2</v>
      </c>
      <c r="E339" s="77">
        <v>11211</v>
      </c>
      <c r="F339" s="77">
        <v>0</v>
      </c>
    </row>
    <row r="340" spans="1:6" x14ac:dyDescent="0.25">
      <c r="A340" s="79">
        <v>10337</v>
      </c>
      <c r="B340" s="77">
        <v>5</v>
      </c>
      <c r="C340" s="77">
        <v>1</v>
      </c>
      <c r="D340" s="79">
        <v>2</v>
      </c>
      <c r="E340" s="77">
        <v>11212</v>
      </c>
      <c r="F340" s="77">
        <v>0</v>
      </c>
    </row>
    <row r="341" spans="1:6" x14ac:dyDescent="0.25">
      <c r="A341" s="79">
        <v>10338</v>
      </c>
      <c r="B341" s="77">
        <v>5</v>
      </c>
      <c r="C341" s="77">
        <v>1</v>
      </c>
      <c r="D341" s="79">
        <v>2</v>
      </c>
      <c r="E341" s="77">
        <v>11213</v>
      </c>
      <c r="F341" s="77">
        <v>0</v>
      </c>
    </row>
    <row r="342" spans="1:6" x14ac:dyDescent="0.25">
      <c r="A342" s="79">
        <v>10339</v>
      </c>
      <c r="B342" s="77">
        <v>5</v>
      </c>
      <c r="C342" s="77">
        <v>1</v>
      </c>
      <c r="D342" s="79">
        <v>2</v>
      </c>
      <c r="E342" s="77">
        <v>11214</v>
      </c>
      <c r="F342" s="77">
        <v>0</v>
      </c>
    </row>
    <row r="343" spans="1:6" x14ac:dyDescent="0.25">
      <c r="A343" s="79">
        <v>10340</v>
      </c>
      <c r="B343" s="77">
        <v>5</v>
      </c>
      <c r="C343" s="77">
        <v>1</v>
      </c>
      <c r="D343" s="79">
        <v>2</v>
      </c>
      <c r="E343" s="77">
        <v>11215</v>
      </c>
      <c r="F343" s="77">
        <v>0</v>
      </c>
    </row>
    <row r="344" spans="1:6" x14ac:dyDescent="0.25">
      <c r="A344" s="79">
        <v>10341</v>
      </c>
      <c r="B344" s="77">
        <v>5</v>
      </c>
      <c r="C344" s="77">
        <v>1</v>
      </c>
      <c r="D344" s="79">
        <v>2</v>
      </c>
      <c r="E344" s="77">
        <v>11216</v>
      </c>
      <c r="F344" s="77">
        <v>10</v>
      </c>
    </row>
    <row r="345" spans="1:6" x14ac:dyDescent="0.25">
      <c r="A345" s="79">
        <v>10342</v>
      </c>
      <c r="B345" s="77">
        <v>5</v>
      </c>
      <c r="C345" s="77">
        <v>1</v>
      </c>
      <c r="D345" s="79">
        <v>2</v>
      </c>
      <c r="E345" s="77">
        <v>11217</v>
      </c>
      <c r="F345" s="77">
        <v>10</v>
      </c>
    </row>
    <row r="346" spans="1:6" x14ac:dyDescent="0.25">
      <c r="A346" s="79">
        <v>10343</v>
      </c>
      <c r="B346" s="77">
        <v>5</v>
      </c>
      <c r="C346" s="77">
        <v>1</v>
      </c>
      <c r="D346" s="79">
        <v>2</v>
      </c>
      <c r="E346" s="77">
        <v>11218</v>
      </c>
      <c r="F346" s="77">
        <v>10</v>
      </c>
    </row>
    <row r="347" spans="1:6" x14ac:dyDescent="0.25">
      <c r="A347" s="79">
        <v>10344</v>
      </c>
      <c r="B347" s="77">
        <v>5</v>
      </c>
      <c r="C347" s="77">
        <v>1</v>
      </c>
      <c r="D347" s="79">
        <v>2</v>
      </c>
      <c r="E347" s="77">
        <v>11219</v>
      </c>
      <c r="F347" s="77">
        <v>10</v>
      </c>
    </row>
    <row r="348" spans="1:6" x14ac:dyDescent="0.25">
      <c r="A348" s="79">
        <v>10345</v>
      </c>
      <c r="B348" s="77">
        <v>5</v>
      </c>
      <c r="C348" s="77">
        <v>1</v>
      </c>
      <c r="D348" s="79">
        <v>2</v>
      </c>
      <c r="E348" s="77">
        <v>11220</v>
      </c>
      <c r="F348" s="77">
        <v>10</v>
      </c>
    </row>
    <row r="349" spans="1:6" x14ac:dyDescent="0.25">
      <c r="A349" s="79">
        <v>10346</v>
      </c>
      <c r="B349" s="77">
        <v>5</v>
      </c>
      <c r="C349" s="77">
        <v>1</v>
      </c>
      <c r="D349" s="79">
        <v>2</v>
      </c>
      <c r="E349" s="77">
        <v>11221</v>
      </c>
      <c r="F349" s="77">
        <v>10</v>
      </c>
    </row>
    <row r="350" spans="1:6" x14ac:dyDescent="0.25">
      <c r="A350" s="79">
        <v>10347</v>
      </c>
      <c r="B350" s="77">
        <v>5</v>
      </c>
      <c r="C350" s="77">
        <v>1</v>
      </c>
      <c r="D350" s="79">
        <v>2</v>
      </c>
      <c r="E350" s="77">
        <v>11222</v>
      </c>
      <c r="F350" s="77">
        <v>10</v>
      </c>
    </row>
    <row r="351" spans="1:6" x14ac:dyDescent="0.25">
      <c r="A351" s="79">
        <v>10348</v>
      </c>
      <c r="B351" s="77">
        <v>5</v>
      </c>
      <c r="C351" s="77">
        <v>1</v>
      </c>
      <c r="D351" s="79">
        <v>2</v>
      </c>
      <c r="E351" s="77">
        <v>11223</v>
      </c>
      <c r="F351" s="77">
        <v>10</v>
      </c>
    </row>
    <row r="352" spans="1:6" x14ac:dyDescent="0.25">
      <c r="A352" s="79">
        <v>10349</v>
      </c>
      <c r="B352" s="77">
        <v>5</v>
      </c>
      <c r="C352" s="77">
        <v>1</v>
      </c>
      <c r="D352" s="79">
        <v>2</v>
      </c>
      <c r="E352" s="77">
        <v>11224</v>
      </c>
      <c r="F352" s="77">
        <v>10</v>
      </c>
    </row>
    <row r="353" spans="1:6" x14ac:dyDescent="0.25">
      <c r="A353" s="79">
        <v>10350</v>
      </c>
      <c r="B353" s="77">
        <v>5</v>
      </c>
      <c r="C353" s="77">
        <v>1</v>
      </c>
      <c r="D353" s="79">
        <v>2</v>
      </c>
      <c r="E353" s="77">
        <v>11225</v>
      </c>
      <c r="F353" s="77">
        <v>10</v>
      </c>
    </row>
    <row r="354" spans="1:6" x14ac:dyDescent="0.25">
      <c r="A354" s="79">
        <v>10351</v>
      </c>
      <c r="B354" s="77">
        <v>5</v>
      </c>
      <c r="C354" s="77">
        <v>1</v>
      </c>
      <c r="D354" s="79">
        <v>3</v>
      </c>
      <c r="E354" s="77">
        <v>11301</v>
      </c>
      <c r="F354" s="77">
        <v>0</v>
      </c>
    </row>
    <row r="355" spans="1:6" x14ac:dyDescent="0.25">
      <c r="A355" s="79">
        <v>10352</v>
      </c>
      <c r="B355" s="77">
        <v>5</v>
      </c>
      <c r="C355" s="77">
        <v>1</v>
      </c>
      <c r="D355" s="79">
        <v>3</v>
      </c>
      <c r="E355" s="77">
        <v>11302</v>
      </c>
      <c r="F355" s="77">
        <v>0</v>
      </c>
    </row>
    <row r="356" spans="1:6" x14ac:dyDescent="0.25">
      <c r="A356" s="79">
        <v>10353</v>
      </c>
      <c r="B356" s="77">
        <v>5</v>
      </c>
      <c r="C356" s="77">
        <v>1</v>
      </c>
      <c r="D356" s="79">
        <v>3</v>
      </c>
      <c r="E356" s="77">
        <v>11303</v>
      </c>
      <c r="F356" s="77">
        <v>0</v>
      </c>
    </row>
    <row r="357" spans="1:6" x14ac:dyDescent="0.25">
      <c r="A357" s="79">
        <v>10354</v>
      </c>
      <c r="B357" s="77">
        <v>5</v>
      </c>
      <c r="C357" s="77">
        <v>1</v>
      </c>
      <c r="D357" s="79">
        <v>3</v>
      </c>
      <c r="E357" s="77">
        <v>11304</v>
      </c>
      <c r="F357" s="77">
        <v>0</v>
      </c>
    </row>
    <row r="358" spans="1:6" x14ac:dyDescent="0.25">
      <c r="A358" s="79">
        <v>10355</v>
      </c>
      <c r="B358" s="77">
        <v>5</v>
      </c>
      <c r="C358" s="77">
        <v>1</v>
      </c>
      <c r="D358" s="79">
        <v>3</v>
      </c>
      <c r="E358" s="77">
        <v>11305</v>
      </c>
      <c r="F358" s="77">
        <v>0</v>
      </c>
    </row>
    <row r="359" spans="1:6" x14ac:dyDescent="0.25">
      <c r="A359" s="79">
        <v>10356</v>
      </c>
      <c r="B359" s="77">
        <v>5</v>
      </c>
      <c r="C359" s="77">
        <v>1</v>
      </c>
      <c r="D359" s="79">
        <v>3</v>
      </c>
      <c r="E359" s="77">
        <v>11306</v>
      </c>
      <c r="F359" s="77">
        <v>0</v>
      </c>
    </row>
    <row r="360" spans="1:6" x14ac:dyDescent="0.25">
      <c r="A360" s="79">
        <v>10357</v>
      </c>
      <c r="B360" s="77">
        <v>5</v>
      </c>
      <c r="C360" s="77">
        <v>1</v>
      </c>
      <c r="D360" s="79">
        <v>3</v>
      </c>
      <c r="E360" s="77">
        <v>11307</v>
      </c>
      <c r="F360" s="77">
        <v>0</v>
      </c>
    </row>
    <row r="361" spans="1:6" x14ac:dyDescent="0.25">
      <c r="A361" s="79">
        <v>10358</v>
      </c>
      <c r="B361" s="77">
        <v>5</v>
      </c>
      <c r="C361" s="77">
        <v>1</v>
      </c>
      <c r="D361" s="79">
        <v>3</v>
      </c>
      <c r="E361" s="77">
        <v>11308</v>
      </c>
      <c r="F361" s="77">
        <v>0</v>
      </c>
    </row>
    <row r="362" spans="1:6" x14ac:dyDescent="0.25">
      <c r="A362" s="79">
        <v>10359</v>
      </c>
      <c r="B362" s="77">
        <v>5</v>
      </c>
      <c r="C362" s="77">
        <v>1</v>
      </c>
      <c r="D362" s="79">
        <v>3</v>
      </c>
      <c r="E362" s="77">
        <v>11309</v>
      </c>
      <c r="F362" s="77">
        <v>0</v>
      </c>
    </row>
    <row r="363" spans="1:6" x14ac:dyDescent="0.25">
      <c r="A363" s="79">
        <v>10360</v>
      </c>
      <c r="B363" s="77">
        <v>5</v>
      </c>
      <c r="C363" s="77">
        <v>1</v>
      </c>
      <c r="D363" s="79">
        <v>3</v>
      </c>
      <c r="E363" s="77">
        <v>11310</v>
      </c>
      <c r="F363" s="77">
        <v>0</v>
      </c>
    </row>
    <row r="364" spans="1:6" x14ac:dyDescent="0.25">
      <c r="A364" s="79">
        <v>10361</v>
      </c>
      <c r="B364" s="77">
        <v>5</v>
      </c>
      <c r="C364" s="77">
        <v>1</v>
      </c>
      <c r="D364" s="79">
        <v>3</v>
      </c>
      <c r="E364" s="77">
        <v>11311</v>
      </c>
      <c r="F364" s="77">
        <v>0</v>
      </c>
    </row>
    <row r="365" spans="1:6" x14ac:dyDescent="0.25">
      <c r="A365" s="79">
        <v>10362</v>
      </c>
      <c r="B365" s="77">
        <v>5</v>
      </c>
      <c r="C365" s="77">
        <v>1</v>
      </c>
      <c r="D365" s="79">
        <v>3</v>
      </c>
      <c r="E365" s="77">
        <v>11312</v>
      </c>
      <c r="F365" s="77">
        <v>0</v>
      </c>
    </row>
    <row r="366" spans="1:6" x14ac:dyDescent="0.25">
      <c r="A366" s="79">
        <v>10363</v>
      </c>
      <c r="B366" s="77">
        <v>5</v>
      </c>
      <c r="C366" s="77">
        <v>1</v>
      </c>
      <c r="D366" s="79">
        <v>3</v>
      </c>
      <c r="E366" s="77">
        <v>11313</v>
      </c>
      <c r="F366" s="77">
        <v>0</v>
      </c>
    </row>
    <row r="367" spans="1:6" x14ac:dyDescent="0.25">
      <c r="A367" s="79">
        <v>10364</v>
      </c>
      <c r="B367" s="77">
        <v>5</v>
      </c>
      <c r="C367" s="77">
        <v>1</v>
      </c>
      <c r="D367" s="79">
        <v>3</v>
      </c>
      <c r="E367" s="77">
        <v>11314</v>
      </c>
      <c r="F367" s="77">
        <v>0</v>
      </c>
    </row>
    <row r="368" spans="1:6" x14ac:dyDescent="0.25">
      <c r="A368" s="79">
        <v>10365</v>
      </c>
      <c r="B368" s="77">
        <v>5</v>
      </c>
      <c r="C368" s="77">
        <v>1</v>
      </c>
      <c r="D368" s="79">
        <v>3</v>
      </c>
      <c r="E368" s="77">
        <v>11315</v>
      </c>
      <c r="F368" s="77">
        <v>0</v>
      </c>
    </row>
    <row r="369" spans="1:6" x14ac:dyDescent="0.25">
      <c r="A369" s="79">
        <v>10366</v>
      </c>
      <c r="B369" s="77">
        <v>5</v>
      </c>
      <c r="C369" s="77">
        <v>1</v>
      </c>
      <c r="D369" s="79">
        <v>3</v>
      </c>
      <c r="E369" s="77">
        <v>11316</v>
      </c>
      <c r="F369" s="77">
        <v>10</v>
      </c>
    </row>
    <row r="370" spans="1:6" x14ac:dyDescent="0.25">
      <c r="A370" s="79">
        <v>10367</v>
      </c>
      <c r="B370" s="77">
        <v>5</v>
      </c>
      <c r="C370" s="77">
        <v>1</v>
      </c>
      <c r="D370" s="79">
        <v>3</v>
      </c>
      <c r="E370" s="77">
        <v>11317</v>
      </c>
      <c r="F370" s="77">
        <v>10</v>
      </c>
    </row>
    <row r="371" spans="1:6" x14ac:dyDescent="0.25">
      <c r="A371" s="79">
        <v>10368</v>
      </c>
      <c r="B371" s="77">
        <v>5</v>
      </c>
      <c r="C371" s="77">
        <v>1</v>
      </c>
      <c r="D371" s="79">
        <v>3</v>
      </c>
      <c r="E371" s="77">
        <v>11318</v>
      </c>
      <c r="F371" s="77">
        <v>10</v>
      </c>
    </row>
    <row r="372" spans="1:6" x14ac:dyDescent="0.25">
      <c r="A372" s="79">
        <v>10369</v>
      </c>
      <c r="B372" s="77">
        <v>5</v>
      </c>
      <c r="C372" s="77">
        <v>1</v>
      </c>
      <c r="D372" s="79">
        <v>3</v>
      </c>
      <c r="E372" s="77">
        <v>11319</v>
      </c>
      <c r="F372" s="77">
        <v>10</v>
      </c>
    </row>
    <row r="373" spans="1:6" x14ac:dyDescent="0.25">
      <c r="A373" s="79">
        <v>10370</v>
      </c>
      <c r="B373" s="77">
        <v>5</v>
      </c>
      <c r="C373" s="77">
        <v>1</v>
      </c>
      <c r="D373" s="79">
        <v>3</v>
      </c>
      <c r="E373" s="77">
        <v>11320</v>
      </c>
      <c r="F373" s="77">
        <v>10</v>
      </c>
    </row>
    <row r="374" spans="1:6" x14ac:dyDescent="0.25">
      <c r="A374" s="79">
        <v>10371</v>
      </c>
      <c r="B374" s="77">
        <v>5</v>
      </c>
      <c r="C374" s="77">
        <v>1</v>
      </c>
      <c r="D374" s="79">
        <v>3</v>
      </c>
      <c r="E374" s="77">
        <v>11321</v>
      </c>
      <c r="F374" s="77">
        <v>10</v>
      </c>
    </row>
    <row r="375" spans="1:6" x14ac:dyDescent="0.25">
      <c r="A375" s="79">
        <v>10372</v>
      </c>
      <c r="B375" s="77">
        <v>5</v>
      </c>
      <c r="C375" s="77">
        <v>1</v>
      </c>
      <c r="D375" s="79">
        <v>3</v>
      </c>
      <c r="E375" s="77">
        <v>11322</v>
      </c>
      <c r="F375" s="77">
        <v>10</v>
      </c>
    </row>
    <row r="376" spans="1:6" x14ac:dyDescent="0.25">
      <c r="A376" s="79">
        <v>10373</v>
      </c>
      <c r="B376" s="77">
        <v>5</v>
      </c>
      <c r="C376" s="77">
        <v>1</v>
      </c>
      <c r="D376" s="79">
        <v>3</v>
      </c>
      <c r="E376" s="77">
        <v>11323</v>
      </c>
      <c r="F376" s="77">
        <v>10</v>
      </c>
    </row>
    <row r="377" spans="1:6" x14ac:dyDescent="0.25">
      <c r="A377" s="79">
        <v>10374</v>
      </c>
      <c r="B377" s="77">
        <v>5</v>
      </c>
      <c r="C377" s="77">
        <v>1</v>
      </c>
      <c r="D377" s="79">
        <v>3</v>
      </c>
      <c r="E377" s="77">
        <v>11324</v>
      </c>
      <c r="F377" s="77">
        <v>10</v>
      </c>
    </row>
    <row r="378" spans="1:6" x14ac:dyDescent="0.25">
      <c r="A378" s="79">
        <v>10375</v>
      </c>
      <c r="B378" s="77">
        <v>5</v>
      </c>
      <c r="C378" s="77">
        <v>1</v>
      </c>
      <c r="D378" s="79">
        <v>3</v>
      </c>
      <c r="E378" s="77">
        <v>11325</v>
      </c>
      <c r="F378" s="77">
        <v>10</v>
      </c>
    </row>
    <row r="379" spans="1:6" x14ac:dyDescent="0.25">
      <c r="A379" s="79">
        <v>10376</v>
      </c>
      <c r="B379" s="77">
        <v>6</v>
      </c>
      <c r="C379" s="77">
        <v>1</v>
      </c>
      <c r="D379" s="79">
        <v>1</v>
      </c>
      <c r="E379" s="77">
        <v>11101</v>
      </c>
      <c r="F379" s="77">
        <v>0</v>
      </c>
    </row>
    <row r="380" spans="1:6" x14ac:dyDescent="0.25">
      <c r="A380" s="79">
        <v>10377</v>
      </c>
      <c r="B380" s="77">
        <v>6</v>
      </c>
      <c r="C380" s="77">
        <v>1</v>
      </c>
      <c r="D380" s="79">
        <v>1</v>
      </c>
      <c r="E380" s="77">
        <v>11102</v>
      </c>
      <c r="F380" s="77">
        <v>0</v>
      </c>
    </row>
    <row r="381" spans="1:6" x14ac:dyDescent="0.25">
      <c r="A381" s="79">
        <v>10378</v>
      </c>
      <c r="B381" s="77">
        <v>6</v>
      </c>
      <c r="C381" s="77">
        <v>1</v>
      </c>
      <c r="D381" s="79">
        <v>1</v>
      </c>
      <c r="E381" s="77">
        <v>11103</v>
      </c>
      <c r="F381" s="77">
        <v>0</v>
      </c>
    </row>
    <row r="382" spans="1:6" x14ac:dyDescent="0.25">
      <c r="A382" s="79">
        <v>10379</v>
      </c>
      <c r="B382" s="77">
        <v>6</v>
      </c>
      <c r="C382" s="77">
        <v>1</v>
      </c>
      <c r="D382" s="79">
        <v>1</v>
      </c>
      <c r="E382" s="77">
        <v>11104</v>
      </c>
      <c r="F382" s="77">
        <v>0</v>
      </c>
    </row>
    <row r="383" spans="1:6" x14ac:dyDescent="0.25">
      <c r="A383" s="79">
        <v>10380</v>
      </c>
      <c r="B383" s="77">
        <v>6</v>
      </c>
      <c r="C383" s="77">
        <v>1</v>
      </c>
      <c r="D383" s="79">
        <v>1</v>
      </c>
      <c r="E383" s="77">
        <v>11105</v>
      </c>
      <c r="F383" s="77">
        <v>0</v>
      </c>
    </row>
    <row r="384" spans="1:6" x14ac:dyDescent="0.25">
      <c r="A384" s="79">
        <v>10381</v>
      </c>
      <c r="B384" s="77">
        <v>6</v>
      </c>
      <c r="C384" s="77">
        <v>1</v>
      </c>
      <c r="D384" s="79">
        <v>1</v>
      </c>
      <c r="E384" s="77">
        <v>11106</v>
      </c>
      <c r="F384" s="77">
        <v>0</v>
      </c>
    </row>
    <row r="385" spans="1:6" x14ac:dyDescent="0.25">
      <c r="A385" s="79">
        <v>10382</v>
      </c>
      <c r="B385" s="77">
        <v>6</v>
      </c>
      <c r="C385" s="77">
        <v>1</v>
      </c>
      <c r="D385" s="79">
        <v>1</v>
      </c>
      <c r="E385" s="77">
        <v>11107</v>
      </c>
      <c r="F385" s="77">
        <v>0</v>
      </c>
    </row>
    <row r="386" spans="1:6" x14ac:dyDescent="0.25">
      <c r="A386" s="79">
        <v>10383</v>
      </c>
      <c r="B386" s="77">
        <v>6</v>
      </c>
      <c r="C386" s="77">
        <v>1</v>
      </c>
      <c r="D386" s="79">
        <v>1</v>
      </c>
      <c r="E386" s="77">
        <v>11108</v>
      </c>
      <c r="F386" s="77">
        <v>0</v>
      </c>
    </row>
    <row r="387" spans="1:6" x14ac:dyDescent="0.25">
      <c r="A387" s="79">
        <v>10384</v>
      </c>
      <c r="B387" s="77">
        <v>6</v>
      </c>
      <c r="C387" s="77">
        <v>1</v>
      </c>
      <c r="D387" s="79">
        <v>1</v>
      </c>
      <c r="E387" s="77">
        <v>11109</v>
      </c>
      <c r="F387" s="77">
        <v>0</v>
      </c>
    </row>
    <row r="388" spans="1:6" x14ac:dyDescent="0.25">
      <c r="A388" s="79">
        <v>10385</v>
      </c>
      <c r="B388" s="77">
        <v>6</v>
      </c>
      <c r="C388" s="77">
        <v>1</v>
      </c>
      <c r="D388" s="79">
        <v>1</v>
      </c>
      <c r="E388" s="77">
        <v>11110</v>
      </c>
      <c r="F388" s="77">
        <v>0</v>
      </c>
    </row>
    <row r="389" spans="1:6" x14ac:dyDescent="0.25">
      <c r="A389" s="79">
        <v>10386</v>
      </c>
      <c r="B389" s="77">
        <v>6</v>
      </c>
      <c r="C389" s="77">
        <v>1</v>
      </c>
      <c r="D389" s="79">
        <v>1</v>
      </c>
      <c r="E389" s="77">
        <v>11111</v>
      </c>
      <c r="F389" s="77">
        <v>0</v>
      </c>
    </row>
    <row r="390" spans="1:6" x14ac:dyDescent="0.25">
      <c r="A390" s="79">
        <v>10387</v>
      </c>
      <c r="B390" s="77">
        <v>6</v>
      </c>
      <c r="C390" s="77">
        <v>1</v>
      </c>
      <c r="D390" s="79">
        <v>1</v>
      </c>
      <c r="E390" s="77">
        <v>11112</v>
      </c>
      <c r="F390" s="77">
        <v>0</v>
      </c>
    </row>
    <row r="391" spans="1:6" x14ac:dyDescent="0.25">
      <c r="A391" s="79">
        <v>10388</v>
      </c>
      <c r="B391" s="77">
        <v>6</v>
      </c>
      <c r="C391" s="77">
        <v>1</v>
      </c>
      <c r="D391" s="79">
        <v>1</v>
      </c>
      <c r="E391" s="77">
        <v>11113</v>
      </c>
      <c r="F391" s="77">
        <v>0</v>
      </c>
    </row>
    <row r="392" spans="1:6" x14ac:dyDescent="0.25">
      <c r="A392" s="79">
        <v>10389</v>
      </c>
      <c r="B392" s="77">
        <v>6</v>
      </c>
      <c r="C392" s="77">
        <v>1</v>
      </c>
      <c r="D392" s="79">
        <v>1</v>
      </c>
      <c r="E392" s="77">
        <v>11114</v>
      </c>
      <c r="F392" s="77">
        <v>0</v>
      </c>
    </row>
    <row r="393" spans="1:6" x14ac:dyDescent="0.25">
      <c r="A393" s="79">
        <v>10390</v>
      </c>
      <c r="B393" s="77">
        <v>6</v>
      </c>
      <c r="C393" s="77">
        <v>1</v>
      </c>
      <c r="D393" s="79">
        <v>1</v>
      </c>
      <c r="E393" s="77">
        <v>11115</v>
      </c>
      <c r="F393" s="77">
        <v>0</v>
      </c>
    </row>
    <row r="394" spans="1:6" x14ac:dyDescent="0.25">
      <c r="A394" s="79">
        <v>10391</v>
      </c>
      <c r="B394" s="77">
        <v>6</v>
      </c>
      <c r="C394" s="77">
        <v>1</v>
      </c>
      <c r="D394" s="79">
        <v>1</v>
      </c>
      <c r="E394" s="77">
        <v>11116</v>
      </c>
      <c r="F394" s="77">
        <v>10</v>
      </c>
    </row>
    <row r="395" spans="1:6" x14ac:dyDescent="0.25">
      <c r="A395" s="79">
        <v>10392</v>
      </c>
      <c r="B395" s="77">
        <v>6</v>
      </c>
      <c r="C395" s="77">
        <v>1</v>
      </c>
      <c r="D395" s="79">
        <v>1</v>
      </c>
      <c r="E395" s="77">
        <v>11117</v>
      </c>
      <c r="F395" s="77">
        <v>10</v>
      </c>
    </row>
    <row r="396" spans="1:6" x14ac:dyDescent="0.25">
      <c r="A396" s="79">
        <v>10393</v>
      </c>
      <c r="B396" s="77">
        <v>6</v>
      </c>
      <c r="C396" s="77">
        <v>1</v>
      </c>
      <c r="D396" s="79">
        <v>1</v>
      </c>
      <c r="E396" s="77">
        <v>11118</v>
      </c>
      <c r="F396" s="77">
        <v>10</v>
      </c>
    </row>
    <row r="397" spans="1:6" x14ac:dyDescent="0.25">
      <c r="A397" s="79">
        <v>10394</v>
      </c>
      <c r="B397" s="77">
        <v>6</v>
      </c>
      <c r="C397" s="77">
        <v>1</v>
      </c>
      <c r="D397" s="79">
        <v>1</v>
      </c>
      <c r="E397" s="77">
        <v>11119</v>
      </c>
      <c r="F397" s="77">
        <v>10</v>
      </c>
    </row>
    <row r="398" spans="1:6" x14ac:dyDescent="0.25">
      <c r="A398" s="79">
        <v>10395</v>
      </c>
      <c r="B398" s="77">
        <v>6</v>
      </c>
      <c r="C398" s="77">
        <v>1</v>
      </c>
      <c r="D398" s="79">
        <v>1</v>
      </c>
      <c r="E398" s="77">
        <v>11120</v>
      </c>
      <c r="F398" s="77">
        <v>10</v>
      </c>
    </row>
    <row r="399" spans="1:6" x14ac:dyDescent="0.25">
      <c r="A399" s="79">
        <v>10396</v>
      </c>
      <c r="B399" s="77">
        <v>6</v>
      </c>
      <c r="C399" s="77">
        <v>1</v>
      </c>
      <c r="D399" s="79">
        <v>1</v>
      </c>
      <c r="E399" s="77">
        <v>11121</v>
      </c>
      <c r="F399" s="77">
        <v>10</v>
      </c>
    </row>
    <row r="400" spans="1:6" x14ac:dyDescent="0.25">
      <c r="A400" s="79">
        <v>10397</v>
      </c>
      <c r="B400" s="77">
        <v>6</v>
      </c>
      <c r="C400" s="77">
        <v>1</v>
      </c>
      <c r="D400" s="79">
        <v>1</v>
      </c>
      <c r="E400" s="77">
        <v>11122</v>
      </c>
      <c r="F400" s="77">
        <v>10</v>
      </c>
    </row>
    <row r="401" spans="1:6" x14ac:dyDescent="0.25">
      <c r="A401" s="79">
        <v>10398</v>
      </c>
      <c r="B401" s="77">
        <v>6</v>
      </c>
      <c r="C401" s="77">
        <v>1</v>
      </c>
      <c r="D401" s="79">
        <v>1</v>
      </c>
      <c r="E401" s="77">
        <v>11123</v>
      </c>
      <c r="F401" s="77">
        <v>10</v>
      </c>
    </row>
    <row r="402" spans="1:6" x14ac:dyDescent="0.25">
      <c r="A402" s="79">
        <v>10399</v>
      </c>
      <c r="B402" s="77">
        <v>6</v>
      </c>
      <c r="C402" s="77">
        <v>1</v>
      </c>
      <c r="D402" s="79">
        <v>1</v>
      </c>
      <c r="E402" s="77">
        <v>11124</v>
      </c>
      <c r="F402" s="77">
        <v>10</v>
      </c>
    </row>
    <row r="403" spans="1:6" x14ac:dyDescent="0.25">
      <c r="A403" s="79">
        <v>10400</v>
      </c>
      <c r="B403" s="77">
        <v>6</v>
      </c>
      <c r="C403" s="77">
        <v>1</v>
      </c>
      <c r="D403" s="79">
        <v>1</v>
      </c>
      <c r="E403" s="77">
        <v>11125</v>
      </c>
      <c r="F403" s="77">
        <v>10</v>
      </c>
    </row>
    <row r="404" spans="1:6" x14ac:dyDescent="0.25">
      <c r="A404" s="79">
        <v>10401</v>
      </c>
      <c r="B404" s="77">
        <v>6</v>
      </c>
      <c r="C404" s="77">
        <v>1</v>
      </c>
      <c r="D404" s="79">
        <v>2</v>
      </c>
      <c r="E404" s="77">
        <v>11201</v>
      </c>
      <c r="F404" s="77">
        <v>0</v>
      </c>
    </row>
    <row r="405" spans="1:6" x14ac:dyDescent="0.25">
      <c r="A405" s="79">
        <v>10402</v>
      </c>
      <c r="B405" s="77">
        <v>6</v>
      </c>
      <c r="C405" s="77">
        <v>1</v>
      </c>
      <c r="D405" s="79">
        <v>2</v>
      </c>
      <c r="E405" s="77">
        <v>11202</v>
      </c>
      <c r="F405" s="77">
        <v>0</v>
      </c>
    </row>
    <row r="406" spans="1:6" x14ac:dyDescent="0.25">
      <c r="A406" s="79">
        <v>10403</v>
      </c>
      <c r="B406" s="77">
        <v>6</v>
      </c>
      <c r="C406" s="77">
        <v>1</v>
      </c>
      <c r="D406" s="79">
        <v>2</v>
      </c>
      <c r="E406" s="77">
        <v>11203</v>
      </c>
      <c r="F406" s="77">
        <v>0</v>
      </c>
    </row>
    <row r="407" spans="1:6" x14ac:dyDescent="0.25">
      <c r="A407" s="79">
        <v>10404</v>
      </c>
      <c r="B407" s="77">
        <v>6</v>
      </c>
      <c r="C407" s="77">
        <v>1</v>
      </c>
      <c r="D407" s="79">
        <v>2</v>
      </c>
      <c r="E407" s="77">
        <v>11204</v>
      </c>
      <c r="F407" s="77">
        <v>0</v>
      </c>
    </row>
    <row r="408" spans="1:6" x14ac:dyDescent="0.25">
      <c r="A408" s="79">
        <v>10405</v>
      </c>
      <c r="B408" s="77">
        <v>6</v>
      </c>
      <c r="C408" s="77">
        <v>1</v>
      </c>
      <c r="D408" s="79">
        <v>2</v>
      </c>
      <c r="E408" s="77">
        <v>11205</v>
      </c>
      <c r="F408" s="77">
        <v>0</v>
      </c>
    </row>
    <row r="409" spans="1:6" x14ac:dyDescent="0.25">
      <c r="A409" s="79">
        <v>10406</v>
      </c>
      <c r="B409" s="77">
        <v>6</v>
      </c>
      <c r="C409" s="77">
        <v>1</v>
      </c>
      <c r="D409" s="79">
        <v>2</v>
      </c>
      <c r="E409" s="77">
        <v>11206</v>
      </c>
      <c r="F409" s="77">
        <v>0</v>
      </c>
    </row>
    <row r="410" spans="1:6" x14ac:dyDescent="0.25">
      <c r="A410" s="79">
        <v>10407</v>
      </c>
      <c r="B410" s="77">
        <v>6</v>
      </c>
      <c r="C410" s="77">
        <v>1</v>
      </c>
      <c r="D410" s="79">
        <v>2</v>
      </c>
      <c r="E410" s="77">
        <v>11207</v>
      </c>
      <c r="F410" s="77">
        <v>0</v>
      </c>
    </row>
    <row r="411" spans="1:6" x14ac:dyDescent="0.25">
      <c r="A411" s="79">
        <v>10408</v>
      </c>
      <c r="B411" s="77">
        <v>6</v>
      </c>
      <c r="C411" s="77">
        <v>1</v>
      </c>
      <c r="D411" s="79">
        <v>2</v>
      </c>
      <c r="E411" s="77">
        <v>11208</v>
      </c>
      <c r="F411" s="77">
        <v>0</v>
      </c>
    </row>
    <row r="412" spans="1:6" x14ac:dyDescent="0.25">
      <c r="A412" s="79">
        <v>10409</v>
      </c>
      <c r="B412" s="77">
        <v>6</v>
      </c>
      <c r="C412" s="77">
        <v>1</v>
      </c>
      <c r="D412" s="79">
        <v>2</v>
      </c>
      <c r="E412" s="77">
        <v>11209</v>
      </c>
      <c r="F412" s="77">
        <v>0</v>
      </c>
    </row>
    <row r="413" spans="1:6" x14ac:dyDescent="0.25">
      <c r="A413" s="79">
        <v>10410</v>
      </c>
      <c r="B413" s="77">
        <v>6</v>
      </c>
      <c r="C413" s="77">
        <v>1</v>
      </c>
      <c r="D413" s="79">
        <v>2</v>
      </c>
      <c r="E413" s="77">
        <v>11210</v>
      </c>
      <c r="F413" s="77">
        <v>0</v>
      </c>
    </row>
    <row r="414" spans="1:6" x14ac:dyDescent="0.25">
      <c r="A414" s="79">
        <v>10411</v>
      </c>
      <c r="B414" s="77">
        <v>6</v>
      </c>
      <c r="C414" s="77">
        <v>1</v>
      </c>
      <c r="D414" s="79">
        <v>2</v>
      </c>
      <c r="E414" s="77">
        <v>11211</v>
      </c>
      <c r="F414" s="77">
        <v>0</v>
      </c>
    </row>
    <row r="415" spans="1:6" x14ac:dyDescent="0.25">
      <c r="A415" s="79">
        <v>10412</v>
      </c>
      <c r="B415" s="77">
        <v>6</v>
      </c>
      <c r="C415" s="77">
        <v>1</v>
      </c>
      <c r="D415" s="79">
        <v>2</v>
      </c>
      <c r="E415" s="77">
        <v>11212</v>
      </c>
      <c r="F415" s="77">
        <v>0</v>
      </c>
    </row>
    <row r="416" spans="1:6" x14ac:dyDescent="0.25">
      <c r="A416" s="79">
        <v>10413</v>
      </c>
      <c r="B416" s="77">
        <v>6</v>
      </c>
      <c r="C416" s="77">
        <v>1</v>
      </c>
      <c r="D416" s="79">
        <v>2</v>
      </c>
      <c r="E416" s="77">
        <v>11213</v>
      </c>
      <c r="F416" s="77">
        <v>0</v>
      </c>
    </row>
    <row r="417" spans="1:6" x14ac:dyDescent="0.25">
      <c r="A417" s="79">
        <v>10414</v>
      </c>
      <c r="B417" s="77">
        <v>6</v>
      </c>
      <c r="C417" s="77">
        <v>1</v>
      </c>
      <c r="D417" s="79">
        <v>2</v>
      </c>
      <c r="E417" s="77">
        <v>11214</v>
      </c>
      <c r="F417" s="77">
        <v>0</v>
      </c>
    </row>
    <row r="418" spans="1:6" x14ac:dyDescent="0.25">
      <c r="A418" s="79">
        <v>10415</v>
      </c>
      <c r="B418" s="77">
        <v>6</v>
      </c>
      <c r="C418" s="77">
        <v>1</v>
      </c>
      <c r="D418" s="79">
        <v>2</v>
      </c>
      <c r="E418" s="77">
        <v>11215</v>
      </c>
      <c r="F418" s="77">
        <v>0</v>
      </c>
    </row>
    <row r="419" spans="1:6" x14ac:dyDescent="0.25">
      <c r="A419" s="79">
        <v>10416</v>
      </c>
      <c r="B419" s="77">
        <v>6</v>
      </c>
      <c r="C419" s="77">
        <v>1</v>
      </c>
      <c r="D419" s="79">
        <v>2</v>
      </c>
      <c r="E419" s="77">
        <v>11216</v>
      </c>
      <c r="F419" s="77">
        <v>10</v>
      </c>
    </row>
    <row r="420" spans="1:6" x14ac:dyDescent="0.25">
      <c r="A420" s="79">
        <v>10417</v>
      </c>
      <c r="B420" s="77">
        <v>6</v>
      </c>
      <c r="C420" s="77">
        <v>1</v>
      </c>
      <c r="D420" s="79">
        <v>2</v>
      </c>
      <c r="E420" s="77">
        <v>11217</v>
      </c>
      <c r="F420" s="77">
        <v>10</v>
      </c>
    </row>
    <row r="421" spans="1:6" x14ac:dyDescent="0.25">
      <c r="A421" s="79">
        <v>10418</v>
      </c>
      <c r="B421" s="77">
        <v>6</v>
      </c>
      <c r="C421" s="77">
        <v>1</v>
      </c>
      <c r="D421" s="79">
        <v>2</v>
      </c>
      <c r="E421" s="77">
        <v>11218</v>
      </c>
      <c r="F421" s="77">
        <v>10</v>
      </c>
    </row>
    <row r="422" spans="1:6" x14ac:dyDescent="0.25">
      <c r="A422" s="79">
        <v>10419</v>
      </c>
      <c r="B422" s="77">
        <v>6</v>
      </c>
      <c r="C422" s="77">
        <v>1</v>
      </c>
      <c r="D422" s="79">
        <v>2</v>
      </c>
      <c r="E422" s="77">
        <v>11219</v>
      </c>
      <c r="F422" s="77">
        <v>10</v>
      </c>
    </row>
    <row r="423" spans="1:6" x14ac:dyDescent="0.25">
      <c r="A423" s="79">
        <v>10420</v>
      </c>
      <c r="B423" s="77">
        <v>6</v>
      </c>
      <c r="C423" s="77">
        <v>1</v>
      </c>
      <c r="D423" s="79">
        <v>2</v>
      </c>
      <c r="E423" s="77">
        <v>11220</v>
      </c>
      <c r="F423" s="77">
        <v>10</v>
      </c>
    </row>
    <row r="424" spans="1:6" x14ac:dyDescent="0.25">
      <c r="A424" s="79">
        <v>10421</v>
      </c>
      <c r="B424" s="77">
        <v>6</v>
      </c>
      <c r="C424" s="77">
        <v>1</v>
      </c>
      <c r="D424" s="79">
        <v>2</v>
      </c>
      <c r="E424" s="77">
        <v>11221</v>
      </c>
      <c r="F424" s="77">
        <v>10</v>
      </c>
    </row>
    <row r="425" spans="1:6" x14ac:dyDescent="0.25">
      <c r="A425" s="79">
        <v>10422</v>
      </c>
      <c r="B425" s="77">
        <v>6</v>
      </c>
      <c r="C425" s="77">
        <v>1</v>
      </c>
      <c r="D425" s="79">
        <v>2</v>
      </c>
      <c r="E425" s="77">
        <v>11222</v>
      </c>
      <c r="F425" s="77">
        <v>10</v>
      </c>
    </row>
    <row r="426" spans="1:6" x14ac:dyDescent="0.25">
      <c r="A426" s="79">
        <v>10423</v>
      </c>
      <c r="B426" s="77">
        <v>6</v>
      </c>
      <c r="C426" s="77">
        <v>1</v>
      </c>
      <c r="D426" s="79">
        <v>2</v>
      </c>
      <c r="E426" s="77">
        <v>11223</v>
      </c>
      <c r="F426" s="77">
        <v>10</v>
      </c>
    </row>
    <row r="427" spans="1:6" x14ac:dyDescent="0.25">
      <c r="A427" s="79">
        <v>10424</v>
      </c>
      <c r="B427" s="77">
        <v>6</v>
      </c>
      <c r="C427" s="77">
        <v>1</v>
      </c>
      <c r="D427" s="79">
        <v>2</v>
      </c>
      <c r="E427" s="77">
        <v>11224</v>
      </c>
      <c r="F427" s="77">
        <v>10</v>
      </c>
    </row>
    <row r="428" spans="1:6" x14ac:dyDescent="0.25">
      <c r="A428" s="79">
        <v>10425</v>
      </c>
      <c r="B428" s="77">
        <v>6</v>
      </c>
      <c r="C428" s="77">
        <v>1</v>
      </c>
      <c r="D428" s="79">
        <v>2</v>
      </c>
      <c r="E428" s="77">
        <v>11225</v>
      </c>
      <c r="F428" s="77">
        <v>10</v>
      </c>
    </row>
    <row r="429" spans="1:6" x14ac:dyDescent="0.25">
      <c r="A429" s="79">
        <v>10426</v>
      </c>
      <c r="B429" s="77">
        <v>6</v>
      </c>
      <c r="C429" s="77">
        <v>1</v>
      </c>
      <c r="D429" s="79">
        <v>3</v>
      </c>
      <c r="E429" s="77">
        <v>11301</v>
      </c>
      <c r="F429" s="77">
        <v>0</v>
      </c>
    </row>
    <row r="430" spans="1:6" x14ac:dyDescent="0.25">
      <c r="A430" s="79">
        <v>10427</v>
      </c>
      <c r="B430" s="77">
        <v>6</v>
      </c>
      <c r="C430" s="77">
        <v>1</v>
      </c>
      <c r="D430" s="79">
        <v>3</v>
      </c>
      <c r="E430" s="77">
        <v>11302</v>
      </c>
      <c r="F430" s="77">
        <v>0</v>
      </c>
    </row>
    <row r="431" spans="1:6" x14ac:dyDescent="0.25">
      <c r="A431" s="79">
        <v>10428</v>
      </c>
      <c r="B431" s="77">
        <v>6</v>
      </c>
      <c r="C431" s="77">
        <v>1</v>
      </c>
      <c r="D431" s="79">
        <v>3</v>
      </c>
      <c r="E431" s="77">
        <v>11303</v>
      </c>
      <c r="F431" s="77">
        <v>0</v>
      </c>
    </row>
    <row r="432" spans="1:6" x14ac:dyDescent="0.25">
      <c r="A432" s="79">
        <v>10429</v>
      </c>
      <c r="B432" s="77">
        <v>6</v>
      </c>
      <c r="C432" s="77">
        <v>1</v>
      </c>
      <c r="D432" s="79">
        <v>3</v>
      </c>
      <c r="E432" s="77">
        <v>11304</v>
      </c>
      <c r="F432" s="77">
        <v>0</v>
      </c>
    </row>
    <row r="433" spans="1:6" x14ac:dyDescent="0.25">
      <c r="A433" s="79">
        <v>10430</v>
      </c>
      <c r="B433" s="77">
        <v>6</v>
      </c>
      <c r="C433" s="77">
        <v>1</v>
      </c>
      <c r="D433" s="79">
        <v>3</v>
      </c>
      <c r="E433" s="77">
        <v>11305</v>
      </c>
      <c r="F433" s="77">
        <v>0</v>
      </c>
    </row>
    <row r="434" spans="1:6" x14ac:dyDescent="0.25">
      <c r="A434" s="79">
        <v>10431</v>
      </c>
      <c r="B434" s="77">
        <v>6</v>
      </c>
      <c r="C434" s="77">
        <v>1</v>
      </c>
      <c r="D434" s="79">
        <v>3</v>
      </c>
      <c r="E434" s="77">
        <v>11306</v>
      </c>
      <c r="F434" s="77">
        <v>0</v>
      </c>
    </row>
    <row r="435" spans="1:6" x14ac:dyDescent="0.25">
      <c r="A435" s="79">
        <v>10432</v>
      </c>
      <c r="B435" s="77">
        <v>6</v>
      </c>
      <c r="C435" s="77">
        <v>1</v>
      </c>
      <c r="D435" s="79">
        <v>3</v>
      </c>
      <c r="E435" s="77">
        <v>11307</v>
      </c>
      <c r="F435" s="77">
        <v>0</v>
      </c>
    </row>
    <row r="436" spans="1:6" x14ac:dyDescent="0.25">
      <c r="A436" s="79">
        <v>10433</v>
      </c>
      <c r="B436" s="77">
        <v>6</v>
      </c>
      <c r="C436" s="77">
        <v>1</v>
      </c>
      <c r="D436" s="79">
        <v>3</v>
      </c>
      <c r="E436" s="77">
        <v>11308</v>
      </c>
      <c r="F436" s="77">
        <v>0</v>
      </c>
    </row>
    <row r="437" spans="1:6" x14ac:dyDescent="0.25">
      <c r="A437" s="79">
        <v>10434</v>
      </c>
      <c r="B437" s="77">
        <v>6</v>
      </c>
      <c r="C437" s="77">
        <v>1</v>
      </c>
      <c r="D437" s="79">
        <v>3</v>
      </c>
      <c r="E437" s="77">
        <v>11309</v>
      </c>
      <c r="F437" s="77">
        <v>0</v>
      </c>
    </row>
    <row r="438" spans="1:6" x14ac:dyDescent="0.25">
      <c r="A438" s="79">
        <v>10435</v>
      </c>
      <c r="B438" s="77">
        <v>6</v>
      </c>
      <c r="C438" s="77">
        <v>1</v>
      </c>
      <c r="D438" s="79">
        <v>3</v>
      </c>
      <c r="E438" s="77">
        <v>11310</v>
      </c>
      <c r="F438" s="77">
        <v>0</v>
      </c>
    </row>
    <row r="439" spans="1:6" x14ac:dyDescent="0.25">
      <c r="A439" s="79">
        <v>10436</v>
      </c>
      <c r="B439" s="77">
        <v>6</v>
      </c>
      <c r="C439" s="77">
        <v>1</v>
      </c>
      <c r="D439" s="79">
        <v>3</v>
      </c>
      <c r="E439" s="77">
        <v>11311</v>
      </c>
      <c r="F439" s="77">
        <v>0</v>
      </c>
    </row>
    <row r="440" spans="1:6" x14ac:dyDescent="0.25">
      <c r="A440" s="79">
        <v>10437</v>
      </c>
      <c r="B440" s="77">
        <v>6</v>
      </c>
      <c r="C440" s="77">
        <v>1</v>
      </c>
      <c r="D440" s="79">
        <v>3</v>
      </c>
      <c r="E440" s="77">
        <v>11312</v>
      </c>
      <c r="F440" s="77">
        <v>0</v>
      </c>
    </row>
    <row r="441" spans="1:6" x14ac:dyDescent="0.25">
      <c r="A441" s="79">
        <v>10438</v>
      </c>
      <c r="B441" s="77">
        <v>6</v>
      </c>
      <c r="C441" s="77">
        <v>1</v>
      </c>
      <c r="D441" s="79">
        <v>3</v>
      </c>
      <c r="E441" s="77">
        <v>11313</v>
      </c>
      <c r="F441" s="77">
        <v>0</v>
      </c>
    </row>
    <row r="442" spans="1:6" x14ac:dyDescent="0.25">
      <c r="A442" s="79">
        <v>10439</v>
      </c>
      <c r="B442" s="77">
        <v>6</v>
      </c>
      <c r="C442" s="77">
        <v>1</v>
      </c>
      <c r="D442" s="79">
        <v>3</v>
      </c>
      <c r="E442" s="77">
        <v>11314</v>
      </c>
      <c r="F442" s="77">
        <v>0</v>
      </c>
    </row>
    <row r="443" spans="1:6" x14ac:dyDescent="0.25">
      <c r="A443" s="79">
        <v>10440</v>
      </c>
      <c r="B443" s="77">
        <v>6</v>
      </c>
      <c r="C443" s="77">
        <v>1</v>
      </c>
      <c r="D443" s="79">
        <v>3</v>
      </c>
      <c r="E443" s="77">
        <v>11315</v>
      </c>
      <c r="F443" s="77">
        <v>0</v>
      </c>
    </row>
    <row r="444" spans="1:6" x14ac:dyDescent="0.25">
      <c r="A444" s="79">
        <v>10441</v>
      </c>
      <c r="B444" s="77">
        <v>6</v>
      </c>
      <c r="C444" s="77">
        <v>1</v>
      </c>
      <c r="D444" s="79">
        <v>3</v>
      </c>
      <c r="E444" s="77">
        <v>11316</v>
      </c>
      <c r="F444" s="77">
        <v>10</v>
      </c>
    </row>
    <row r="445" spans="1:6" x14ac:dyDescent="0.25">
      <c r="A445" s="79">
        <v>10442</v>
      </c>
      <c r="B445" s="77">
        <v>6</v>
      </c>
      <c r="C445" s="77">
        <v>1</v>
      </c>
      <c r="D445" s="79">
        <v>3</v>
      </c>
      <c r="E445" s="77">
        <v>11317</v>
      </c>
      <c r="F445" s="77">
        <v>10</v>
      </c>
    </row>
    <row r="446" spans="1:6" x14ac:dyDescent="0.25">
      <c r="A446" s="79">
        <v>10443</v>
      </c>
      <c r="B446" s="77">
        <v>6</v>
      </c>
      <c r="C446" s="77">
        <v>1</v>
      </c>
      <c r="D446" s="79">
        <v>3</v>
      </c>
      <c r="E446" s="77">
        <v>11318</v>
      </c>
      <c r="F446" s="77">
        <v>10</v>
      </c>
    </row>
    <row r="447" spans="1:6" x14ac:dyDescent="0.25">
      <c r="A447" s="79">
        <v>10444</v>
      </c>
      <c r="B447" s="77">
        <v>6</v>
      </c>
      <c r="C447" s="77">
        <v>1</v>
      </c>
      <c r="D447" s="79">
        <v>3</v>
      </c>
      <c r="E447" s="77">
        <v>11319</v>
      </c>
      <c r="F447" s="77">
        <v>10</v>
      </c>
    </row>
    <row r="448" spans="1:6" x14ac:dyDescent="0.25">
      <c r="A448" s="79">
        <v>10445</v>
      </c>
      <c r="B448" s="77">
        <v>6</v>
      </c>
      <c r="C448" s="77">
        <v>1</v>
      </c>
      <c r="D448" s="79">
        <v>3</v>
      </c>
      <c r="E448" s="77">
        <v>11320</v>
      </c>
      <c r="F448" s="77">
        <v>10</v>
      </c>
    </row>
    <row r="449" spans="1:6" x14ac:dyDescent="0.25">
      <c r="A449" s="79">
        <v>10446</v>
      </c>
      <c r="B449" s="77">
        <v>6</v>
      </c>
      <c r="C449" s="77">
        <v>1</v>
      </c>
      <c r="D449" s="79">
        <v>3</v>
      </c>
      <c r="E449" s="77">
        <v>11321</v>
      </c>
      <c r="F449" s="77">
        <v>10</v>
      </c>
    </row>
    <row r="450" spans="1:6" x14ac:dyDescent="0.25">
      <c r="A450" s="79">
        <v>10447</v>
      </c>
      <c r="B450" s="77">
        <v>6</v>
      </c>
      <c r="C450" s="77">
        <v>1</v>
      </c>
      <c r="D450" s="79">
        <v>3</v>
      </c>
      <c r="E450" s="77">
        <v>11322</v>
      </c>
      <c r="F450" s="77">
        <v>10</v>
      </c>
    </row>
    <row r="451" spans="1:6" x14ac:dyDescent="0.25">
      <c r="A451" s="79">
        <v>10448</v>
      </c>
      <c r="B451" s="77">
        <v>6</v>
      </c>
      <c r="C451" s="77">
        <v>1</v>
      </c>
      <c r="D451" s="79">
        <v>3</v>
      </c>
      <c r="E451" s="77">
        <v>11323</v>
      </c>
      <c r="F451" s="77">
        <v>10</v>
      </c>
    </row>
    <row r="452" spans="1:6" x14ac:dyDescent="0.25">
      <c r="A452" s="79">
        <v>10449</v>
      </c>
      <c r="B452" s="77">
        <v>6</v>
      </c>
      <c r="C452" s="77">
        <v>1</v>
      </c>
      <c r="D452" s="79">
        <v>3</v>
      </c>
      <c r="E452" s="77">
        <v>11324</v>
      </c>
      <c r="F452" s="77">
        <v>10</v>
      </c>
    </row>
    <row r="453" spans="1:6" x14ac:dyDescent="0.25">
      <c r="A453" s="79">
        <v>10450</v>
      </c>
      <c r="B453" s="77">
        <v>6</v>
      </c>
      <c r="C453" s="77">
        <v>1</v>
      </c>
      <c r="D453" s="79">
        <v>3</v>
      </c>
      <c r="E453" s="77">
        <v>11325</v>
      </c>
      <c r="F453" s="77">
        <v>10</v>
      </c>
    </row>
    <row r="454" spans="1:6" x14ac:dyDescent="0.25">
      <c r="A454" s="79">
        <v>10451</v>
      </c>
      <c r="B454" s="77">
        <v>7</v>
      </c>
      <c r="C454" s="77">
        <v>1</v>
      </c>
      <c r="D454" s="79">
        <v>1</v>
      </c>
      <c r="E454" s="77">
        <v>11101</v>
      </c>
      <c r="F454" s="77">
        <v>0</v>
      </c>
    </row>
    <row r="455" spans="1:6" x14ac:dyDescent="0.25">
      <c r="A455" s="79">
        <v>10452</v>
      </c>
      <c r="B455" s="77">
        <v>7</v>
      </c>
      <c r="C455" s="77">
        <v>1</v>
      </c>
      <c r="D455" s="79">
        <v>1</v>
      </c>
      <c r="E455" s="77">
        <v>11102</v>
      </c>
      <c r="F455" s="77">
        <v>0</v>
      </c>
    </row>
    <row r="456" spans="1:6" x14ac:dyDescent="0.25">
      <c r="A456" s="79">
        <v>10453</v>
      </c>
      <c r="B456" s="77">
        <v>7</v>
      </c>
      <c r="C456" s="77">
        <v>1</v>
      </c>
      <c r="D456" s="79">
        <v>1</v>
      </c>
      <c r="E456" s="77">
        <v>11103</v>
      </c>
      <c r="F456" s="77">
        <v>0</v>
      </c>
    </row>
    <row r="457" spans="1:6" x14ac:dyDescent="0.25">
      <c r="A457" s="79">
        <v>10454</v>
      </c>
      <c r="B457" s="77">
        <v>7</v>
      </c>
      <c r="C457" s="77">
        <v>1</v>
      </c>
      <c r="D457" s="79">
        <v>1</v>
      </c>
      <c r="E457" s="77">
        <v>11104</v>
      </c>
      <c r="F457" s="77">
        <v>0</v>
      </c>
    </row>
    <row r="458" spans="1:6" x14ac:dyDescent="0.25">
      <c r="A458" s="79">
        <v>10455</v>
      </c>
      <c r="B458" s="77">
        <v>7</v>
      </c>
      <c r="C458" s="77">
        <v>1</v>
      </c>
      <c r="D458" s="79">
        <v>1</v>
      </c>
      <c r="E458" s="77">
        <v>11105</v>
      </c>
      <c r="F458" s="77">
        <v>0</v>
      </c>
    </row>
    <row r="459" spans="1:6" x14ac:dyDescent="0.25">
      <c r="A459" s="79">
        <v>10456</v>
      </c>
      <c r="B459" s="77">
        <v>7</v>
      </c>
      <c r="C459" s="77">
        <v>1</v>
      </c>
      <c r="D459" s="79">
        <v>1</v>
      </c>
      <c r="E459" s="77">
        <v>11106</v>
      </c>
      <c r="F459" s="77">
        <v>0</v>
      </c>
    </row>
    <row r="460" spans="1:6" x14ac:dyDescent="0.25">
      <c r="A460" s="79">
        <v>10457</v>
      </c>
      <c r="B460" s="77">
        <v>7</v>
      </c>
      <c r="C460" s="77">
        <v>1</v>
      </c>
      <c r="D460" s="79">
        <v>1</v>
      </c>
      <c r="E460" s="77">
        <v>11107</v>
      </c>
      <c r="F460" s="77">
        <v>0</v>
      </c>
    </row>
    <row r="461" spans="1:6" x14ac:dyDescent="0.25">
      <c r="A461" s="79">
        <v>10458</v>
      </c>
      <c r="B461" s="77">
        <v>7</v>
      </c>
      <c r="C461" s="77">
        <v>1</v>
      </c>
      <c r="D461" s="79">
        <v>1</v>
      </c>
      <c r="E461" s="77">
        <v>11108</v>
      </c>
      <c r="F461" s="77">
        <v>0</v>
      </c>
    </row>
    <row r="462" spans="1:6" x14ac:dyDescent="0.25">
      <c r="A462" s="79">
        <v>10459</v>
      </c>
      <c r="B462" s="77">
        <v>7</v>
      </c>
      <c r="C462" s="77">
        <v>1</v>
      </c>
      <c r="D462" s="79">
        <v>1</v>
      </c>
      <c r="E462" s="77">
        <v>11109</v>
      </c>
      <c r="F462" s="77">
        <v>0</v>
      </c>
    </row>
    <row r="463" spans="1:6" x14ac:dyDescent="0.25">
      <c r="A463" s="79">
        <v>10460</v>
      </c>
      <c r="B463" s="77">
        <v>7</v>
      </c>
      <c r="C463" s="77">
        <v>1</v>
      </c>
      <c r="D463" s="79">
        <v>1</v>
      </c>
      <c r="E463" s="77">
        <v>11110</v>
      </c>
      <c r="F463" s="77">
        <v>0</v>
      </c>
    </row>
    <row r="464" spans="1:6" x14ac:dyDescent="0.25">
      <c r="A464" s="79">
        <v>10461</v>
      </c>
      <c r="B464" s="77">
        <v>7</v>
      </c>
      <c r="C464" s="77">
        <v>1</v>
      </c>
      <c r="D464" s="79">
        <v>1</v>
      </c>
      <c r="E464" s="77">
        <v>11111</v>
      </c>
      <c r="F464" s="77">
        <v>0</v>
      </c>
    </row>
    <row r="465" spans="1:6" x14ac:dyDescent="0.25">
      <c r="A465" s="79">
        <v>10462</v>
      </c>
      <c r="B465" s="77">
        <v>7</v>
      </c>
      <c r="C465" s="77">
        <v>1</v>
      </c>
      <c r="D465" s="79">
        <v>1</v>
      </c>
      <c r="E465" s="77">
        <v>11112</v>
      </c>
      <c r="F465" s="77">
        <v>0</v>
      </c>
    </row>
    <row r="466" spans="1:6" x14ac:dyDescent="0.25">
      <c r="A466" s="79">
        <v>10463</v>
      </c>
      <c r="B466" s="77">
        <v>7</v>
      </c>
      <c r="C466" s="77">
        <v>1</v>
      </c>
      <c r="D466" s="79">
        <v>1</v>
      </c>
      <c r="E466" s="77">
        <v>11113</v>
      </c>
      <c r="F466" s="77">
        <v>0</v>
      </c>
    </row>
    <row r="467" spans="1:6" x14ac:dyDescent="0.25">
      <c r="A467" s="79">
        <v>10464</v>
      </c>
      <c r="B467" s="77">
        <v>7</v>
      </c>
      <c r="C467" s="77">
        <v>1</v>
      </c>
      <c r="D467" s="79">
        <v>1</v>
      </c>
      <c r="E467" s="77">
        <v>11114</v>
      </c>
      <c r="F467" s="77">
        <v>0</v>
      </c>
    </row>
    <row r="468" spans="1:6" x14ac:dyDescent="0.25">
      <c r="A468" s="79">
        <v>10465</v>
      </c>
      <c r="B468" s="77">
        <v>7</v>
      </c>
      <c r="C468" s="77">
        <v>1</v>
      </c>
      <c r="D468" s="79">
        <v>1</v>
      </c>
      <c r="E468" s="77">
        <v>11115</v>
      </c>
      <c r="F468" s="77">
        <v>0</v>
      </c>
    </row>
    <row r="469" spans="1:6" x14ac:dyDescent="0.25">
      <c r="A469" s="79">
        <v>10466</v>
      </c>
      <c r="B469" s="77">
        <v>7</v>
      </c>
      <c r="C469" s="77">
        <v>1</v>
      </c>
      <c r="D469" s="79">
        <v>1</v>
      </c>
      <c r="E469" s="77">
        <v>11116</v>
      </c>
      <c r="F469" s="77">
        <v>10</v>
      </c>
    </row>
    <row r="470" spans="1:6" x14ac:dyDescent="0.25">
      <c r="A470" s="79">
        <v>10467</v>
      </c>
      <c r="B470" s="77">
        <v>7</v>
      </c>
      <c r="C470" s="77">
        <v>1</v>
      </c>
      <c r="D470" s="79">
        <v>1</v>
      </c>
      <c r="E470" s="77">
        <v>11117</v>
      </c>
      <c r="F470" s="77">
        <v>10</v>
      </c>
    </row>
    <row r="471" spans="1:6" x14ac:dyDescent="0.25">
      <c r="A471" s="79">
        <v>10468</v>
      </c>
      <c r="B471" s="77">
        <v>7</v>
      </c>
      <c r="C471" s="77">
        <v>1</v>
      </c>
      <c r="D471" s="79">
        <v>1</v>
      </c>
      <c r="E471" s="77">
        <v>11118</v>
      </c>
      <c r="F471" s="77">
        <v>10</v>
      </c>
    </row>
    <row r="472" spans="1:6" x14ac:dyDescent="0.25">
      <c r="A472" s="79">
        <v>10469</v>
      </c>
      <c r="B472" s="77">
        <v>7</v>
      </c>
      <c r="C472" s="77">
        <v>1</v>
      </c>
      <c r="D472" s="79">
        <v>1</v>
      </c>
      <c r="E472" s="77">
        <v>11119</v>
      </c>
      <c r="F472" s="77">
        <v>10</v>
      </c>
    </row>
    <row r="473" spans="1:6" x14ac:dyDescent="0.25">
      <c r="A473" s="79">
        <v>10470</v>
      </c>
      <c r="B473" s="77">
        <v>7</v>
      </c>
      <c r="C473" s="77">
        <v>1</v>
      </c>
      <c r="D473" s="79">
        <v>1</v>
      </c>
      <c r="E473" s="77">
        <v>11120</v>
      </c>
      <c r="F473" s="77">
        <v>10</v>
      </c>
    </row>
    <row r="474" spans="1:6" x14ac:dyDescent="0.25">
      <c r="A474" s="79">
        <v>10471</v>
      </c>
      <c r="B474" s="77">
        <v>7</v>
      </c>
      <c r="C474" s="77">
        <v>1</v>
      </c>
      <c r="D474" s="79">
        <v>1</v>
      </c>
      <c r="E474" s="77">
        <v>11121</v>
      </c>
      <c r="F474" s="77">
        <v>10</v>
      </c>
    </row>
    <row r="475" spans="1:6" x14ac:dyDescent="0.25">
      <c r="A475" s="79">
        <v>10472</v>
      </c>
      <c r="B475" s="77">
        <v>7</v>
      </c>
      <c r="C475" s="77">
        <v>1</v>
      </c>
      <c r="D475" s="79">
        <v>1</v>
      </c>
      <c r="E475" s="77">
        <v>11122</v>
      </c>
      <c r="F475" s="77">
        <v>10</v>
      </c>
    </row>
    <row r="476" spans="1:6" x14ac:dyDescent="0.25">
      <c r="A476" s="79">
        <v>10473</v>
      </c>
      <c r="B476" s="77">
        <v>7</v>
      </c>
      <c r="C476" s="77">
        <v>1</v>
      </c>
      <c r="D476" s="79">
        <v>1</v>
      </c>
      <c r="E476" s="77">
        <v>11123</v>
      </c>
      <c r="F476" s="77">
        <v>10</v>
      </c>
    </row>
    <row r="477" spans="1:6" x14ac:dyDescent="0.25">
      <c r="A477" s="79">
        <v>10474</v>
      </c>
      <c r="B477" s="77">
        <v>7</v>
      </c>
      <c r="C477" s="77">
        <v>1</v>
      </c>
      <c r="D477" s="79">
        <v>1</v>
      </c>
      <c r="E477" s="77">
        <v>11124</v>
      </c>
      <c r="F477" s="77">
        <v>10</v>
      </c>
    </row>
    <row r="478" spans="1:6" x14ac:dyDescent="0.25">
      <c r="A478" s="79">
        <v>10475</v>
      </c>
      <c r="B478" s="77">
        <v>7</v>
      </c>
      <c r="C478" s="77">
        <v>1</v>
      </c>
      <c r="D478" s="79">
        <v>1</v>
      </c>
      <c r="E478" s="77">
        <v>11125</v>
      </c>
      <c r="F478" s="77">
        <v>10</v>
      </c>
    </row>
    <row r="479" spans="1:6" x14ac:dyDescent="0.25">
      <c r="A479" s="79">
        <v>10476</v>
      </c>
      <c r="B479" s="77">
        <v>7</v>
      </c>
      <c r="C479" s="77">
        <v>1</v>
      </c>
      <c r="D479" s="79">
        <v>2</v>
      </c>
      <c r="E479" s="77">
        <v>11201</v>
      </c>
      <c r="F479" s="77">
        <v>0</v>
      </c>
    </row>
    <row r="480" spans="1:6" x14ac:dyDescent="0.25">
      <c r="A480" s="79">
        <v>10477</v>
      </c>
      <c r="B480" s="77">
        <v>7</v>
      </c>
      <c r="C480" s="77">
        <v>1</v>
      </c>
      <c r="D480" s="79">
        <v>2</v>
      </c>
      <c r="E480" s="77">
        <v>11202</v>
      </c>
      <c r="F480" s="77">
        <v>0</v>
      </c>
    </row>
    <row r="481" spans="1:6" x14ac:dyDescent="0.25">
      <c r="A481" s="79">
        <v>10478</v>
      </c>
      <c r="B481" s="77">
        <v>7</v>
      </c>
      <c r="C481" s="77">
        <v>1</v>
      </c>
      <c r="D481" s="79">
        <v>2</v>
      </c>
      <c r="E481" s="77">
        <v>11203</v>
      </c>
      <c r="F481" s="77">
        <v>0</v>
      </c>
    </row>
    <row r="482" spans="1:6" x14ac:dyDescent="0.25">
      <c r="A482" s="79">
        <v>10479</v>
      </c>
      <c r="B482" s="77">
        <v>7</v>
      </c>
      <c r="C482" s="77">
        <v>1</v>
      </c>
      <c r="D482" s="79">
        <v>2</v>
      </c>
      <c r="E482" s="77">
        <v>11204</v>
      </c>
      <c r="F482" s="77">
        <v>0</v>
      </c>
    </row>
    <row r="483" spans="1:6" x14ac:dyDescent="0.25">
      <c r="A483" s="79">
        <v>10480</v>
      </c>
      <c r="B483" s="77">
        <v>7</v>
      </c>
      <c r="C483" s="77">
        <v>1</v>
      </c>
      <c r="D483" s="79">
        <v>2</v>
      </c>
      <c r="E483" s="77">
        <v>11205</v>
      </c>
      <c r="F483" s="77">
        <v>0</v>
      </c>
    </row>
    <row r="484" spans="1:6" x14ac:dyDescent="0.25">
      <c r="A484" s="79">
        <v>10481</v>
      </c>
      <c r="B484" s="77">
        <v>7</v>
      </c>
      <c r="C484" s="77">
        <v>1</v>
      </c>
      <c r="D484" s="79">
        <v>2</v>
      </c>
      <c r="E484" s="77">
        <v>11206</v>
      </c>
      <c r="F484" s="77">
        <v>0</v>
      </c>
    </row>
    <row r="485" spans="1:6" x14ac:dyDescent="0.25">
      <c r="A485" s="79">
        <v>10482</v>
      </c>
      <c r="B485" s="77">
        <v>7</v>
      </c>
      <c r="C485" s="77">
        <v>1</v>
      </c>
      <c r="D485" s="79">
        <v>2</v>
      </c>
      <c r="E485" s="77">
        <v>11207</v>
      </c>
      <c r="F485" s="77">
        <v>0</v>
      </c>
    </row>
    <row r="486" spans="1:6" x14ac:dyDescent="0.25">
      <c r="A486" s="79">
        <v>10483</v>
      </c>
      <c r="B486" s="77">
        <v>7</v>
      </c>
      <c r="C486" s="77">
        <v>1</v>
      </c>
      <c r="D486" s="79">
        <v>2</v>
      </c>
      <c r="E486" s="77">
        <v>11208</v>
      </c>
      <c r="F486" s="77">
        <v>0</v>
      </c>
    </row>
    <row r="487" spans="1:6" x14ac:dyDescent="0.25">
      <c r="A487" s="79">
        <v>10484</v>
      </c>
      <c r="B487" s="77">
        <v>7</v>
      </c>
      <c r="C487" s="77">
        <v>1</v>
      </c>
      <c r="D487" s="79">
        <v>2</v>
      </c>
      <c r="E487" s="77">
        <v>11209</v>
      </c>
      <c r="F487" s="77">
        <v>0</v>
      </c>
    </row>
    <row r="488" spans="1:6" x14ac:dyDescent="0.25">
      <c r="A488" s="79">
        <v>10485</v>
      </c>
      <c r="B488" s="77">
        <v>7</v>
      </c>
      <c r="C488" s="77">
        <v>1</v>
      </c>
      <c r="D488" s="79">
        <v>2</v>
      </c>
      <c r="E488" s="77">
        <v>11210</v>
      </c>
      <c r="F488" s="77">
        <v>0</v>
      </c>
    </row>
    <row r="489" spans="1:6" x14ac:dyDescent="0.25">
      <c r="A489" s="79">
        <v>10486</v>
      </c>
      <c r="B489" s="77">
        <v>7</v>
      </c>
      <c r="C489" s="77">
        <v>1</v>
      </c>
      <c r="D489" s="79">
        <v>2</v>
      </c>
      <c r="E489" s="77">
        <v>11211</v>
      </c>
      <c r="F489" s="77">
        <v>0</v>
      </c>
    </row>
    <row r="490" spans="1:6" x14ac:dyDescent="0.25">
      <c r="A490" s="79">
        <v>10487</v>
      </c>
      <c r="B490" s="77">
        <v>7</v>
      </c>
      <c r="C490" s="77">
        <v>1</v>
      </c>
      <c r="D490" s="79">
        <v>2</v>
      </c>
      <c r="E490" s="77">
        <v>11212</v>
      </c>
      <c r="F490" s="77">
        <v>0</v>
      </c>
    </row>
    <row r="491" spans="1:6" x14ac:dyDescent="0.25">
      <c r="A491" s="79">
        <v>10488</v>
      </c>
      <c r="B491" s="77">
        <v>7</v>
      </c>
      <c r="C491" s="77">
        <v>1</v>
      </c>
      <c r="D491" s="79">
        <v>2</v>
      </c>
      <c r="E491" s="77">
        <v>11213</v>
      </c>
      <c r="F491" s="77">
        <v>0</v>
      </c>
    </row>
    <row r="492" spans="1:6" x14ac:dyDescent="0.25">
      <c r="A492" s="79">
        <v>10489</v>
      </c>
      <c r="B492" s="77">
        <v>7</v>
      </c>
      <c r="C492" s="77">
        <v>1</v>
      </c>
      <c r="D492" s="79">
        <v>2</v>
      </c>
      <c r="E492" s="77">
        <v>11214</v>
      </c>
      <c r="F492" s="77">
        <v>0</v>
      </c>
    </row>
    <row r="493" spans="1:6" x14ac:dyDescent="0.25">
      <c r="A493" s="79">
        <v>10490</v>
      </c>
      <c r="B493" s="77">
        <v>7</v>
      </c>
      <c r="C493" s="77">
        <v>1</v>
      </c>
      <c r="D493" s="79">
        <v>2</v>
      </c>
      <c r="E493" s="77">
        <v>11215</v>
      </c>
      <c r="F493" s="77">
        <v>0</v>
      </c>
    </row>
    <row r="494" spans="1:6" x14ac:dyDescent="0.25">
      <c r="A494" s="79">
        <v>10491</v>
      </c>
      <c r="B494" s="77">
        <v>7</v>
      </c>
      <c r="C494" s="77">
        <v>1</v>
      </c>
      <c r="D494" s="79">
        <v>2</v>
      </c>
      <c r="E494" s="77">
        <v>11216</v>
      </c>
      <c r="F494" s="77">
        <v>10</v>
      </c>
    </row>
    <row r="495" spans="1:6" x14ac:dyDescent="0.25">
      <c r="A495" s="79">
        <v>10492</v>
      </c>
      <c r="B495" s="77">
        <v>7</v>
      </c>
      <c r="C495" s="77">
        <v>1</v>
      </c>
      <c r="D495" s="79">
        <v>2</v>
      </c>
      <c r="E495" s="77">
        <v>11217</v>
      </c>
      <c r="F495" s="77">
        <v>10</v>
      </c>
    </row>
    <row r="496" spans="1:6" x14ac:dyDescent="0.25">
      <c r="A496" s="79">
        <v>10493</v>
      </c>
      <c r="B496" s="77">
        <v>7</v>
      </c>
      <c r="C496" s="77">
        <v>1</v>
      </c>
      <c r="D496" s="79">
        <v>2</v>
      </c>
      <c r="E496" s="77">
        <v>11218</v>
      </c>
      <c r="F496" s="77">
        <v>10</v>
      </c>
    </row>
    <row r="497" spans="1:6" x14ac:dyDescent="0.25">
      <c r="A497" s="79">
        <v>10494</v>
      </c>
      <c r="B497" s="77">
        <v>7</v>
      </c>
      <c r="C497" s="77">
        <v>1</v>
      </c>
      <c r="D497" s="79">
        <v>2</v>
      </c>
      <c r="E497" s="77">
        <v>11219</v>
      </c>
      <c r="F497" s="77">
        <v>10</v>
      </c>
    </row>
    <row r="498" spans="1:6" x14ac:dyDescent="0.25">
      <c r="A498" s="79">
        <v>10495</v>
      </c>
      <c r="B498" s="77">
        <v>7</v>
      </c>
      <c r="C498" s="77">
        <v>1</v>
      </c>
      <c r="D498" s="79">
        <v>2</v>
      </c>
      <c r="E498" s="77">
        <v>11220</v>
      </c>
      <c r="F498" s="77">
        <v>10</v>
      </c>
    </row>
    <row r="499" spans="1:6" x14ac:dyDescent="0.25">
      <c r="A499" s="79">
        <v>10496</v>
      </c>
      <c r="B499" s="77">
        <v>7</v>
      </c>
      <c r="C499" s="77">
        <v>1</v>
      </c>
      <c r="D499" s="79">
        <v>2</v>
      </c>
      <c r="E499" s="77">
        <v>11221</v>
      </c>
      <c r="F499" s="77">
        <v>10</v>
      </c>
    </row>
    <row r="500" spans="1:6" x14ac:dyDescent="0.25">
      <c r="A500" s="79">
        <v>10497</v>
      </c>
      <c r="B500" s="77">
        <v>7</v>
      </c>
      <c r="C500" s="77">
        <v>1</v>
      </c>
      <c r="D500" s="79">
        <v>2</v>
      </c>
      <c r="E500" s="77">
        <v>11222</v>
      </c>
      <c r="F500" s="77">
        <v>10</v>
      </c>
    </row>
    <row r="501" spans="1:6" x14ac:dyDescent="0.25">
      <c r="A501" s="79">
        <v>10498</v>
      </c>
      <c r="B501" s="77">
        <v>7</v>
      </c>
      <c r="C501" s="77">
        <v>1</v>
      </c>
      <c r="D501" s="79">
        <v>2</v>
      </c>
      <c r="E501" s="77">
        <v>11223</v>
      </c>
      <c r="F501" s="77">
        <v>10</v>
      </c>
    </row>
    <row r="502" spans="1:6" x14ac:dyDescent="0.25">
      <c r="A502" s="79">
        <v>10499</v>
      </c>
      <c r="B502" s="77">
        <v>7</v>
      </c>
      <c r="C502" s="77">
        <v>1</v>
      </c>
      <c r="D502" s="79">
        <v>2</v>
      </c>
      <c r="E502" s="77">
        <v>11224</v>
      </c>
      <c r="F502" s="77">
        <v>10</v>
      </c>
    </row>
    <row r="503" spans="1:6" x14ac:dyDescent="0.25">
      <c r="A503" s="79">
        <v>10500</v>
      </c>
      <c r="B503" s="77">
        <v>7</v>
      </c>
      <c r="C503" s="77">
        <v>1</v>
      </c>
      <c r="D503" s="79">
        <v>2</v>
      </c>
      <c r="E503" s="77">
        <v>11225</v>
      </c>
      <c r="F503" s="77">
        <v>10</v>
      </c>
    </row>
    <row r="504" spans="1:6" x14ac:dyDescent="0.25">
      <c r="A504" s="79">
        <v>10501</v>
      </c>
      <c r="B504" s="77">
        <v>7</v>
      </c>
      <c r="C504" s="77">
        <v>1</v>
      </c>
      <c r="D504" s="79">
        <v>3</v>
      </c>
      <c r="E504" s="77">
        <v>11301</v>
      </c>
      <c r="F504" s="77">
        <v>0</v>
      </c>
    </row>
    <row r="505" spans="1:6" x14ac:dyDescent="0.25">
      <c r="A505" s="79">
        <v>10502</v>
      </c>
      <c r="B505" s="77">
        <v>7</v>
      </c>
      <c r="C505" s="77">
        <v>1</v>
      </c>
      <c r="D505" s="79">
        <v>3</v>
      </c>
      <c r="E505" s="77">
        <v>11302</v>
      </c>
      <c r="F505" s="77">
        <v>0</v>
      </c>
    </row>
    <row r="506" spans="1:6" x14ac:dyDescent="0.25">
      <c r="A506" s="79">
        <v>10503</v>
      </c>
      <c r="B506" s="77">
        <v>7</v>
      </c>
      <c r="C506" s="77">
        <v>1</v>
      </c>
      <c r="D506" s="79">
        <v>3</v>
      </c>
      <c r="E506" s="77">
        <v>11303</v>
      </c>
      <c r="F506" s="77">
        <v>0</v>
      </c>
    </row>
    <row r="507" spans="1:6" x14ac:dyDescent="0.25">
      <c r="A507" s="79">
        <v>10504</v>
      </c>
      <c r="B507" s="77">
        <v>7</v>
      </c>
      <c r="C507" s="77">
        <v>1</v>
      </c>
      <c r="D507" s="79">
        <v>3</v>
      </c>
      <c r="E507" s="77">
        <v>11304</v>
      </c>
      <c r="F507" s="77">
        <v>0</v>
      </c>
    </row>
    <row r="508" spans="1:6" x14ac:dyDescent="0.25">
      <c r="A508" s="79">
        <v>10505</v>
      </c>
      <c r="B508" s="77">
        <v>7</v>
      </c>
      <c r="C508" s="77">
        <v>1</v>
      </c>
      <c r="D508" s="79">
        <v>3</v>
      </c>
      <c r="E508" s="77">
        <v>11305</v>
      </c>
      <c r="F508" s="77">
        <v>0</v>
      </c>
    </row>
    <row r="509" spans="1:6" x14ac:dyDescent="0.25">
      <c r="A509" s="79">
        <v>10506</v>
      </c>
      <c r="B509" s="77">
        <v>7</v>
      </c>
      <c r="C509" s="77">
        <v>1</v>
      </c>
      <c r="D509" s="79">
        <v>3</v>
      </c>
      <c r="E509" s="77">
        <v>11306</v>
      </c>
      <c r="F509" s="77">
        <v>0</v>
      </c>
    </row>
    <row r="510" spans="1:6" x14ac:dyDescent="0.25">
      <c r="A510" s="79">
        <v>10507</v>
      </c>
      <c r="B510" s="77">
        <v>7</v>
      </c>
      <c r="C510" s="77">
        <v>1</v>
      </c>
      <c r="D510" s="79">
        <v>3</v>
      </c>
      <c r="E510" s="77">
        <v>11307</v>
      </c>
      <c r="F510" s="77">
        <v>0</v>
      </c>
    </row>
    <row r="511" spans="1:6" x14ac:dyDescent="0.25">
      <c r="A511" s="79">
        <v>10508</v>
      </c>
      <c r="B511" s="77">
        <v>7</v>
      </c>
      <c r="C511" s="77">
        <v>1</v>
      </c>
      <c r="D511" s="79">
        <v>3</v>
      </c>
      <c r="E511" s="77">
        <v>11308</v>
      </c>
      <c r="F511" s="77">
        <v>0</v>
      </c>
    </row>
    <row r="512" spans="1:6" x14ac:dyDescent="0.25">
      <c r="A512" s="79">
        <v>10509</v>
      </c>
      <c r="B512" s="77">
        <v>7</v>
      </c>
      <c r="C512" s="77">
        <v>1</v>
      </c>
      <c r="D512" s="79">
        <v>3</v>
      </c>
      <c r="E512" s="77">
        <v>11309</v>
      </c>
      <c r="F512" s="77">
        <v>0</v>
      </c>
    </row>
    <row r="513" spans="1:6" x14ac:dyDescent="0.25">
      <c r="A513" s="79">
        <v>10510</v>
      </c>
      <c r="B513" s="77">
        <v>7</v>
      </c>
      <c r="C513" s="77">
        <v>1</v>
      </c>
      <c r="D513" s="79">
        <v>3</v>
      </c>
      <c r="E513" s="77">
        <v>11310</v>
      </c>
      <c r="F513" s="77">
        <v>0</v>
      </c>
    </row>
    <row r="514" spans="1:6" x14ac:dyDescent="0.25">
      <c r="A514" s="79">
        <v>10511</v>
      </c>
      <c r="B514" s="77">
        <v>7</v>
      </c>
      <c r="C514" s="77">
        <v>1</v>
      </c>
      <c r="D514" s="79">
        <v>3</v>
      </c>
      <c r="E514" s="77">
        <v>11311</v>
      </c>
      <c r="F514" s="77">
        <v>0</v>
      </c>
    </row>
    <row r="515" spans="1:6" x14ac:dyDescent="0.25">
      <c r="A515" s="79">
        <v>10512</v>
      </c>
      <c r="B515" s="77">
        <v>7</v>
      </c>
      <c r="C515" s="77">
        <v>1</v>
      </c>
      <c r="D515" s="79">
        <v>3</v>
      </c>
      <c r="E515" s="77">
        <v>11312</v>
      </c>
      <c r="F515" s="77">
        <v>0</v>
      </c>
    </row>
    <row r="516" spans="1:6" x14ac:dyDescent="0.25">
      <c r="A516" s="79">
        <v>10513</v>
      </c>
      <c r="B516" s="77">
        <v>7</v>
      </c>
      <c r="C516" s="77">
        <v>1</v>
      </c>
      <c r="D516" s="79">
        <v>3</v>
      </c>
      <c r="E516" s="77">
        <v>11313</v>
      </c>
      <c r="F516" s="77">
        <v>0</v>
      </c>
    </row>
    <row r="517" spans="1:6" x14ac:dyDescent="0.25">
      <c r="A517" s="79">
        <v>10514</v>
      </c>
      <c r="B517" s="77">
        <v>7</v>
      </c>
      <c r="C517" s="77">
        <v>1</v>
      </c>
      <c r="D517" s="79">
        <v>3</v>
      </c>
      <c r="E517" s="77">
        <v>11314</v>
      </c>
      <c r="F517" s="77">
        <v>0</v>
      </c>
    </row>
    <row r="518" spans="1:6" x14ac:dyDescent="0.25">
      <c r="A518" s="79">
        <v>10515</v>
      </c>
      <c r="B518" s="77">
        <v>7</v>
      </c>
      <c r="C518" s="77">
        <v>1</v>
      </c>
      <c r="D518" s="79">
        <v>3</v>
      </c>
      <c r="E518" s="77">
        <v>11315</v>
      </c>
      <c r="F518" s="77">
        <v>0</v>
      </c>
    </row>
    <row r="519" spans="1:6" x14ac:dyDescent="0.25">
      <c r="A519" s="79">
        <v>10516</v>
      </c>
      <c r="B519" s="77">
        <v>7</v>
      </c>
      <c r="C519" s="77">
        <v>1</v>
      </c>
      <c r="D519" s="79">
        <v>3</v>
      </c>
      <c r="E519" s="77">
        <v>11316</v>
      </c>
      <c r="F519" s="77">
        <v>10</v>
      </c>
    </row>
    <row r="520" spans="1:6" x14ac:dyDescent="0.25">
      <c r="A520" s="79">
        <v>10517</v>
      </c>
      <c r="B520" s="77">
        <v>7</v>
      </c>
      <c r="C520" s="77">
        <v>1</v>
      </c>
      <c r="D520" s="79">
        <v>3</v>
      </c>
      <c r="E520" s="77">
        <v>11317</v>
      </c>
      <c r="F520" s="77">
        <v>10</v>
      </c>
    </row>
    <row r="521" spans="1:6" x14ac:dyDescent="0.25">
      <c r="A521" s="79">
        <v>10518</v>
      </c>
      <c r="B521" s="77">
        <v>7</v>
      </c>
      <c r="C521" s="77">
        <v>1</v>
      </c>
      <c r="D521" s="79">
        <v>3</v>
      </c>
      <c r="E521" s="77">
        <v>11318</v>
      </c>
      <c r="F521" s="77">
        <v>10</v>
      </c>
    </row>
    <row r="522" spans="1:6" x14ac:dyDescent="0.25">
      <c r="A522" s="79">
        <v>10519</v>
      </c>
      <c r="B522" s="77">
        <v>7</v>
      </c>
      <c r="C522" s="77">
        <v>1</v>
      </c>
      <c r="D522" s="79">
        <v>3</v>
      </c>
      <c r="E522" s="77">
        <v>11319</v>
      </c>
      <c r="F522" s="77">
        <v>10</v>
      </c>
    </row>
    <row r="523" spans="1:6" x14ac:dyDescent="0.25">
      <c r="A523" s="79">
        <v>10520</v>
      </c>
      <c r="B523" s="77">
        <v>7</v>
      </c>
      <c r="C523" s="77">
        <v>1</v>
      </c>
      <c r="D523" s="79">
        <v>3</v>
      </c>
      <c r="E523" s="77">
        <v>11320</v>
      </c>
      <c r="F523" s="77">
        <v>10</v>
      </c>
    </row>
    <row r="524" spans="1:6" x14ac:dyDescent="0.25">
      <c r="A524" s="79">
        <v>10521</v>
      </c>
      <c r="B524" s="77">
        <v>7</v>
      </c>
      <c r="C524" s="77">
        <v>1</v>
      </c>
      <c r="D524" s="79">
        <v>3</v>
      </c>
      <c r="E524" s="77">
        <v>11321</v>
      </c>
      <c r="F524" s="77">
        <v>10</v>
      </c>
    </row>
    <row r="525" spans="1:6" x14ac:dyDescent="0.25">
      <c r="A525" s="79">
        <v>10522</v>
      </c>
      <c r="B525" s="77">
        <v>7</v>
      </c>
      <c r="C525" s="77">
        <v>1</v>
      </c>
      <c r="D525" s="79">
        <v>3</v>
      </c>
      <c r="E525" s="77">
        <v>11322</v>
      </c>
      <c r="F525" s="77">
        <v>10</v>
      </c>
    </row>
    <row r="526" spans="1:6" x14ac:dyDescent="0.25">
      <c r="A526" s="79">
        <v>10523</v>
      </c>
      <c r="B526" s="77">
        <v>7</v>
      </c>
      <c r="C526" s="77">
        <v>1</v>
      </c>
      <c r="D526" s="79">
        <v>3</v>
      </c>
      <c r="E526" s="77">
        <v>11323</v>
      </c>
      <c r="F526" s="77">
        <v>10</v>
      </c>
    </row>
    <row r="527" spans="1:6" x14ac:dyDescent="0.25">
      <c r="A527" s="79">
        <v>10524</v>
      </c>
      <c r="B527" s="77">
        <v>7</v>
      </c>
      <c r="C527" s="77">
        <v>1</v>
      </c>
      <c r="D527" s="79">
        <v>3</v>
      </c>
      <c r="E527" s="77">
        <v>11324</v>
      </c>
      <c r="F527" s="77">
        <v>10</v>
      </c>
    </row>
    <row r="528" spans="1:6" x14ac:dyDescent="0.25">
      <c r="A528" s="79">
        <v>10525</v>
      </c>
      <c r="B528" s="77">
        <v>7</v>
      </c>
      <c r="C528" s="77">
        <v>1</v>
      </c>
      <c r="D528" s="79">
        <v>3</v>
      </c>
      <c r="E528" s="77">
        <v>11325</v>
      </c>
      <c r="F528" s="77">
        <v>10</v>
      </c>
    </row>
    <row r="529" spans="1:6" x14ac:dyDescent="0.25">
      <c r="A529" s="79">
        <v>10526</v>
      </c>
      <c r="B529" s="77">
        <v>1</v>
      </c>
      <c r="C529" s="77">
        <v>2</v>
      </c>
      <c r="D529" s="79">
        <v>1</v>
      </c>
      <c r="E529" s="77">
        <v>12101</v>
      </c>
      <c r="F529" s="77">
        <v>10</v>
      </c>
    </row>
    <row r="530" spans="1:6" x14ac:dyDescent="0.25">
      <c r="A530" s="79">
        <v>10527</v>
      </c>
      <c r="B530" s="77">
        <v>1</v>
      </c>
      <c r="C530" s="77">
        <v>2</v>
      </c>
      <c r="D530" s="79">
        <v>1</v>
      </c>
      <c r="E530" s="77">
        <v>12102</v>
      </c>
      <c r="F530" s="77">
        <v>10</v>
      </c>
    </row>
    <row r="531" spans="1:6" x14ac:dyDescent="0.25">
      <c r="A531" s="79">
        <v>10528</v>
      </c>
      <c r="B531" s="77">
        <v>1</v>
      </c>
      <c r="C531" s="77">
        <v>2</v>
      </c>
      <c r="D531" s="79">
        <v>1</v>
      </c>
      <c r="E531" s="77">
        <v>12103</v>
      </c>
      <c r="F531" s="77">
        <v>10</v>
      </c>
    </row>
    <row r="532" spans="1:6" x14ac:dyDescent="0.25">
      <c r="A532" s="79">
        <v>10529</v>
      </c>
      <c r="B532" s="77">
        <v>1</v>
      </c>
      <c r="C532" s="77">
        <v>2</v>
      </c>
      <c r="D532" s="79">
        <v>1</v>
      </c>
      <c r="E532" s="77">
        <v>12104</v>
      </c>
      <c r="F532" s="77">
        <v>10</v>
      </c>
    </row>
    <row r="533" spans="1:6" x14ac:dyDescent="0.25">
      <c r="A533" s="79">
        <v>10530</v>
      </c>
      <c r="B533" s="77">
        <v>1</v>
      </c>
      <c r="C533" s="77">
        <v>2</v>
      </c>
      <c r="D533" s="79">
        <v>1</v>
      </c>
      <c r="E533" s="77">
        <v>12105</v>
      </c>
      <c r="F533" s="77">
        <v>10</v>
      </c>
    </row>
    <row r="534" spans="1:6" x14ac:dyDescent="0.25">
      <c r="A534" s="79">
        <v>10531</v>
      </c>
      <c r="B534" s="77">
        <v>1</v>
      </c>
      <c r="C534" s="77">
        <v>2</v>
      </c>
      <c r="D534" s="79">
        <v>1</v>
      </c>
      <c r="E534" s="77">
        <v>12106</v>
      </c>
      <c r="F534" s="77">
        <v>10</v>
      </c>
    </row>
    <row r="535" spans="1:6" x14ac:dyDescent="0.25">
      <c r="A535" s="79">
        <v>10532</v>
      </c>
      <c r="B535" s="77">
        <v>1</v>
      </c>
      <c r="C535" s="77">
        <v>2</v>
      </c>
      <c r="D535" s="79">
        <v>1</v>
      </c>
      <c r="E535" s="77">
        <v>12107</v>
      </c>
      <c r="F535" s="77">
        <v>10</v>
      </c>
    </row>
    <row r="536" spans="1:6" x14ac:dyDescent="0.25">
      <c r="A536" s="79">
        <v>10533</v>
      </c>
      <c r="B536" s="77">
        <v>1</v>
      </c>
      <c r="C536" s="77">
        <v>2</v>
      </c>
      <c r="D536" s="79">
        <v>1</v>
      </c>
      <c r="E536" s="77">
        <v>12108</v>
      </c>
      <c r="F536" s="77">
        <v>10</v>
      </c>
    </row>
    <row r="537" spans="1:6" x14ac:dyDescent="0.25">
      <c r="A537" s="79">
        <v>10534</v>
      </c>
      <c r="B537" s="77">
        <v>1</v>
      </c>
      <c r="C537" s="77">
        <v>2</v>
      </c>
      <c r="D537" s="79">
        <v>1</v>
      </c>
      <c r="E537" s="77">
        <v>12109</v>
      </c>
      <c r="F537" s="77">
        <v>10</v>
      </c>
    </row>
    <row r="538" spans="1:6" x14ac:dyDescent="0.25">
      <c r="A538" s="79">
        <v>10535</v>
      </c>
      <c r="B538" s="77">
        <v>1</v>
      </c>
      <c r="C538" s="77">
        <v>2</v>
      </c>
      <c r="D538" s="79">
        <v>1</v>
      </c>
      <c r="E538" s="77">
        <v>12110</v>
      </c>
      <c r="F538" s="77">
        <v>10</v>
      </c>
    </row>
    <row r="539" spans="1:6" x14ac:dyDescent="0.25">
      <c r="A539" s="79">
        <v>10536</v>
      </c>
      <c r="B539" s="77">
        <v>1</v>
      </c>
      <c r="C539" s="77">
        <v>2</v>
      </c>
      <c r="D539" s="79">
        <v>1</v>
      </c>
      <c r="E539" s="77">
        <v>12111</v>
      </c>
      <c r="F539" s="77">
        <v>10</v>
      </c>
    </row>
    <row r="540" spans="1:6" x14ac:dyDescent="0.25">
      <c r="A540" s="79">
        <v>10537</v>
      </c>
      <c r="B540" s="77">
        <v>1</v>
      </c>
      <c r="C540" s="77">
        <v>2</v>
      </c>
      <c r="D540" s="79">
        <v>1</v>
      </c>
      <c r="E540" s="77">
        <v>12112</v>
      </c>
      <c r="F540" s="77">
        <v>10</v>
      </c>
    </row>
    <row r="541" spans="1:6" x14ac:dyDescent="0.25">
      <c r="A541" s="79">
        <v>10538</v>
      </c>
      <c r="B541" s="77">
        <v>1</v>
      </c>
      <c r="C541" s="77">
        <v>2</v>
      </c>
      <c r="D541" s="79">
        <v>1</v>
      </c>
      <c r="E541" s="77">
        <v>12113</v>
      </c>
      <c r="F541" s="77">
        <v>10</v>
      </c>
    </row>
    <row r="542" spans="1:6" x14ac:dyDescent="0.25">
      <c r="A542" s="79">
        <v>10539</v>
      </c>
      <c r="B542" s="77">
        <v>1</v>
      </c>
      <c r="C542" s="77">
        <v>2</v>
      </c>
      <c r="D542" s="79">
        <v>1</v>
      </c>
      <c r="E542" s="77">
        <v>12114</v>
      </c>
      <c r="F542" s="77">
        <v>10</v>
      </c>
    </row>
    <row r="543" spans="1:6" x14ac:dyDescent="0.25">
      <c r="A543" s="79">
        <v>10540</v>
      </c>
      <c r="B543" s="77">
        <v>1</v>
      </c>
      <c r="C543" s="77">
        <v>2</v>
      </c>
      <c r="D543" s="79">
        <v>1</v>
      </c>
      <c r="E543" s="77">
        <v>12115</v>
      </c>
      <c r="F543" s="77">
        <v>10</v>
      </c>
    </row>
    <row r="544" spans="1:6" x14ac:dyDescent="0.25">
      <c r="A544" s="79">
        <v>10541</v>
      </c>
      <c r="B544" s="77">
        <v>1</v>
      </c>
      <c r="C544" s="77">
        <v>2</v>
      </c>
      <c r="D544" s="79">
        <v>1</v>
      </c>
      <c r="E544" s="77">
        <v>12116</v>
      </c>
      <c r="F544" s="77">
        <v>0</v>
      </c>
    </row>
    <row r="545" spans="1:6" x14ac:dyDescent="0.25">
      <c r="A545" s="79">
        <v>10542</v>
      </c>
      <c r="B545" s="77">
        <v>1</v>
      </c>
      <c r="C545" s="77">
        <v>2</v>
      </c>
      <c r="D545" s="79">
        <v>1</v>
      </c>
      <c r="E545" s="77">
        <v>12117</v>
      </c>
      <c r="F545" s="77">
        <v>0</v>
      </c>
    </row>
    <row r="546" spans="1:6" x14ac:dyDescent="0.25">
      <c r="A546" s="79">
        <v>10543</v>
      </c>
      <c r="B546" s="77">
        <v>1</v>
      </c>
      <c r="C546" s="77">
        <v>2</v>
      </c>
      <c r="D546" s="79">
        <v>1</v>
      </c>
      <c r="E546" s="77">
        <v>12118</v>
      </c>
      <c r="F546" s="77">
        <v>0</v>
      </c>
    </row>
    <row r="547" spans="1:6" x14ac:dyDescent="0.25">
      <c r="A547" s="79">
        <v>10544</v>
      </c>
      <c r="B547" s="77">
        <v>1</v>
      </c>
      <c r="C547" s="77">
        <v>2</v>
      </c>
      <c r="D547" s="79">
        <v>1</v>
      </c>
      <c r="E547" s="77">
        <v>12119</v>
      </c>
      <c r="F547" s="77">
        <v>0</v>
      </c>
    </row>
    <row r="548" spans="1:6" x14ac:dyDescent="0.25">
      <c r="A548" s="79">
        <v>10545</v>
      </c>
      <c r="B548" s="77">
        <v>1</v>
      </c>
      <c r="C548" s="77">
        <v>2</v>
      </c>
      <c r="D548" s="79">
        <v>1</v>
      </c>
      <c r="E548" s="77">
        <v>12120</v>
      </c>
      <c r="F548" s="77">
        <v>0</v>
      </c>
    </row>
    <row r="549" spans="1:6" x14ac:dyDescent="0.25">
      <c r="A549" s="79">
        <v>10546</v>
      </c>
      <c r="B549" s="77">
        <v>1</v>
      </c>
      <c r="C549" s="77">
        <v>2</v>
      </c>
      <c r="D549" s="79">
        <v>1</v>
      </c>
      <c r="E549" s="77">
        <v>12121</v>
      </c>
      <c r="F549" s="77">
        <v>0</v>
      </c>
    </row>
    <row r="550" spans="1:6" x14ac:dyDescent="0.25">
      <c r="A550" s="79">
        <v>10547</v>
      </c>
      <c r="B550" s="77">
        <v>1</v>
      </c>
      <c r="C550" s="77">
        <v>2</v>
      </c>
      <c r="D550" s="79">
        <v>1</v>
      </c>
      <c r="E550" s="77">
        <v>12122</v>
      </c>
      <c r="F550" s="77">
        <v>0</v>
      </c>
    </row>
    <row r="551" spans="1:6" x14ac:dyDescent="0.25">
      <c r="A551" s="79">
        <v>10548</v>
      </c>
      <c r="B551" s="77">
        <v>1</v>
      </c>
      <c r="C551" s="77">
        <v>2</v>
      </c>
      <c r="D551" s="79">
        <v>1</v>
      </c>
      <c r="E551" s="77">
        <v>12123</v>
      </c>
      <c r="F551" s="77">
        <v>0</v>
      </c>
    </row>
    <row r="552" spans="1:6" x14ac:dyDescent="0.25">
      <c r="A552" s="79">
        <v>10549</v>
      </c>
      <c r="B552" s="77">
        <v>1</v>
      </c>
      <c r="C552" s="77">
        <v>2</v>
      </c>
      <c r="D552" s="79">
        <v>1</v>
      </c>
      <c r="E552" s="77">
        <v>12124</v>
      </c>
      <c r="F552" s="77">
        <v>0</v>
      </c>
    </row>
    <row r="553" spans="1:6" x14ac:dyDescent="0.25">
      <c r="A553" s="79">
        <v>10550</v>
      </c>
      <c r="B553" s="77">
        <v>1</v>
      </c>
      <c r="C553" s="77">
        <v>2</v>
      </c>
      <c r="D553" s="79">
        <v>1</v>
      </c>
      <c r="E553" s="77">
        <v>12125</v>
      </c>
      <c r="F553" s="77">
        <v>0</v>
      </c>
    </row>
    <row r="554" spans="1:6" x14ac:dyDescent="0.25">
      <c r="A554" s="79">
        <v>10551</v>
      </c>
      <c r="B554" s="77">
        <v>1</v>
      </c>
      <c r="C554" s="77">
        <v>2</v>
      </c>
      <c r="D554" s="79">
        <v>1</v>
      </c>
      <c r="E554" s="77">
        <v>12126</v>
      </c>
      <c r="F554" s="77">
        <v>0</v>
      </c>
    </row>
    <row r="555" spans="1:6" x14ac:dyDescent="0.25">
      <c r="A555" s="79">
        <v>10552</v>
      </c>
      <c r="B555" s="77">
        <v>1</v>
      </c>
      <c r="C555" s="77">
        <v>2</v>
      </c>
      <c r="D555" s="79">
        <v>1</v>
      </c>
      <c r="E555" s="77">
        <v>12127</v>
      </c>
      <c r="F555" s="77">
        <v>0</v>
      </c>
    </row>
    <row r="556" spans="1:6" x14ac:dyDescent="0.25">
      <c r="A556" s="79">
        <v>10553</v>
      </c>
      <c r="B556" s="77">
        <v>1</v>
      </c>
      <c r="C556" s="77">
        <v>2</v>
      </c>
      <c r="D556" s="79">
        <v>1</v>
      </c>
      <c r="E556" s="77">
        <v>12128</v>
      </c>
      <c r="F556" s="77">
        <v>0</v>
      </c>
    </row>
    <row r="557" spans="1:6" x14ac:dyDescent="0.25">
      <c r="A557" s="79">
        <v>10554</v>
      </c>
      <c r="B557" s="77">
        <v>1</v>
      </c>
      <c r="C557" s="77">
        <v>2</v>
      </c>
      <c r="D557" s="79">
        <v>1</v>
      </c>
      <c r="E557" s="77">
        <v>12129</v>
      </c>
      <c r="F557" s="77">
        <v>0</v>
      </c>
    </row>
    <row r="558" spans="1:6" x14ac:dyDescent="0.25">
      <c r="A558" s="79">
        <v>10555</v>
      </c>
      <c r="B558" s="77">
        <v>1</v>
      </c>
      <c r="C558" s="77">
        <v>2</v>
      </c>
      <c r="D558" s="79">
        <v>1</v>
      </c>
      <c r="E558" s="77">
        <v>12130</v>
      </c>
      <c r="F558" s="77">
        <v>0</v>
      </c>
    </row>
    <row r="559" spans="1:6" x14ac:dyDescent="0.25">
      <c r="A559" s="79">
        <v>10556</v>
      </c>
      <c r="B559" s="77">
        <v>2</v>
      </c>
      <c r="C559" s="77">
        <v>2</v>
      </c>
      <c r="D559" s="79">
        <v>1</v>
      </c>
      <c r="E559" s="77">
        <v>12101</v>
      </c>
      <c r="F559" s="77">
        <v>10</v>
      </c>
    </row>
    <row r="560" spans="1:6" x14ac:dyDescent="0.25">
      <c r="A560" s="79">
        <v>10557</v>
      </c>
      <c r="B560" s="77">
        <v>2</v>
      </c>
      <c r="C560" s="77">
        <v>2</v>
      </c>
      <c r="D560" s="79">
        <v>1</v>
      </c>
      <c r="E560" s="77">
        <v>12102</v>
      </c>
      <c r="F560" s="77">
        <v>10</v>
      </c>
    </row>
    <row r="561" spans="1:6" x14ac:dyDescent="0.25">
      <c r="A561" s="79">
        <v>10558</v>
      </c>
      <c r="B561" s="77">
        <v>2</v>
      </c>
      <c r="C561" s="77">
        <v>2</v>
      </c>
      <c r="D561" s="79">
        <v>1</v>
      </c>
      <c r="E561" s="77">
        <v>12103</v>
      </c>
      <c r="F561" s="77">
        <v>10</v>
      </c>
    </row>
    <row r="562" spans="1:6" x14ac:dyDescent="0.25">
      <c r="A562" s="79">
        <v>10559</v>
      </c>
      <c r="B562" s="77">
        <v>2</v>
      </c>
      <c r="C562" s="77">
        <v>2</v>
      </c>
      <c r="D562" s="79">
        <v>1</v>
      </c>
      <c r="E562" s="77">
        <v>12104</v>
      </c>
      <c r="F562" s="77">
        <v>10</v>
      </c>
    </row>
    <row r="563" spans="1:6" x14ac:dyDescent="0.25">
      <c r="A563" s="79">
        <v>10560</v>
      </c>
      <c r="B563" s="77">
        <v>2</v>
      </c>
      <c r="C563" s="77">
        <v>2</v>
      </c>
      <c r="D563" s="79">
        <v>1</v>
      </c>
      <c r="E563" s="77">
        <v>12105</v>
      </c>
      <c r="F563" s="77">
        <v>10</v>
      </c>
    </row>
    <row r="564" spans="1:6" x14ac:dyDescent="0.25">
      <c r="A564" s="79">
        <v>10561</v>
      </c>
      <c r="B564" s="77">
        <v>2</v>
      </c>
      <c r="C564" s="77">
        <v>2</v>
      </c>
      <c r="D564" s="79">
        <v>1</v>
      </c>
      <c r="E564" s="77">
        <v>12106</v>
      </c>
      <c r="F564" s="77">
        <v>10</v>
      </c>
    </row>
    <row r="565" spans="1:6" x14ac:dyDescent="0.25">
      <c r="A565" s="79">
        <v>10562</v>
      </c>
      <c r="B565" s="77">
        <v>2</v>
      </c>
      <c r="C565" s="77">
        <v>2</v>
      </c>
      <c r="D565" s="79">
        <v>1</v>
      </c>
      <c r="E565" s="77">
        <v>12107</v>
      </c>
      <c r="F565" s="77">
        <v>10</v>
      </c>
    </row>
    <row r="566" spans="1:6" x14ac:dyDescent="0.25">
      <c r="A566" s="79">
        <v>10563</v>
      </c>
      <c r="B566" s="77">
        <v>2</v>
      </c>
      <c r="C566" s="77">
        <v>2</v>
      </c>
      <c r="D566" s="79">
        <v>1</v>
      </c>
      <c r="E566" s="77">
        <v>12108</v>
      </c>
      <c r="F566" s="77">
        <v>10</v>
      </c>
    </row>
    <row r="567" spans="1:6" x14ac:dyDescent="0.25">
      <c r="A567" s="79">
        <v>10564</v>
      </c>
      <c r="B567" s="77">
        <v>2</v>
      </c>
      <c r="C567" s="77">
        <v>2</v>
      </c>
      <c r="D567" s="79">
        <v>1</v>
      </c>
      <c r="E567" s="77">
        <v>12109</v>
      </c>
      <c r="F567" s="77">
        <v>10</v>
      </c>
    </row>
    <row r="568" spans="1:6" x14ac:dyDescent="0.25">
      <c r="A568" s="79">
        <v>10565</v>
      </c>
      <c r="B568" s="77">
        <v>2</v>
      </c>
      <c r="C568" s="77">
        <v>2</v>
      </c>
      <c r="D568" s="79">
        <v>1</v>
      </c>
      <c r="E568" s="77">
        <v>12110</v>
      </c>
      <c r="F568" s="77">
        <v>10</v>
      </c>
    </row>
    <row r="569" spans="1:6" x14ac:dyDescent="0.25">
      <c r="A569" s="79">
        <v>10566</v>
      </c>
      <c r="B569" s="77">
        <v>2</v>
      </c>
      <c r="C569" s="77">
        <v>2</v>
      </c>
      <c r="D569" s="79">
        <v>1</v>
      </c>
      <c r="E569" s="77">
        <v>12111</v>
      </c>
      <c r="F569" s="77">
        <v>10</v>
      </c>
    </row>
    <row r="570" spans="1:6" x14ac:dyDescent="0.25">
      <c r="A570" s="79">
        <v>10567</v>
      </c>
      <c r="B570" s="77">
        <v>2</v>
      </c>
      <c r="C570" s="77">
        <v>2</v>
      </c>
      <c r="D570" s="79">
        <v>1</v>
      </c>
      <c r="E570" s="77">
        <v>12112</v>
      </c>
      <c r="F570" s="77">
        <v>10</v>
      </c>
    </row>
    <row r="571" spans="1:6" x14ac:dyDescent="0.25">
      <c r="A571" s="79">
        <v>10568</v>
      </c>
      <c r="B571" s="77">
        <v>2</v>
      </c>
      <c r="C571" s="77">
        <v>2</v>
      </c>
      <c r="D571" s="79">
        <v>1</v>
      </c>
      <c r="E571" s="77">
        <v>12113</v>
      </c>
      <c r="F571" s="77">
        <v>10</v>
      </c>
    </row>
    <row r="572" spans="1:6" x14ac:dyDescent="0.25">
      <c r="A572" s="79">
        <v>10569</v>
      </c>
      <c r="B572" s="77">
        <v>2</v>
      </c>
      <c r="C572" s="77">
        <v>2</v>
      </c>
      <c r="D572" s="79">
        <v>1</v>
      </c>
      <c r="E572" s="77">
        <v>12114</v>
      </c>
      <c r="F572" s="77">
        <v>10</v>
      </c>
    </row>
    <row r="573" spans="1:6" x14ac:dyDescent="0.25">
      <c r="A573" s="79">
        <v>10570</v>
      </c>
      <c r="B573" s="77">
        <v>2</v>
      </c>
      <c r="C573" s="77">
        <v>2</v>
      </c>
      <c r="D573" s="79">
        <v>1</v>
      </c>
      <c r="E573" s="77">
        <v>12115</v>
      </c>
      <c r="F573" s="77">
        <v>10</v>
      </c>
    </row>
    <row r="574" spans="1:6" x14ac:dyDescent="0.25">
      <c r="A574" s="79">
        <v>10571</v>
      </c>
      <c r="B574" s="77">
        <v>2</v>
      </c>
      <c r="C574" s="77">
        <v>2</v>
      </c>
      <c r="D574" s="79">
        <v>1</v>
      </c>
      <c r="E574" s="77">
        <v>12116</v>
      </c>
      <c r="F574" s="77">
        <v>10</v>
      </c>
    </row>
    <row r="575" spans="1:6" x14ac:dyDescent="0.25">
      <c r="A575" s="79">
        <v>10572</v>
      </c>
      <c r="B575" s="77">
        <v>2</v>
      </c>
      <c r="C575" s="77">
        <v>2</v>
      </c>
      <c r="D575" s="79">
        <v>1</v>
      </c>
      <c r="E575" s="77">
        <v>12117</v>
      </c>
      <c r="F575" s="77">
        <v>10</v>
      </c>
    </row>
    <row r="576" spans="1:6" x14ac:dyDescent="0.25">
      <c r="A576" s="79">
        <v>10573</v>
      </c>
      <c r="B576" s="77">
        <v>2</v>
      </c>
      <c r="C576" s="77">
        <v>2</v>
      </c>
      <c r="D576" s="79">
        <v>1</v>
      </c>
      <c r="E576" s="77">
        <v>12118</v>
      </c>
      <c r="F576" s="77">
        <v>10</v>
      </c>
    </row>
    <row r="577" spans="1:6" x14ac:dyDescent="0.25">
      <c r="A577" s="79">
        <v>10574</v>
      </c>
      <c r="B577" s="77">
        <v>2</v>
      </c>
      <c r="C577" s="77">
        <v>2</v>
      </c>
      <c r="D577" s="79">
        <v>1</v>
      </c>
      <c r="E577" s="77">
        <v>12119</v>
      </c>
      <c r="F577" s="77">
        <v>10</v>
      </c>
    </row>
    <row r="578" spans="1:6" x14ac:dyDescent="0.25">
      <c r="A578" s="79">
        <v>10575</v>
      </c>
      <c r="B578" s="77">
        <v>2</v>
      </c>
      <c r="C578" s="77">
        <v>2</v>
      </c>
      <c r="D578" s="79">
        <v>1</v>
      </c>
      <c r="E578" s="77">
        <v>12120</v>
      </c>
      <c r="F578" s="77">
        <v>10</v>
      </c>
    </row>
    <row r="579" spans="1:6" x14ac:dyDescent="0.25">
      <c r="A579" s="79">
        <v>10576</v>
      </c>
      <c r="B579" s="77">
        <v>2</v>
      </c>
      <c r="C579" s="77">
        <v>2</v>
      </c>
      <c r="D579" s="79">
        <v>1</v>
      </c>
      <c r="E579" s="77">
        <v>12121</v>
      </c>
      <c r="F579" s="77">
        <v>0</v>
      </c>
    </row>
    <row r="580" spans="1:6" x14ac:dyDescent="0.25">
      <c r="A580" s="79">
        <v>10577</v>
      </c>
      <c r="B580" s="77">
        <v>2</v>
      </c>
      <c r="C580" s="77">
        <v>2</v>
      </c>
      <c r="D580" s="79">
        <v>1</v>
      </c>
      <c r="E580" s="77">
        <v>12122</v>
      </c>
      <c r="F580" s="77">
        <v>0</v>
      </c>
    </row>
    <row r="581" spans="1:6" x14ac:dyDescent="0.25">
      <c r="A581" s="79">
        <v>10578</v>
      </c>
      <c r="B581" s="77">
        <v>2</v>
      </c>
      <c r="C581" s="77">
        <v>2</v>
      </c>
      <c r="D581" s="79">
        <v>1</v>
      </c>
      <c r="E581" s="77">
        <v>12123</v>
      </c>
      <c r="F581" s="77">
        <v>0</v>
      </c>
    </row>
    <row r="582" spans="1:6" x14ac:dyDescent="0.25">
      <c r="A582" s="79">
        <v>10579</v>
      </c>
      <c r="B582" s="77">
        <v>2</v>
      </c>
      <c r="C582" s="77">
        <v>2</v>
      </c>
      <c r="D582" s="79">
        <v>1</v>
      </c>
      <c r="E582" s="77">
        <v>12124</v>
      </c>
      <c r="F582" s="77">
        <v>0</v>
      </c>
    </row>
    <row r="583" spans="1:6" x14ac:dyDescent="0.25">
      <c r="A583" s="79">
        <v>10580</v>
      </c>
      <c r="B583" s="77">
        <v>2</v>
      </c>
      <c r="C583" s="77">
        <v>2</v>
      </c>
      <c r="D583" s="79">
        <v>1</v>
      </c>
      <c r="E583" s="77">
        <v>12125</v>
      </c>
      <c r="F583" s="77">
        <v>0</v>
      </c>
    </row>
    <row r="584" spans="1:6" x14ac:dyDescent="0.25">
      <c r="A584" s="79">
        <v>10581</v>
      </c>
      <c r="B584" s="77">
        <v>2</v>
      </c>
      <c r="C584" s="77">
        <v>2</v>
      </c>
      <c r="D584" s="79">
        <v>1</v>
      </c>
      <c r="E584" s="77">
        <v>12126</v>
      </c>
      <c r="F584" s="77">
        <v>0</v>
      </c>
    </row>
    <row r="585" spans="1:6" x14ac:dyDescent="0.25">
      <c r="A585" s="79">
        <v>10582</v>
      </c>
      <c r="B585" s="77">
        <v>2</v>
      </c>
      <c r="C585" s="77">
        <v>2</v>
      </c>
      <c r="D585" s="79">
        <v>1</v>
      </c>
      <c r="E585" s="77">
        <v>12127</v>
      </c>
      <c r="F585" s="77">
        <v>0</v>
      </c>
    </row>
    <row r="586" spans="1:6" x14ac:dyDescent="0.25">
      <c r="A586" s="79">
        <v>10583</v>
      </c>
      <c r="B586" s="77">
        <v>2</v>
      </c>
      <c r="C586" s="77">
        <v>2</v>
      </c>
      <c r="D586" s="79">
        <v>1</v>
      </c>
      <c r="E586" s="77">
        <v>12128</v>
      </c>
      <c r="F586" s="77">
        <v>0</v>
      </c>
    </row>
    <row r="587" spans="1:6" x14ac:dyDescent="0.25">
      <c r="A587" s="79">
        <v>10584</v>
      </c>
      <c r="B587" s="77">
        <v>2</v>
      </c>
      <c r="C587" s="77">
        <v>2</v>
      </c>
      <c r="D587" s="79">
        <v>1</v>
      </c>
      <c r="E587" s="77">
        <v>12129</v>
      </c>
      <c r="F587" s="77">
        <v>0</v>
      </c>
    </row>
    <row r="588" spans="1:6" x14ac:dyDescent="0.25">
      <c r="A588" s="79">
        <v>10585</v>
      </c>
      <c r="B588" s="77">
        <v>2</v>
      </c>
      <c r="C588" s="77">
        <v>2</v>
      </c>
      <c r="D588" s="79">
        <v>1</v>
      </c>
      <c r="E588" s="77">
        <v>12130</v>
      </c>
      <c r="F588" s="77">
        <v>0</v>
      </c>
    </row>
    <row r="589" spans="1:6" x14ac:dyDescent="0.25">
      <c r="A589" s="79">
        <v>10586</v>
      </c>
      <c r="B589" s="77">
        <v>3</v>
      </c>
      <c r="C589" s="77">
        <v>2</v>
      </c>
      <c r="D589" s="79">
        <v>1</v>
      </c>
      <c r="E589" s="77">
        <v>12101</v>
      </c>
      <c r="F589" s="77">
        <v>0</v>
      </c>
    </row>
    <row r="590" spans="1:6" x14ac:dyDescent="0.25">
      <c r="A590" s="79">
        <v>10587</v>
      </c>
      <c r="B590" s="77">
        <v>3</v>
      </c>
      <c r="C590" s="77">
        <v>2</v>
      </c>
      <c r="D590" s="79">
        <v>1</v>
      </c>
      <c r="E590" s="77">
        <v>12102</v>
      </c>
      <c r="F590" s="77">
        <v>0</v>
      </c>
    </row>
    <row r="591" spans="1:6" x14ac:dyDescent="0.25">
      <c r="A591" s="79">
        <v>10588</v>
      </c>
      <c r="B591" s="77">
        <v>3</v>
      </c>
      <c r="C591" s="77">
        <v>2</v>
      </c>
      <c r="D591" s="79">
        <v>1</v>
      </c>
      <c r="E591" s="77">
        <v>12103</v>
      </c>
      <c r="F591" s="77">
        <v>0</v>
      </c>
    </row>
    <row r="592" spans="1:6" x14ac:dyDescent="0.25">
      <c r="A592" s="77">
        <v>10589</v>
      </c>
      <c r="B592" s="77">
        <v>3</v>
      </c>
      <c r="C592" s="77">
        <v>2</v>
      </c>
      <c r="D592" s="77">
        <v>1</v>
      </c>
      <c r="E592" s="77">
        <v>12104</v>
      </c>
      <c r="F592" s="77">
        <v>0</v>
      </c>
    </row>
    <row r="593" spans="1:6" x14ac:dyDescent="0.25">
      <c r="A593" s="77">
        <v>10590</v>
      </c>
      <c r="B593" s="77">
        <v>3</v>
      </c>
      <c r="C593" s="77">
        <v>2</v>
      </c>
      <c r="D593" s="77">
        <v>1</v>
      </c>
      <c r="E593" s="77">
        <v>12105</v>
      </c>
      <c r="F593" s="77">
        <v>0</v>
      </c>
    </row>
    <row r="594" spans="1:6" x14ac:dyDescent="0.25">
      <c r="A594" s="77">
        <v>10591</v>
      </c>
      <c r="B594" s="77">
        <v>3</v>
      </c>
      <c r="C594" s="77">
        <v>2</v>
      </c>
      <c r="D594" s="77">
        <v>1</v>
      </c>
      <c r="E594" s="77">
        <v>12106</v>
      </c>
      <c r="F594" s="77">
        <v>10</v>
      </c>
    </row>
    <row r="595" spans="1:6" x14ac:dyDescent="0.25">
      <c r="A595" s="77">
        <v>10592</v>
      </c>
      <c r="B595" s="77">
        <v>3</v>
      </c>
      <c r="C595" s="77">
        <v>2</v>
      </c>
      <c r="D595" s="77">
        <v>1</v>
      </c>
      <c r="E595" s="77">
        <v>12107</v>
      </c>
      <c r="F595" s="77">
        <v>10</v>
      </c>
    </row>
    <row r="596" spans="1:6" x14ac:dyDescent="0.25">
      <c r="A596" s="77">
        <v>10593</v>
      </c>
      <c r="B596" s="77">
        <v>3</v>
      </c>
      <c r="C596" s="77">
        <v>2</v>
      </c>
      <c r="D596" s="77">
        <v>1</v>
      </c>
      <c r="E596" s="77">
        <v>12108</v>
      </c>
      <c r="F596" s="77">
        <v>10</v>
      </c>
    </row>
    <row r="597" spans="1:6" x14ac:dyDescent="0.25">
      <c r="A597" s="77">
        <v>10594</v>
      </c>
      <c r="B597" s="77">
        <v>3</v>
      </c>
      <c r="C597" s="77">
        <v>2</v>
      </c>
      <c r="D597" s="77">
        <v>1</v>
      </c>
      <c r="E597" s="77">
        <v>12109</v>
      </c>
      <c r="F597" s="77">
        <v>10</v>
      </c>
    </row>
    <row r="598" spans="1:6" x14ac:dyDescent="0.25">
      <c r="A598" s="77">
        <v>10595</v>
      </c>
      <c r="B598" s="77">
        <v>3</v>
      </c>
      <c r="C598" s="77">
        <v>2</v>
      </c>
      <c r="D598" s="77">
        <v>1</v>
      </c>
      <c r="E598" s="77">
        <v>12110</v>
      </c>
      <c r="F598" s="77">
        <v>10</v>
      </c>
    </row>
    <row r="599" spans="1:6" x14ac:dyDescent="0.25">
      <c r="A599" s="77">
        <v>10596</v>
      </c>
      <c r="B599" s="77">
        <v>3</v>
      </c>
      <c r="C599" s="77">
        <v>2</v>
      </c>
      <c r="D599" s="77">
        <v>1</v>
      </c>
      <c r="E599" s="77">
        <v>12111</v>
      </c>
      <c r="F599" s="77">
        <v>10</v>
      </c>
    </row>
    <row r="600" spans="1:6" x14ac:dyDescent="0.25">
      <c r="A600" s="77">
        <v>10597</v>
      </c>
      <c r="B600" s="77">
        <v>3</v>
      </c>
      <c r="C600" s="77">
        <v>2</v>
      </c>
      <c r="D600" s="77">
        <v>1</v>
      </c>
      <c r="E600" s="77">
        <v>12112</v>
      </c>
      <c r="F600" s="77">
        <v>10</v>
      </c>
    </row>
    <row r="601" spans="1:6" x14ac:dyDescent="0.25">
      <c r="A601" s="77">
        <v>10598</v>
      </c>
      <c r="B601" s="77">
        <v>3</v>
      </c>
      <c r="C601" s="77">
        <v>2</v>
      </c>
      <c r="D601" s="77">
        <v>1</v>
      </c>
      <c r="E601" s="77">
        <v>12113</v>
      </c>
      <c r="F601" s="77">
        <v>10</v>
      </c>
    </row>
    <row r="602" spans="1:6" x14ac:dyDescent="0.25">
      <c r="A602" s="77">
        <v>10599</v>
      </c>
      <c r="B602" s="77">
        <v>3</v>
      </c>
      <c r="C602" s="77">
        <v>2</v>
      </c>
      <c r="D602" s="77">
        <v>1</v>
      </c>
      <c r="E602" s="77">
        <v>12114</v>
      </c>
      <c r="F602" s="77">
        <v>10</v>
      </c>
    </row>
    <row r="603" spans="1:6" x14ac:dyDescent="0.25">
      <c r="A603" s="77">
        <v>10600</v>
      </c>
      <c r="B603" s="77">
        <v>3</v>
      </c>
      <c r="C603" s="77">
        <v>2</v>
      </c>
      <c r="D603" s="77">
        <v>1</v>
      </c>
      <c r="E603" s="77">
        <v>12115</v>
      </c>
      <c r="F603" s="77">
        <v>10</v>
      </c>
    </row>
    <row r="604" spans="1:6" x14ac:dyDescent="0.25">
      <c r="A604" s="77">
        <v>10601</v>
      </c>
      <c r="B604" s="77">
        <v>3</v>
      </c>
      <c r="C604" s="77">
        <v>2</v>
      </c>
      <c r="D604" s="77">
        <v>1</v>
      </c>
      <c r="E604" s="77">
        <v>12116</v>
      </c>
      <c r="F604" s="77">
        <v>10</v>
      </c>
    </row>
    <row r="605" spans="1:6" x14ac:dyDescent="0.25">
      <c r="A605" s="77">
        <v>10602</v>
      </c>
      <c r="B605" s="77">
        <v>3</v>
      </c>
      <c r="C605" s="77">
        <v>2</v>
      </c>
      <c r="D605" s="77">
        <v>1</v>
      </c>
      <c r="E605" s="77">
        <v>12117</v>
      </c>
      <c r="F605" s="77">
        <v>10</v>
      </c>
    </row>
    <row r="606" spans="1:6" x14ac:dyDescent="0.25">
      <c r="A606" s="77">
        <v>10603</v>
      </c>
      <c r="B606" s="77">
        <v>3</v>
      </c>
      <c r="C606" s="77">
        <v>2</v>
      </c>
      <c r="D606" s="77">
        <v>1</v>
      </c>
      <c r="E606" s="77">
        <v>12118</v>
      </c>
      <c r="F606" s="77">
        <v>10</v>
      </c>
    </row>
    <row r="607" spans="1:6" x14ac:dyDescent="0.25">
      <c r="A607" s="77">
        <v>10604</v>
      </c>
      <c r="B607" s="77">
        <v>3</v>
      </c>
      <c r="C607" s="77">
        <v>2</v>
      </c>
      <c r="D607" s="77">
        <v>1</v>
      </c>
      <c r="E607" s="77">
        <v>12119</v>
      </c>
      <c r="F607" s="77">
        <v>10</v>
      </c>
    </row>
    <row r="608" spans="1:6" x14ac:dyDescent="0.25">
      <c r="A608" s="77">
        <v>10605</v>
      </c>
      <c r="B608" s="77">
        <v>3</v>
      </c>
      <c r="C608" s="77">
        <v>2</v>
      </c>
      <c r="D608" s="77">
        <v>1</v>
      </c>
      <c r="E608" s="77">
        <v>12120</v>
      </c>
      <c r="F608" s="77">
        <v>10</v>
      </c>
    </row>
    <row r="609" spans="1:6" x14ac:dyDescent="0.25">
      <c r="A609" s="77">
        <v>10606</v>
      </c>
      <c r="B609" s="77">
        <v>3</v>
      </c>
      <c r="C609" s="77">
        <v>2</v>
      </c>
      <c r="D609" s="77">
        <v>1</v>
      </c>
      <c r="E609" s="77">
        <v>12121</v>
      </c>
      <c r="F609" s="77">
        <v>10</v>
      </c>
    </row>
    <row r="610" spans="1:6" x14ac:dyDescent="0.25">
      <c r="A610" s="77">
        <v>10607</v>
      </c>
      <c r="B610" s="77">
        <v>3</v>
      </c>
      <c r="C610" s="77">
        <v>2</v>
      </c>
      <c r="D610" s="77">
        <v>1</v>
      </c>
      <c r="E610" s="77">
        <v>12122</v>
      </c>
      <c r="F610" s="77">
        <v>10</v>
      </c>
    </row>
    <row r="611" spans="1:6" x14ac:dyDescent="0.25">
      <c r="A611" s="77">
        <v>10608</v>
      </c>
      <c r="B611" s="77">
        <v>3</v>
      </c>
      <c r="C611" s="77">
        <v>2</v>
      </c>
      <c r="D611" s="77">
        <v>1</v>
      </c>
      <c r="E611" s="77">
        <v>12123</v>
      </c>
      <c r="F611" s="77">
        <v>0</v>
      </c>
    </row>
    <row r="612" spans="1:6" x14ac:dyDescent="0.25">
      <c r="A612" s="77">
        <v>10609</v>
      </c>
      <c r="B612" s="77">
        <v>3</v>
      </c>
      <c r="C612" s="77">
        <v>2</v>
      </c>
      <c r="D612" s="77">
        <v>1</v>
      </c>
      <c r="E612" s="77">
        <v>12124</v>
      </c>
      <c r="F612" s="77">
        <v>0</v>
      </c>
    </row>
    <row r="613" spans="1:6" x14ac:dyDescent="0.25">
      <c r="A613" s="77">
        <v>10610</v>
      </c>
      <c r="B613" s="77">
        <v>3</v>
      </c>
      <c r="C613" s="77">
        <v>2</v>
      </c>
      <c r="D613" s="77">
        <v>1</v>
      </c>
      <c r="E613" s="77">
        <v>12125</v>
      </c>
      <c r="F613" s="77">
        <v>0</v>
      </c>
    </row>
    <row r="614" spans="1:6" x14ac:dyDescent="0.25">
      <c r="A614" s="77">
        <v>10611</v>
      </c>
      <c r="B614" s="77">
        <v>3</v>
      </c>
      <c r="C614" s="77">
        <v>2</v>
      </c>
      <c r="D614" s="77">
        <v>1</v>
      </c>
      <c r="E614" s="77">
        <v>12126</v>
      </c>
      <c r="F614" s="77">
        <v>0</v>
      </c>
    </row>
    <row r="615" spans="1:6" x14ac:dyDescent="0.25">
      <c r="A615" s="77">
        <v>10612</v>
      </c>
      <c r="B615" s="77">
        <v>3</v>
      </c>
      <c r="C615" s="77">
        <v>2</v>
      </c>
      <c r="D615" s="77">
        <v>1</v>
      </c>
      <c r="E615" s="77">
        <v>12127</v>
      </c>
      <c r="F615" s="77">
        <v>0</v>
      </c>
    </row>
    <row r="616" spans="1:6" x14ac:dyDescent="0.25">
      <c r="A616" s="77">
        <v>10613</v>
      </c>
      <c r="B616" s="77">
        <v>3</v>
      </c>
      <c r="C616" s="77">
        <v>2</v>
      </c>
      <c r="D616" s="77">
        <v>1</v>
      </c>
      <c r="E616" s="77">
        <v>12128</v>
      </c>
      <c r="F616" s="77">
        <v>0</v>
      </c>
    </row>
    <row r="617" spans="1:6" x14ac:dyDescent="0.25">
      <c r="A617" s="77">
        <v>10614</v>
      </c>
      <c r="B617" s="77">
        <v>3</v>
      </c>
      <c r="C617" s="77">
        <v>2</v>
      </c>
      <c r="D617" s="77">
        <v>1</v>
      </c>
      <c r="E617" s="77">
        <v>12129</v>
      </c>
      <c r="F617" s="77">
        <v>0</v>
      </c>
    </row>
    <row r="618" spans="1:6" x14ac:dyDescent="0.25">
      <c r="A618" s="77">
        <v>10615</v>
      </c>
      <c r="B618" s="77">
        <v>3</v>
      </c>
      <c r="C618" s="77">
        <v>2</v>
      </c>
      <c r="D618" s="77">
        <v>1</v>
      </c>
      <c r="E618" s="77">
        <v>12130</v>
      </c>
      <c r="F618" s="77">
        <v>0</v>
      </c>
    </row>
    <row r="619" spans="1:6" x14ac:dyDescent="0.25">
      <c r="A619" s="77">
        <v>10616</v>
      </c>
      <c r="B619" s="77">
        <v>4</v>
      </c>
      <c r="C619" s="77">
        <v>2</v>
      </c>
      <c r="D619" s="77">
        <v>1</v>
      </c>
      <c r="E619" s="77">
        <v>12101</v>
      </c>
      <c r="F619" s="77">
        <v>0</v>
      </c>
    </row>
    <row r="620" spans="1:6" x14ac:dyDescent="0.25">
      <c r="A620" s="77">
        <v>10617</v>
      </c>
      <c r="B620" s="77">
        <v>4</v>
      </c>
      <c r="C620" s="77">
        <v>2</v>
      </c>
      <c r="D620" s="77">
        <v>1</v>
      </c>
      <c r="E620" s="77">
        <v>12102</v>
      </c>
      <c r="F620" s="77">
        <v>0</v>
      </c>
    </row>
    <row r="621" spans="1:6" x14ac:dyDescent="0.25">
      <c r="A621" s="77">
        <v>10618</v>
      </c>
      <c r="B621" s="77">
        <v>4</v>
      </c>
      <c r="C621" s="77">
        <v>2</v>
      </c>
      <c r="D621" s="77">
        <v>1</v>
      </c>
      <c r="E621" s="77">
        <v>12103</v>
      </c>
      <c r="F621" s="77">
        <v>0</v>
      </c>
    </row>
    <row r="622" spans="1:6" x14ac:dyDescent="0.25">
      <c r="A622" s="77">
        <v>10619</v>
      </c>
      <c r="B622" s="77">
        <v>4</v>
      </c>
      <c r="C622" s="77">
        <v>2</v>
      </c>
      <c r="D622" s="77">
        <v>1</v>
      </c>
      <c r="E622" s="77">
        <v>12104</v>
      </c>
      <c r="F622" s="77">
        <v>0</v>
      </c>
    </row>
    <row r="623" spans="1:6" x14ac:dyDescent="0.25">
      <c r="A623" s="77">
        <v>10620</v>
      </c>
      <c r="B623" s="77">
        <v>4</v>
      </c>
      <c r="C623" s="77">
        <v>2</v>
      </c>
      <c r="D623" s="77">
        <v>1</v>
      </c>
      <c r="E623" s="77">
        <v>12105</v>
      </c>
      <c r="F623" s="77">
        <v>0</v>
      </c>
    </row>
    <row r="624" spans="1:6" x14ac:dyDescent="0.25">
      <c r="A624" s="77">
        <v>10621</v>
      </c>
      <c r="B624" s="77">
        <v>4</v>
      </c>
      <c r="C624" s="77">
        <v>2</v>
      </c>
      <c r="D624" s="77">
        <v>1</v>
      </c>
      <c r="E624" s="77">
        <v>12106</v>
      </c>
      <c r="F624" s="77">
        <v>0</v>
      </c>
    </row>
    <row r="625" spans="1:6" x14ac:dyDescent="0.25">
      <c r="A625" s="77">
        <v>10622</v>
      </c>
      <c r="B625" s="77">
        <v>4</v>
      </c>
      <c r="C625" s="77">
        <v>2</v>
      </c>
      <c r="D625" s="77">
        <v>1</v>
      </c>
      <c r="E625" s="77">
        <v>12107</v>
      </c>
      <c r="F625" s="77">
        <v>0</v>
      </c>
    </row>
    <row r="626" spans="1:6" x14ac:dyDescent="0.25">
      <c r="A626" s="77">
        <v>10623</v>
      </c>
      <c r="B626" s="77">
        <v>4</v>
      </c>
      <c r="C626" s="77">
        <v>2</v>
      </c>
      <c r="D626" s="77">
        <v>1</v>
      </c>
      <c r="E626" s="77">
        <v>12108</v>
      </c>
      <c r="F626" s="77">
        <v>0</v>
      </c>
    </row>
    <row r="627" spans="1:6" x14ac:dyDescent="0.25">
      <c r="A627" s="77">
        <v>10624</v>
      </c>
      <c r="B627" s="77">
        <v>4</v>
      </c>
      <c r="C627" s="77">
        <v>2</v>
      </c>
      <c r="D627" s="77">
        <v>1</v>
      </c>
      <c r="E627" s="77">
        <v>12109</v>
      </c>
      <c r="F627" s="77">
        <v>10</v>
      </c>
    </row>
    <row r="628" spans="1:6" x14ac:dyDescent="0.25">
      <c r="A628" s="77">
        <v>10625</v>
      </c>
      <c r="B628" s="77">
        <v>4</v>
      </c>
      <c r="C628" s="77">
        <v>2</v>
      </c>
      <c r="D628" s="77">
        <v>1</v>
      </c>
      <c r="E628" s="77">
        <v>12110</v>
      </c>
      <c r="F628" s="77">
        <v>10</v>
      </c>
    </row>
    <row r="629" spans="1:6" x14ac:dyDescent="0.25">
      <c r="A629" s="77">
        <v>10626</v>
      </c>
      <c r="B629" s="77">
        <v>4</v>
      </c>
      <c r="C629" s="77">
        <v>2</v>
      </c>
      <c r="D629" s="77">
        <v>1</v>
      </c>
      <c r="E629" s="77">
        <v>12111</v>
      </c>
      <c r="F629" s="77">
        <v>10</v>
      </c>
    </row>
    <row r="630" spans="1:6" x14ac:dyDescent="0.25">
      <c r="A630" s="77">
        <v>10627</v>
      </c>
      <c r="B630" s="77">
        <v>4</v>
      </c>
      <c r="C630" s="77">
        <v>2</v>
      </c>
      <c r="D630" s="77">
        <v>1</v>
      </c>
      <c r="E630" s="77">
        <v>12112</v>
      </c>
      <c r="F630" s="77">
        <v>10</v>
      </c>
    </row>
    <row r="631" spans="1:6" x14ac:dyDescent="0.25">
      <c r="A631" s="77">
        <v>10628</v>
      </c>
      <c r="B631" s="77">
        <v>4</v>
      </c>
      <c r="C631" s="77">
        <v>2</v>
      </c>
      <c r="D631" s="77">
        <v>1</v>
      </c>
      <c r="E631" s="77">
        <v>12113</v>
      </c>
      <c r="F631" s="77">
        <v>10</v>
      </c>
    </row>
    <row r="632" spans="1:6" x14ac:dyDescent="0.25">
      <c r="A632" s="77">
        <v>10629</v>
      </c>
      <c r="B632" s="77">
        <v>4</v>
      </c>
      <c r="C632" s="77">
        <v>2</v>
      </c>
      <c r="D632" s="77">
        <v>1</v>
      </c>
      <c r="E632" s="77">
        <v>12114</v>
      </c>
      <c r="F632" s="77">
        <v>10</v>
      </c>
    </row>
    <row r="633" spans="1:6" x14ac:dyDescent="0.25">
      <c r="A633" s="77">
        <v>10630</v>
      </c>
      <c r="B633" s="77">
        <v>4</v>
      </c>
      <c r="C633" s="77">
        <v>2</v>
      </c>
      <c r="D633" s="77">
        <v>1</v>
      </c>
      <c r="E633" s="77">
        <v>12115</v>
      </c>
      <c r="F633" s="77">
        <v>10</v>
      </c>
    </row>
    <row r="634" spans="1:6" x14ac:dyDescent="0.25">
      <c r="A634" s="77">
        <v>10631</v>
      </c>
      <c r="B634" s="77">
        <v>4</v>
      </c>
      <c r="C634" s="77">
        <v>2</v>
      </c>
      <c r="D634" s="77">
        <v>1</v>
      </c>
      <c r="E634" s="77">
        <v>12116</v>
      </c>
      <c r="F634" s="77">
        <v>10</v>
      </c>
    </row>
    <row r="635" spans="1:6" x14ac:dyDescent="0.25">
      <c r="A635" s="77">
        <v>10632</v>
      </c>
      <c r="B635" s="77">
        <v>4</v>
      </c>
      <c r="C635" s="77">
        <v>2</v>
      </c>
      <c r="D635" s="77">
        <v>1</v>
      </c>
      <c r="E635" s="77">
        <v>12117</v>
      </c>
      <c r="F635" s="77">
        <v>10</v>
      </c>
    </row>
    <row r="636" spans="1:6" x14ac:dyDescent="0.25">
      <c r="A636" s="77">
        <v>10633</v>
      </c>
      <c r="B636" s="77">
        <v>4</v>
      </c>
      <c r="C636" s="77">
        <v>2</v>
      </c>
      <c r="D636" s="77">
        <v>1</v>
      </c>
      <c r="E636" s="77">
        <v>12118</v>
      </c>
      <c r="F636" s="77">
        <v>10</v>
      </c>
    </row>
    <row r="637" spans="1:6" x14ac:dyDescent="0.25">
      <c r="A637" s="77">
        <v>10634</v>
      </c>
      <c r="B637" s="77">
        <v>4</v>
      </c>
      <c r="C637" s="77">
        <v>2</v>
      </c>
      <c r="D637" s="77">
        <v>1</v>
      </c>
      <c r="E637" s="77">
        <v>12119</v>
      </c>
      <c r="F637" s="77">
        <v>10</v>
      </c>
    </row>
    <row r="638" spans="1:6" x14ac:dyDescent="0.25">
      <c r="A638" s="77">
        <v>10635</v>
      </c>
      <c r="B638" s="77">
        <v>4</v>
      </c>
      <c r="C638" s="77">
        <v>2</v>
      </c>
      <c r="D638" s="77">
        <v>1</v>
      </c>
      <c r="E638" s="77">
        <v>12120</v>
      </c>
      <c r="F638" s="77">
        <v>10</v>
      </c>
    </row>
    <row r="639" spans="1:6" x14ac:dyDescent="0.25">
      <c r="A639" s="77">
        <v>10636</v>
      </c>
      <c r="B639" s="77">
        <v>4</v>
      </c>
      <c r="C639" s="77">
        <v>2</v>
      </c>
      <c r="D639" s="77">
        <v>1</v>
      </c>
      <c r="E639" s="77">
        <v>12121</v>
      </c>
      <c r="F639" s="77">
        <v>10</v>
      </c>
    </row>
    <row r="640" spans="1:6" x14ac:dyDescent="0.25">
      <c r="A640" s="77">
        <v>10637</v>
      </c>
      <c r="B640" s="77">
        <v>4</v>
      </c>
      <c r="C640" s="77">
        <v>2</v>
      </c>
      <c r="D640" s="77">
        <v>1</v>
      </c>
      <c r="E640" s="77">
        <v>12122</v>
      </c>
      <c r="F640" s="77">
        <v>10</v>
      </c>
    </row>
    <row r="641" spans="1:6" x14ac:dyDescent="0.25">
      <c r="A641" s="77">
        <v>10638</v>
      </c>
      <c r="B641" s="77">
        <v>4</v>
      </c>
      <c r="C641" s="77">
        <v>2</v>
      </c>
      <c r="D641" s="77">
        <v>1</v>
      </c>
      <c r="E641" s="77">
        <v>12123</v>
      </c>
      <c r="F641" s="77">
        <v>10</v>
      </c>
    </row>
    <row r="642" spans="1:6" x14ac:dyDescent="0.25">
      <c r="A642" s="77">
        <v>10639</v>
      </c>
      <c r="B642" s="77">
        <v>4</v>
      </c>
      <c r="C642" s="77">
        <v>2</v>
      </c>
      <c r="D642" s="77">
        <v>1</v>
      </c>
      <c r="E642" s="77">
        <v>12124</v>
      </c>
      <c r="F642" s="77">
        <v>10</v>
      </c>
    </row>
    <row r="643" spans="1:6" x14ac:dyDescent="0.25">
      <c r="A643" s="77">
        <v>10640</v>
      </c>
      <c r="B643" s="77">
        <v>4</v>
      </c>
      <c r="C643" s="77">
        <v>2</v>
      </c>
      <c r="D643" s="77">
        <v>1</v>
      </c>
      <c r="E643" s="77">
        <v>12125</v>
      </c>
      <c r="F643" s="77">
        <v>10</v>
      </c>
    </row>
    <row r="644" spans="1:6" x14ac:dyDescent="0.25">
      <c r="A644" s="77">
        <v>10641</v>
      </c>
      <c r="B644" s="77">
        <v>4</v>
      </c>
      <c r="C644" s="77">
        <v>2</v>
      </c>
      <c r="D644" s="77">
        <v>1</v>
      </c>
      <c r="E644" s="77">
        <v>12126</v>
      </c>
      <c r="F644" s="77">
        <v>0</v>
      </c>
    </row>
    <row r="645" spans="1:6" x14ac:dyDescent="0.25">
      <c r="A645" s="77">
        <v>10642</v>
      </c>
      <c r="B645" s="77">
        <v>4</v>
      </c>
      <c r="C645" s="77">
        <v>2</v>
      </c>
      <c r="D645" s="77">
        <v>1</v>
      </c>
      <c r="E645" s="77">
        <v>12127</v>
      </c>
      <c r="F645" s="77">
        <v>0</v>
      </c>
    </row>
    <row r="646" spans="1:6" x14ac:dyDescent="0.25">
      <c r="A646" s="77">
        <v>10643</v>
      </c>
      <c r="B646" s="77">
        <v>4</v>
      </c>
      <c r="C646" s="77">
        <v>2</v>
      </c>
      <c r="D646" s="77">
        <v>1</v>
      </c>
      <c r="E646" s="77">
        <v>12128</v>
      </c>
      <c r="F646" s="77">
        <v>0</v>
      </c>
    </row>
    <row r="647" spans="1:6" x14ac:dyDescent="0.25">
      <c r="A647" s="77">
        <v>10644</v>
      </c>
      <c r="B647" s="77">
        <v>4</v>
      </c>
      <c r="C647" s="77">
        <v>2</v>
      </c>
      <c r="D647" s="77">
        <v>1</v>
      </c>
      <c r="E647" s="77">
        <v>12129</v>
      </c>
      <c r="F647" s="77">
        <v>0</v>
      </c>
    </row>
    <row r="648" spans="1:6" x14ac:dyDescent="0.25">
      <c r="A648" s="77">
        <v>10645</v>
      </c>
      <c r="B648" s="77">
        <v>4</v>
      </c>
      <c r="C648" s="77">
        <v>2</v>
      </c>
      <c r="D648" s="77">
        <v>1</v>
      </c>
      <c r="E648" s="77">
        <v>12130</v>
      </c>
      <c r="F648" s="77">
        <v>0</v>
      </c>
    </row>
    <row r="649" spans="1:6" x14ac:dyDescent="0.25">
      <c r="A649" s="77">
        <v>10646</v>
      </c>
      <c r="B649" s="77">
        <v>5</v>
      </c>
      <c r="C649" s="77">
        <v>2</v>
      </c>
      <c r="D649" s="77">
        <v>1</v>
      </c>
      <c r="E649" s="77">
        <v>12101</v>
      </c>
      <c r="F649" s="77">
        <v>0</v>
      </c>
    </row>
    <row r="650" spans="1:6" x14ac:dyDescent="0.25">
      <c r="A650" s="77">
        <v>10647</v>
      </c>
      <c r="B650" s="77">
        <v>5</v>
      </c>
      <c r="C650" s="77">
        <v>2</v>
      </c>
      <c r="D650" s="77">
        <v>1</v>
      </c>
      <c r="E650" s="77">
        <v>12102</v>
      </c>
      <c r="F650" s="77">
        <v>0</v>
      </c>
    </row>
    <row r="651" spans="1:6" x14ac:dyDescent="0.25">
      <c r="A651" s="77">
        <v>10648</v>
      </c>
      <c r="B651" s="77">
        <v>5</v>
      </c>
      <c r="C651" s="77">
        <v>2</v>
      </c>
      <c r="D651" s="77">
        <v>1</v>
      </c>
      <c r="E651" s="77">
        <v>12103</v>
      </c>
      <c r="F651" s="77">
        <v>0</v>
      </c>
    </row>
    <row r="652" spans="1:6" x14ac:dyDescent="0.25">
      <c r="A652" s="77">
        <v>10649</v>
      </c>
      <c r="B652" s="77">
        <v>5</v>
      </c>
      <c r="C652" s="77">
        <v>2</v>
      </c>
      <c r="D652" s="77">
        <v>1</v>
      </c>
      <c r="E652" s="77">
        <v>12104</v>
      </c>
      <c r="F652" s="77">
        <v>0</v>
      </c>
    </row>
    <row r="653" spans="1:6" x14ac:dyDescent="0.25">
      <c r="A653" s="77">
        <v>10650</v>
      </c>
      <c r="B653" s="77">
        <v>5</v>
      </c>
      <c r="C653" s="77">
        <v>2</v>
      </c>
      <c r="D653" s="77">
        <v>1</v>
      </c>
      <c r="E653" s="77">
        <v>12105</v>
      </c>
      <c r="F653" s="77">
        <v>0</v>
      </c>
    </row>
    <row r="654" spans="1:6" x14ac:dyDescent="0.25">
      <c r="A654" s="77">
        <v>10651</v>
      </c>
      <c r="B654" s="77">
        <v>5</v>
      </c>
      <c r="C654" s="77">
        <v>2</v>
      </c>
      <c r="D654" s="77">
        <v>1</v>
      </c>
      <c r="E654" s="77">
        <v>12106</v>
      </c>
      <c r="F654" s="77">
        <v>0</v>
      </c>
    </row>
    <row r="655" spans="1:6" x14ac:dyDescent="0.25">
      <c r="A655" s="77">
        <v>10652</v>
      </c>
      <c r="B655" s="77">
        <v>5</v>
      </c>
      <c r="C655" s="77">
        <v>2</v>
      </c>
      <c r="D655" s="77">
        <v>1</v>
      </c>
      <c r="E655" s="77">
        <v>12107</v>
      </c>
      <c r="F655" s="77">
        <v>0</v>
      </c>
    </row>
    <row r="656" spans="1:6" x14ac:dyDescent="0.25">
      <c r="A656" s="77">
        <v>10653</v>
      </c>
      <c r="B656" s="77">
        <v>5</v>
      </c>
      <c r="C656" s="77">
        <v>2</v>
      </c>
      <c r="D656" s="77">
        <v>1</v>
      </c>
      <c r="E656" s="77">
        <v>12108</v>
      </c>
      <c r="F656" s="77">
        <v>0</v>
      </c>
    </row>
    <row r="657" spans="1:6" x14ac:dyDescent="0.25">
      <c r="A657" s="77">
        <v>10654</v>
      </c>
      <c r="B657" s="77">
        <v>5</v>
      </c>
      <c r="C657" s="77">
        <v>2</v>
      </c>
      <c r="D657" s="77">
        <v>1</v>
      </c>
      <c r="E657" s="77">
        <v>12109</v>
      </c>
      <c r="F657" s="77">
        <v>0</v>
      </c>
    </row>
    <row r="658" spans="1:6" x14ac:dyDescent="0.25">
      <c r="A658" s="77">
        <v>10655</v>
      </c>
      <c r="B658" s="77">
        <v>5</v>
      </c>
      <c r="C658" s="77">
        <v>2</v>
      </c>
      <c r="D658" s="77">
        <v>1</v>
      </c>
      <c r="E658" s="77">
        <v>12110</v>
      </c>
      <c r="F658" s="77">
        <v>0</v>
      </c>
    </row>
    <row r="659" spans="1:6" x14ac:dyDescent="0.25">
      <c r="A659" s="77">
        <v>10656</v>
      </c>
      <c r="B659" s="77">
        <v>5</v>
      </c>
      <c r="C659" s="77">
        <v>2</v>
      </c>
      <c r="D659" s="77">
        <v>1</v>
      </c>
      <c r="E659" s="77">
        <v>12111</v>
      </c>
      <c r="F659" s="77">
        <v>0</v>
      </c>
    </row>
    <row r="660" spans="1:6" x14ac:dyDescent="0.25">
      <c r="A660" s="77">
        <v>10657</v>
      </c>
      <c r="B660" s="77">
        <v>5</v>
      </c>
      <c r="C660" s="77">
        <v>2</v>
      </c>
      <c r="D660" s="77">
        <v>1</v>
      </c>
      <c r="E660" s="77">
        <v>12112</v>
      </c>
      <c r="F660" s="77">
        <v>10</v>
      </c>
    </row>
    <row r="661" spans="1:6" x14ac:dyDescent="0.25">
      <c r="A661" s="77">
        <v>10658</v>
      </c>
      <c r="B661" s="77">
        <v>5</v>
      </c>
      <c r="C661" s="77">
        <v>2</v>
      </c>
      <c r="D661" s="77">
        <v>1</v>
      </c>
      <c r="E661" s="77">
        <v>12113</v>
      </c>
      <c r="F661" s="77">
        <v>10</v>
      </c>
    </row>
    <row r="662" spans="1:6" x14ac:dyDescent="0.25">
      <c r="A662" s="77">
        <v>10659</v>
      </c>
      <c r="B662" s="77">
        <v>5</v>
      </c>
      <c r="C662" s="77">
        <v>2</v>
      </c>
      <c r="D662" s="77">
        <v>1</v>
      </c>
      <c r="E662" s="77">
        <v>12114</v>
      </c>
      <c r="F662" s="77">
        <v>10</v>
      </c>
    </row>
    <row r="663" spans="1:6" x14ac:dyDescent="0.25">
      <c r="A663" s="77">
        <v>10660</v>
      </c>
      <c r="B663" s="77">
        <v>5</v>
      </c>
      <c r="C663" s="77">
        <v>2</v>
      </c>
      <c r="D663" s="77">
        <v>1</v>
      </c>
      <c r="E663" s="77">
        <v>12115</v>
      </c>
      <c r="F663" s="77">
        <v>10</v>
      </c>
    </row>
    <row r="664" spans="1:6" x14ac:dyDescent="0.25">
      <c r="A664" s="77">
        <v>10661</v>
      </c>
      <c r="B664" s="77">
        <v>5</v>
      </c>
      <c r="C664" s="77">
        <v>2</v>
      </c>
      <c r="D664" s="77">
        <v>1</v>
      </c>
      <c r="E664" s="77">
        <v>12116</v>
      </c>
      <c r="F664" s="77">
        <v>10</v>
      </c>
    </row>
    <row r="665" spans="1:6" x14ac:dyDescent="0.25">
      <c r="A665" s="77">
        <v>10662</v>
      </c>
      <c r="B665" s="77">
        <v>5</v>
      </c>
      <c r="C665" s="77">
        <v>2</v>
      </c>
      <c r="D665" s="77">
        <v>1</v>
      </c>
      <c r="E665" s="77">
        <v>12117</v>
      </c>
      <c r="F665" s="77">
        <v>10</v>
      </c>
    </row>
    <row r="666" spans="1:6" x14ac:dyDescent="0.25">
      <c r="A666" s="77">
        <v>10663</v>
      </c>
      <c r="B666" s="77">
        <v>5</v>
      </c>
      <c r="C666" s="77">
        <v>2</v>
      </c>
      <c r="D666" s="77">
        <v>1</v>
      </c>
      <c r="E666" s="77">
        <v>12118</v>
      </c>
      <c r="F666" s="77">
        <v>10</v>
      </c>
    </row>
    <row r="667" spans="1:6" x14ac:dyDescent="0.25">
      <c r="A667" s="77">
        <v>10664</v>
      </c>
      <c r="B667" s="77">
        <v>5</v>
      </c>
      <c r="C667" s="77">
        <v>2</v>
      </c>
      <c r="D667" s="77">
        <v>1</v>
      </c>
      <c r="E667" s="77">
        <v>12119</v>
      </c>
      <c r="F667" s="77">
        <v>10</v>
      </c>
    </row>
    <row r="668" spans="1:6" x14ac:dyDescent="0.25">
      <c r="A668" s="77">
        <v>10665</v>
      </c>
      <c r="B668" s="77">
        <v>5</v>
      </c>
      <c r="C668" s="77">
        <v>2</v>
      </c>
      <c r="D668" s="77">
        <v>1</v>
      </c>
      <c r="E668" s="77">
        <v>12120</v>
      </c>
      <c r="F668" s="77">
        <v>10</v>
      </c>
    </row>
    <row r="669" spans="1:6" x14ac:dyDescent="0.25">
      <c r="A669" s="77">
        <v>10666</v>
      </c>
      <c r="B669" s="77">
        <v>5</v>
      </c>
      <c r="C669" s="77">
        <v>2</v>
      </c>
      <c r="D669" s="77">
        <v>1</v>
      </c>
      <c r="E669" s="77">
        <v>12121</v>
      </c>
      <c r="F669" s="77">
        <v>10</v>
      </c>
    </row>
    <row r="670" spans="1:6" x14ac:dyDescent="0.25">
      <c r="A670" s="77">
        <v>10667</v>
      </c>
      <c r="B670" s="77">
        <v>5</v>
      </c>
      <c r="C670" s="77">
        <v>2</v>
      </c>
      <c r="D670" s="77">
        <v>1</v>
      </c>
      <c r="E670" s="77">
        <v>12122</v>
      </c>
      <c r="F670" s="77">
        <v>10</v>
      </c>
    </row>
    <row r="671" spans="1:6" x14ac:dyDescent="0.25">
      <c r="A671" s="77">
        <v>10668</v>
      </c>
      <c r="B671" s="77">
        <v>5</v>
      </c>
      <c r="C671" s="77">
        <v>2</v>
      </c>
      <c r="D671" s="77">
        <v>1</v>
      </c>
      <c r="E671" s="77">
        <v>12123</v>
      </c>
      <c r="F671" s="77">
        <v>10</v>
      </c>
    </row>
    <row r="672" spans="1:6" x14ac:dyDescent="0.25">
      <c r="A672" s="77">
        <v>10669</v>
      </c>
      <c r="B672" s="77">
        <v>5</v>
      </c>
      <c r="C672" s="77">
        <v>2</v>
      </c>
      <c r="D672" s="77">
        <v>1</v>
      </c>
      <c r="E672" s="77">
        <v>12124</v>
      </c>
      <c r="F672" s="77">
        <v>10</v>
      </c>
    </row>
    <row r="673" spans="1:6" x14ac:dyDescent="0.25">
      <c r="A673" s="77">
        <v>10670</v>
      </c>
      <c r="B673" s="77">
        <v>5</v>
      </c>
      <c r="C673" s="77">
        <v>2</v>
      </c>
      <c r="D673" s="77">
        <v>1</v>
      </c>
      <c r="E673" s="77">
        <v>12125</v>
      </c>
      <c r="F673" s="77">
        <v>10</v>
      </c>
    </row>
    <row r="674" spans="1:6" x14ac:dyDescent="0.25">
      <c r="A674" s="77">
        <v>10671</v>
      </c>
      <c r="B674" s="77">
        <v>5</v>
      </c>
      <c r="C674" s="77">
        <v>2</v>
      </c>
      <c r="D674" s="77">
        <v>1</v>
      </c>
      <c r="E674" s="77">
        <v>12126</v>
      </c>
      <c r="F674" s="77">
        <v>10</v>
      </c>
    </row>
    <row r="675" spans="1:6" x14ac:dyDescent="0.25">
      <c r="A675" s="77">
        <v>10672</v>
      </c>
      <c r="B675" s="77">
        <v>5</v>
      </c>
      <c r="C675" s="77">
        <v>2</v>
      </c>
      <c r="D675" s="77">
        <v>1</v>
      </c>
      <c r="E675" s="77">
        <v>12127</v>
      </c>
      <c r="F675" s="77">
        <v>10</v>
      </c>
    </row>
    <row r="676" spans="1:6" x14ac:dyDescent="0.25">
      <c r="A676" s="77">
        <v>10673</v>
      </c>
      <c r="B676" s="77">
        <v>5</v>
      </c>
      <c r="C676" s="77">
        <v>2</v>
      </c>
      <c r="D676" s="77">
        <v>1</v>
      </c>
      <c r="E676" s="77">
        <v>12128</v>
      </c>
      <c r="F676" s="77">
        <v>10</v>
      </c>
    </row>
    <row r="677" spans="1:6" x14ac:dyDescent="0.25">
      <c r="A677" s="77">
        <v>10674</v>
      </c>
      <c r="B677" s="77">
        <v>5</v>
      </c>
      <c r="C677" s="77">
        <v>2</v>
      </c>
      <c r="D677" s="77">
        <v>1</v>
      </c>
      <c r="E677" s="77">
        <v>12129</v>
      </c>
      <c r="F677" s="77">
        <v>0</v>
      </c>
    </row>
    <row r="678" spans="1:6" x14ac:dyDescent="0.25">
      <c r="A678" s="77">
        <v>10675</v>
      </c>
      <c r="B678" s="77">
        <v>5</v>
      </c>
      <c r="C678" s="77">
        <v>2</v>
      </c>
      <c r="D678" s="77">
        <v>1</v>
      </c>
      <c r="E678" s="77">
        <v>12130</v>
      </c>
      <c r="F678" s="77">
        <v>0</v>
      </c>
    </row>
    <row r="679" spans="1:6" x14ac:dyDescent="0.25">
      <c r="A679" s="77">
        <v>10676</v>
      </c>
      <c r="B679" s="77">
        <v>6</v>
      </c>
      <c r="C679" s="77">
        <v>2</v>
      </c>
      <c r="D679" s="77">
        <v>1</v>
      </c>
      <c r="E679" s="77">
        <v>12101</v>
      </c>
      <c r="F679" s="77">
        <v>0</v>
      </c>
    </row>
    <row r="680" spans="1:6" x14ac:dyDescent="0.25">
      <c r="A680" s="77">
        <v>10677</v>
      </c>
      <c r="B680" s="77">
        <v>6</v>
      </c>
      <c r="C680" s="77">
        <v>2</v>
      </c>
      <c r="D680" s="77">
        <v>1</v>
      </c>
      <c r="E680" s="77">
        <v>12102</v>
      </c>
      <c r="F680" s="77">
        <v>0</v>
      </c>
    </row>
    <row r="681" spans="1:6" x14ac:dyDescent="0.25">
      <c r="A681" s="77">
        <v>10678</v>
      </c>
      <c r="B681" s="77">
        <v>6</v>
      </c>
      <c r="C681" s="77">
        <v>2</v>
      </c>
      <c r="D681" s="77">
        <v>1</v>
      </c>
      <c r="E681" s="77">
        <v>12103</v>
      </c>
      <c r="F681" s="77">
        <v>0</v>
      </c>
    </row>
    <row r="682" spans="1:6" x14ac:dyDescent="0.25">
      <c r="A682" s="77">
        <v>10679</v>
      </c>
      <c r="B682" s="77">
        <v>6</v>
      </c>
      <c r="C682" s="77">
        <v>2</v>
      </c>
      <c r="D682" s="77">
        <v>1</v>
      </c>
      <c r="E682" s="77">
        <v>12104</v>
      </c>
      <c r="F682" s="77">
        <v>0</v>
      </c>
    </row>
    <row r="683" spans="1:6" x14ac:dyDescent="0.25">
      <c r="A683" s="77">
        <v>10680</v>
      </c>
      <c r="B683" s="77">
        <v>6</v>
      </c>
      <c r="C683" s="77">
        <v>2</v>
      </c>
      <c r="D683" s="77">
        <v>1</v>
      </c>
      <c r="E683" s="77">
        <v>12105</v>
      </c>
      <c r="F683" s="77">
        <v>0</v>
      </c>
    </row>
    <row r="684" spans="1:6" x14ac:dyDescent="0.25">
      <c r="A684" s="77">
        <v>10681</v>
      </c>
      <c r="B684" s="77">
        <v>6</v>
      </c>
      <c r="C684" s="77">
        <v>2</v>
      </c>
      <c r="D684" s="77">
        <v>1</v>
      </c>
      <c r="E684" s="77">
        <v>12106</v>
      </c>
      <c r="F684" s="77">
        <v>0</v>
      </c>
    </row>
    <row r="685" spans="1:6" x14ac:dyDescent="0.25">
      <c r="A685" s="77">
        <v>10682</v>
      </c>
      <c r="B685" s="77">
        <v>6</v>
      </c>
      <c r="C685" s="77">
        <v>2</v>
      </c>
      <c r="D685" s="77">
        <v>1</v>
      </c>
      <c r="E685" s="77">
        <v>12107</v>
      </c>
      <c r="F685" s="77">
        <v>0</v>
      </c>
    </row>
    <row r="686" spans="1:6" x14ac:dyDescent="0.25">
      <c r="A686" s="77">
        <v>10683</v>
      </c>
      <c r="B686" s="77">
        <v>6</v>
      </c>
      <c r="C686" s="77">
        <v>2</v>
      </c>
      <c r="D686" s="77">
        <v>1</v>
      </c>
      <c r="E686" s="77">
        <v>12108</v>
      </c>
      <c r="F686" s="77">
        <v>0</v>
      </c>
    </row>
    <row r="687" spans="1:6" x14ac:dyDescent="0.25">
      <c r="A687" s="77">
        <v>10684</v>
      </c>
      <c r="B687" s="77">
        <v>6</v>
      </c>
      <c r="C687" s="77">
        <v>2</v>
      </c>
      <c r="D687" s="77">
        <v>1</v>
      </c>
      <c r="E687" s="77">
        <v>12109</v>
      </c>
      <c r="F687" s="77">
        <v>0</v>
      </c>
    </row>
    <row r="688" spans="1:6" x14ac:dyDescent="0.25">
      <c r="A688" s="77">
        <v>10685</v>
      </c>
      <c r="B688" s="77">
        <v>6</v>
      </c>
      <c r="C688" s="77">
        <v>2</v>
      </c>
      <c r="D688" s="77">
        <v>1</v>
      </c>
      <c r="E688" s="77">
        <v>12110</v>
      </c>
      <c r="F688" s="77">
        <v>0</v>
      </c>
    </row>
    <row r="689" spans="1:6" x14ac:dyDescent="0.25">
      <c r="A689" s="77">
        <v>10686</v>
      </c>
      <c r="B689" s="77">
        <v>6</v>
      </c>
      <c r="C689" s="77">
        <v>2</v>
      </c>
      <c r="D689" s="77">
        <v>1</v>
      </c>
      <c r="E689" s="77">
        <v>12111</v>
      </c>
      <c r="F689" s="77">
        <v>0</v>
      </c>
    </row>
    <row r="690" spans="1:6" x14ac:dyDescent="0.25">
      <c r="A690" s="77">
        <v>10687</v>
      </c>
      <c r="B690" s="77">
        <v>6</v>
      </c>
      <c r="C690" s="77">
        <v>2</v>
      </c>
      <c r="D690" s="77">
        <v>1</v>
      </c>
      <c r="E690" s="77">
        <v>12112</v>
      </c>
      <c r="F690" s="77">
        <v>0</v>
      </c>
    </row>
    <row r="691" spans="1:6" x14ac:dyDescent="0.25">
      <c r="A691" s="77">
        <v>10688</v>
      </c>
      <c r="B691" s="77">
        <v>6</v>
      </c>
      <c r="C691" s="77">
        <v>2</v>
      </c>
      <c r="D691" s="77">
        <v>1</v>
      </c>
      <c r="E691" s="77">
        <v>12113</v>
      </c>
      <c r="F691" s="77">
        <v>0</v>
      </c>
    </row>
    <row r="692" spans="1:6" x14ac:dyDescent="0.25">
      <c r="A692" s="77">
        <v>10689</v>
      </c>
      <c r="B692" s="77">
        <v>6</v>
      </c>
      <c r="C692" s="77">
        <v>2</v>
      </c>
      <c r="D692" s="77">
        <v>1</v>
      </c>
      <c r="E692" s="77">
        <v>12114</v>
      </c>
      <c r="F692" s="77">
        <v>0</v>
      </c>
    </row>
    <row r="693" spans="1:6" x14ac:dyDescent="0.25">
      <c r="A693" s="77">
        <v>10690</v>
      </c>
      <c r="B693" s="77">
        <v>6</v>
      </c>
      <c r="C693" s="77">
        <v>2</v>
      </c>
      <c r="D693" s="77">
        <v>1</v>
      </c>
      <c r="E693" s="77">
        <v>12115</v>
      </c>
      <c r="F693" s="77">
        <v>0</v>
      </c>
    </row>
    <row r="694" spans="1:6" x14ac:dyDescent="0.25">
      <c r="A694" s="77">
        <v>10691</v>
      </c>
      <c r="B694" s="77">
        <v>6</v>
      </c>
      <c r="C694" s="77">
        <v>2</v>
      </c>
      <c r="D694" s="77">
        <v>1</v>
      </c>
      <c r="E694" s="77">
        <v>12116</v>
      </c>
      <c r="F694" s="77">
        <v>10</v>
      </c>
    </row>
    <row r="695" spans="1:6" x14ac:dyDescent="0.25">
      <c r="A695" s="77">
        <v>10692</v>
      </c>
      <c r="B695" s="77">
        <v>6</v>
      </c>
      <c r="C695" s="77">
        <v>2</v>
      </c>
      <c r="D695" s="77">
        <v>1</v>
      </c>
      <c r="E695" s="77">
        <v>12117</v>
      </c>
      <c r="F695" s="77">
        <v>10</v>
      </c>
    </row>
    <row r="696" spans="1:6" x14ac:dyDescent="0.25">
      <c r="A696" s="77">
        <v>10693</v>
      </c>
      <c r="B696" s="77">
        <v>6</v>
      </c>
      <c r="C696" s="77">
        <v>2</v>
      </c>
      <c r="D696" s="77">
        <v>1</v>
      </c>
      <c r="E696" s="77">
        <v>12118</v>
      </c>
      <c r="F696" s="77">
        <v>10</v>
      </c>
    </row>
    <row r="697" spans="1:6" x14ac:dyDescent="0.25">
      <c r="A697" s="77">
        <v>10694</v>
      </c>
      <c r="B697" s="77">
        <v>6</v>
      </c>
      <c r="C697" s="77">
        <v>2</v>
      </c>
      <c r="D697" s="77">
        <v>1</v>
      </c>
      <c r="E697" s="77">
        <v>12119</v>
      </c>
      <c r="F697" s="77">
        <v>10</v>
      </c>
    </row>
    <row r="698" spans="1:6" x14ac:dyDescent="0.25">
      <c r="A698" s="77">
        <v>10695</v>
      </c>
      <c r="B698" s="77">
        <v>6</v>
      </c>
      <c r="C698" s="77">
        <v>2</v>
      </c>
      <c r="D698" s="77">
        <v>1</v>
      </c>
      <c r="E698" s="77">
        <v>12120</v>
      </c>
      <c r="F698" s="77">
        <v>10</v>
      </c>
    </row>
    <row r="699" spans="1:6" x14ac:dyDescent="0.25">
      <c r="A699" s="77">
        <v>10696</v>
      </c>
      <c r="B699" s="77">
        <v>6</v>
      </c>
      <c r="C699" s="77">
        <v>2</v>
      </c>
      <c r="D699" s="77">
        <v>1</v>
      </c>
      <c r="E699" s="77">
        <v>12121</v>
      </c>
      <c r="F699" s="77">
        <v>10</v>
      </c>
    </row>
    <row r="700" spans="1:6" x14ac:dyDescent="0.25">
      <c r="A700" s="77">
        <v>10697</v>
      </c>
      <c r="B700" s="77">
        <v>6</v>
      </c>
      <c r="C700" s="77">
        <v>2</v>
      </c>
      <c r="D700" s="77">
        <v>1</v>
      </c>
      <c r="E700" s="77">
        <v>12122</v>
      </c>
      <c r="F700" s="77">
        <v>10</v>
      </c>
    </row>
    <row r="701" spans="1:6" x14ac:dyDescent="0.25">
      <c r="A701" s="77">
        <v>10698</v>
      </c>
      <c r="B701" s="77">
        <v>6</v>
      </c>
      <c r="C701" s="77">
        <v>2</v>
      </c>
      <c r="D701" s="77">
        <v>1</v>
      </c>
      <c r="E701" s="77">
        <v>12123</v>
      </c>
      <c r="F701" s="77">
        <v>10</v>
      </c>
    </row>
    <row r="702" spans="1:6" x14ac:dyDescent="0.25">
      <c r="A702" s="77">
        <v>10699</v>
      </c>
      <c r="B702" s="77">
        <v>6</v>
      </c>
      <c r="C702" s="77">
        <v>2</v>
      </c>
      <c r="D702" s="77">
        <v>1</v>
      </c>
      <c r="E702" s="77">
        <v>12124</v>
      </c>
      <c r="F702" s="77">
        <v>10</v>
      </c>
    </row>
    <row r="703" spans="1:6" x14ac:dyDescent="0.25">
      <c r="A703" s="77">
        <v>10700</v>
      </c>
      <c r="B703" s="77">
        <v>6</v>
      </c>
      <c r="C703" s="77">
        <v>2</v>
      </c>
      <c r="D703" s="77">
        <v>1</v>
      </c>
      <c r="E703" s="77">
        <v>12125</v>
      </c>
      <c r="F703" s="77">
        <v>10</v>
      </c>
    </row>
    <row r="704" spans="1:6" x14ac:dyDescent="0.25">
      <c r="A704" s="77">
        <v>10701</v>
      </c>
      <c r="B704" s="77">
        <v>6</v>
      </c>
      <c r="C704" s="77">
        <v>2</v>
      </c>
      <c r="D704" s="77">
        <v>1</v>
      </c>
      <c r="E704" s="77">
        <v>12126</v>
      </c>
      <c r="F704" s="77">
        <v>10</v>
      </c>
    </row>
    <row r="705" spans="1:6" x14ac:dyDescent="0.25">
      <c r="A705" s="77">
        <v>10702</v>
      </c>
      <c r="B705" s="77">
        <v>6</v>
      </c>
      <c r="C705" s="77">
        <v>2</v>
      </c>
      <c r="D705" s="77">
        <v>1</v>
      </c>
      <c r="E705" s="77">
        <v>12127</v>
      </c>
      <c r="F705" s="77">
        <v>10</v>
      </c>
    </row>
    <row r="706" spans="1:6" x14ac:dyDescent="0.25">
      <c r="A706" s="77">
        <v>10703</v>
      </c>
      <c r="B706" s="77">
        <v>6</v>
      </c>
      <c r="C706" s="77">
        <v>2</v>
      </c>
      <c r="D706" s="77">
        <v>1</v>
      </c>
      <c r="E706" s="77">
        <v>12128</v>
      </c>
      <c r="F706" s="77">
        <v>10</v>
      </c>
    </row>
    <row r="707" spans="1:6" x14ac:dyDescent="0.25">
      <c r="A707" s="77">
        <v>10704</v>
      </c>
      <c r="B707" s="77">
        <v>6</v>
      </c>
      <c r="C707" s="77">
        <v>2</v>
      </c>
      <c r="D707" s="77">
        <v>1</v>
      </c>
      <c r="E707" s="77">
        <v>12129</v>
      </c>
      <c r="F707" s="77">
        <v>10</v>
      </c>
    </row>
    <row r="708" spans="1:6" x14ac:dyDescent="0.25">
      <c r="A708" s="77">
        <v>10705</v>
      </c>
      <c r="B708" s="77">
        <v>6</v>
      </c>
      <c r="C708" s="77">
        <v>2</v>
      </c>
      <c r="D708" s="77">
        <v>1</v>
      </c>
      <c r="E708" s="77">
        <v>12130</v>
      </c>
      <c r="F708" s="77">
        <v>10</v>
      </c>
    </row>
    <row r="709" spans="1:6" x14ac:dyDescent="0.25">
      <c r="A709" s="77">
        <v>10706</v>
      </c>
      <c r="B709" s="77">
        <v>7</v>
      </c>
      <c r="C709" s="77">
        <v>2</v>
      </c>
      <c r="D709" s="77">
        <v>1</v>
      </c>
      <c r="E709" s="77">
        <v>12101</v>
      </c>
      <c r="F709" s="77">
        <v>0</v>
      </c>
    </row>
    <row r="710" spans="1:6" x14ac:dyDescent="0.25">
      <c r="A710" s="77">
        <v>10707</v>
      </c>
      <c r="B710" s="77">
        <v>7</v>
      </c>
      <c r="C710" s="77">
        <v>2</v>
      </c>
      <c r="D710" s="77">
        <v>1</v>
      </c>
      <c r="E710" s="77">
        <v>12102</v>
      </c>
      <c r="F710" s="77">
        <v>0</v>
      </c>
    </row>
    <row r="711" spans="1:6" x14ac:dyDescent="0.25">
      <c r="A711" s="77">
        <v>10708</v>
      </c>
      <c r="B711" s="77">
        <v>7</v>
      </c>
      <c r="C711" s="77">
        <v>2</v>
      </c>
      <c r="D711" s="77">
        <v>1</v>
      </c>
      <c r="E711" s="77">
        <v>12103</v>
      </c>
      <c r="F711" s="77">
        <v>0</v>
      </c>
    </row>
    <row r="712" spans="1:6" x14ac:dyDescent="0.25">
      <c r="A712" s="77">
        <v>10709</v>
      </c>
      <c r="B712" s="77">
        <v>7</v>
      </c>
      <c r="C712" s="77">
        <v>2</v>
      </c>
      <c r="D712" s="77">
        <v>1</v>
      </c>
      <c r="E712" s="77">
        <v>12104</v>
      </c>
      <c r="F712" s="77">
        <v>0</v>
      </c>
    </row>
    <row r="713" spans="1:6" x14ac:dyDescent="0.25">
      <c r="A713" s="77">
        <v>10710</v>
      </c>
      <c r="B713" s="77">
        <v>7</v>
      </c>
      <c r="C713" s="77">
        <v>2</v>
      </c>
      <c r="D713" s="77">
        <v>1</v>
      </c>
      <c r="E713" s="77">
        <v>12105</v>
      </c>
      <c r="F713" s="77">
        <v>0</v>
      </c>
    </row>
    <row r="714" spans="1:6" x14ac:dyDescent="0.25">
      <c r="A714" s="77">
        <v>10711</v>
      </c>
      <c r="B714" s="77">
        <v>7</v>
      </c>
      <c r="C714" s="77">
        <v>2</v>
      </c>
      <c r="D714" s="77">
        <v>1</v>
      </c>
      <c r="E714" s="77">
        <v>12106</v>
      </c>
      <c r="F714" s="77">
        <v>0</v>
      </c>
    </row>
    <row r="715" spans="1:6" x14ac:dyDescent="0.25">
      <c r="A715" s="77">
        <v>10712</v>
      </c>
      <c r="B715" s="77">
        <v>7</v>
      </c>
      <c r="C715" s="77">
        <v>2</v>
      </c>
      <c r="D715" s="77">
        <v>1</v>
      </c>
      <c r="E715" s="77">
        <v>12107</v>
      </c>
      <c r="F715" s="77">
        <v>0</v>
      </c>
    </row>
    <row r="716" spans="1:6" x14ac:dyDescent="0.25">
      <c r="A716" s="77">
        <v>10713</v>
      </c>
      <c r="B716" s="77">
        <v>7</v>
      </c>
      <c r="C716" s="77">
        <v>2</v>
      </c>
      <c r="D716" s="77">
        <v>1</v>
      </c>
      <c r="E716" s="77">
        <v>12108</v>
      </c>
      <c r="F716" s="77">
        <v>0</v>
      </c>
    </row>
    <row r="717" spans="1:6" x14ac:dyDescent="0.25">
      <c r="A717" s="77">
        <v>10714</v>
      </c>
      <c r="B717" s="77">
        <v>7</v>
      </c>
      <c r="C717" s="77">
        <v>2</v>
      </c>
      <c r="D717" s="77">
        <v>1</v>
      </c>
      <c r="E717" s="77">
        <v>12109</v>
      </c>
      <c r="F717" s="77">
        <v>0</v>
      </c>
    </row>
    <row r="718" spans="1:6" x14ac:dyDescent="0.25">
      <c r="A718" s="77">
        <v>10715</v>
      </c>
      <c r="B718" s="77">
        <v>7</v>
      </c>
      <c r="C718" s="77">
        <v>2</v>
      </c>
      <c r="D718" s="77">
        <v>1</v>
      </c>
      <c r="E718" s="77">
        <v>12110</v>
      </c>
      <c r="F718" s="77">
        <v>0</v>
      </c>
    </row>
    <row r="719" spans="1:6" x14ac:dyDescent="0.25">
      <c r="A719" s="77">
        <v>10716</v>
      </c>
      <c r="B719" s="77">
        <v>7</v>
      </c>
      <c r="C719" s="77">
        <v>2</v>
      </c>
      <c r="D719" s="77">
        <v>1</v>
      </c>
      <c r="E719" s="77">
        <v>12111</v>
      </c>
      <c r="F719" s="77">
        <v>0</v>
      </c>
    </row>
    <row r="720" spans="1:6" x14ac:dyDescent="0.25">
      <c r="A720" s="77">
        <v>10717</v>
      </c>
      <c r="B720" s="77">
        <v>7</v>
      </c>
      <c r="C720" s="77">
        <v>2</v>
      </c>
      <c r="D720" s="77">
        <v>1</v>
      </c>
      <c r="E720" s="77">
        <v>12112</v>
      </c>
      <c r="F720" s="77">
        <v>0</v>
      </c>
    </row>
    <row r="721" spans="1:6" x14ac:dyDescent="0.25">
      <c r="A721" s="77">
        <v>10718</v>
      </c>
      <c r="B721" s="77">
        <v>7</v>
      </c>
      <c r="C721" s="77">
        <v>2</v>
      </c>
      <c r="D721" s="77">
        <v>1</v>
      </c>
      <c r="E721" s="77">
        <v>12113</v>
      </c>
      <c r="F721" s="77">
        <v>0</v>
      </c>
    </row>
    <row r="722" spans="1:6" x14ac:dyDescent="0.25">
      <c r="A722" s="77">
        <v>10719</v>
      </c>
      <c r="B722" s="77">
        <v>7</v>
      </c>
      <c r="C722" s="77">
        <v>2</v>
      </c>
      <c r="D722" s="77">
        <v>1</v>
      </c>
      <c r="E722" s="77">
        <v>12114</v>
      </c>
      <c r="F722" s="77">
        <v>0</v>
      </c>
    </row>
    <row r="723" spans="1:6" x14ac:dyDescent="0.25">
      <c r="A723" s="77">
        <v>10720</v>
      </c>
      <c r="B723" s="77">
        <v>7</v>
      </c>
      <c r="C723" s="77">
        <v>2</v>
      </c>
      <c r="D723" s="77">
        <v>1</v>
      </c>
      <c r="E723" s="77">
        <v>12115</v>
      </c>
      <c r="F723" s="77">
        <v>0</v>
      </c>
    </row>
    <row r="724" spans="1:6" x14ac:dyDescent="0.25">
      <c r="A724" s="77">
        <v>10721</v>
      </c>
      <c r="B724" s="77">
        <v>7</v>
      </c>
      <c r="C724" s="77">
        <v>2</v>
      </c>
      <c r="D724" s="77">
        <v>1</v>
      </c>
      <c r="E724" s="77">
        <v>12116</v>
      </c>
      <c r="F724" s="77">
        <v>20</v>
      </c>
    </row>
    <row r="725" spans="1:6" x14ac:dyDescent="0.25">
      <c r="A725" s="77">
        <v>10722</v>
      </c>
      <c r="B725" s="77">
        <v>7</v>
      </c>
      <c r="C725" s="77">
        <v>2</v>
      </c>
      <c r="D725" s="77">
        <v>1</v>
      </c>
      <c r="E725" s="77">
        <v>12117</v>
      </c>
      <c r="F725" s="77">
        <v>20</v>
      </c>
    </row>
    <row r="726" spans="1:6" x14ac:dyDescent="0.25">
      <c r="A726" s="77">
        <v>10723</v>
      </c>
      <c r="B726" s="77">
        <v>7</v>
      </c>
      <c r="C726" s="77">
        <v>2</v>
      </c>
      <c r="D726" s="77">
        <v>1</v>
      </c>
      <c r="E726" s="77">
        <v>12118</v>
      </c>
      <c r="F726" s="77">
        <v>20</v>
      </c>
    </row>
    <row r="727" spans="1:6" x14ac:dyDescent="0.25">
      <c r="A727" s="77">
        <v>10724</v>
      </c>
      <c r="B727" s="77">
        <v>7</v>
      </c>
      <c r="C727" s="77">
        <v>2</v>
      </c>
      <c r="D727" s="77">
        <v>1</v>
      </c>
      <c r="E727" s="77">
        <v>12119</v>
      </c>
      <c r="F727" s="77">
        <v>20</v>
      </c>
    </row>
    <row r="728" spans="1:6" x14ac:dyDescent="0.25">
      <c r="A728" s="77">
        <v>10725</v>
      </c>
      <c r="B728" s="77">
        <v>7</v>
      </c>
      <c r="C728" s="77">
        <v>2</v>
      </c>
      <c r="D728" s="77">
        <v>1</v>
      </c>
      <c r="E728" s="77">
        <v>12120</v>
      </c>
      <c r="F728" s="77">
        <v>20</v>
      </c>
    </row>
    <row r="729" spans="1:6" x14ac:dyDescent="0.25">
      <c r="A729" s="77">
        <v>10726</v>
      </c>
      <c r="B729" s="77">
        <v>7</v>
      </c>
      <c r="C729" s="77">
        <v>2</v>
      </c>
      <c r="D729" s="77">
        <v>1</v>
      </c>
      <c r="E729" s="77">
        <v>12121</v>
      </c>
      <c r="F729" s="77">
        <v>20</v>
      </c>
    </row>
    <row r="730" spans="1:6" x14ac:dyDescent="0.25">
      <c r="A730" s="77">
        <v>10727</v>
      </c>
      <c r="B730" s="77">
        <v>7</v>
      </c>
      <c r="C730" s="77">
        <v>2</v>
      </c>
      <c r="D730" s="77">
        <v>1</v>
      </c>
      <c r="E730" s="77">
        <v>12122</v>
      </c>
      <c r="F730" s="77">
        <v>20</v>
      </c>
    </row>
    <row r="731" spans="1:6" x14ac:dyDescent="0.25">
      <c r="A731" s="77">
        <v>10728</v>
      </c>
      <c r="B731" s="77">
        <v>7</v>
      </c>
      <c r="C731" s="77">
        <v>2</v>
      </c>
      <c r="D731" s="77">
        <v>1</v>
      </c>
      <c r="E731" s="77">
        <v>12123</v>
      </c>
      <c r="F731" s="77">
        <v>20</v>
      </c>
    </row>
    <row r="732" spans="1:6" x14ac:dyDescent="0.25">
      <c r="A732" s="77">
        <v>10729</v>
      </c>
      <c r="B732" s="77">
        <v>7</v>
      </c>
      <c r="C732" s="77">
        <v>2</v>
      </c>
      <c r="D732" s="77">
        <v>1</v>
      </c>
      <c r="E732" s="77">
        <v>12124</v>
      </c>
      <c r="F732" s="77">
        <v>20</v>
      </c>
    </row>
    <row r="733" spans="1:6" x14ac:dyDescent="0.25">
      <c r="A733" s="77">
        <v>10730</v>
      </c>
      <c r="B733" s="77">
        <v>7</v>
      </c>
      <c r="C733" s="77">
        <v>2</v>
      </c>
      <c r="D733" s="77">
        <v>1</v>
      </c>
      <c r="E733" s="77">
        <v>12125</v>
      </c>
      <c r="F733" s="77">
        <v>20</v>
      </c>
    </row>
    <row r="734" spans="1:6" x14ac:dyDescent="0.25">
      <c r="A734" s="77">
        <v>10731</v>
      </c>
      <c r="B734" s="77">
        <v>7</v>
      </c>
      <c r="C734" s="77">
        <v>2</v>
      </c>
      <c r="D734" s="77">
        <v>1</v>
      </c>
      <c r="E734" s="77">
        <v>12126</v>
      </c>
      <c r="F734" s="77">
        <v>20</v>
      </c>
    </row>
    <row r="735" spans="1:6" x14ac:dyDescent="0.25">
      <c r="A735" s="77">
        <v>10732</v>
      </c>
      <c r="B735" s="77">
        <v>7</v>
      </c>
      <c r="C735" s="77">
        <v>2</v>
      </c>
      <c r="D735" s="77">
        <v>1</v>
      </c>
      <c r="E735" s="77">
        <v>12127</v>
      </c>
      <c r="F735" s="77">
        <v>20</v>
      </c>
    </row>
    <row r="736" spans="1:6" x14ac:dyDescent="0.25">
      <c r="A736" s="77">
        <v>10733</v>
      </c>
      <c r="B736" s="77">
        <v>7</v>
      </c>
      <c r="C736" s="77">
        <v>2</v>
      </c>
      <c r="D736" s="77">
        <v>1</v>
      </c>
      <c r="E736" s="77">
        <v>12128</v>
      </c>
      <c r="F736" s="77">
        <v>20</v>
      </c>
    </row>
    <row r="737" spans="1:6" x14ac:dyDescent="0.25">
      <c r="A737" s="77">
        <v>10734</v>
      </c>
      <c r="B737" s="77">
        <v>7</v>
      </c>
      <c r="C737" s="77">
        <v>2</v>
      </c>
      <c r="D737" s="77">
        <v>1</v>
      </c>
      <c r="E737" s="77">
        <v>12129</v>
      </c>
      <c r="F737" s="77">
        <v>20</v>
      </c>
    </row>
    <row r="738" spans="1:6" x14ac:dyDescent="0.25">
      <c r="A738" s="77">
        <v>10735</v>
      </c>
      <c r="B738" s="77">
        <v>7</v>
      </c>
      <c r="C738" s="77">
        <v>2</v>
      </c>
      <c r="D738" s="77">
        <v>1</v>
      </c>
      <c r="E738" s="77">
        <v>12130</v>
      </c>
      <c r="F738" s="77">
        <v>20</v>
      </c>
    </row>
    <row r="739" spans="1:6" x14ac:dyDescent="0.25">
      <c r="A739" s="77">
        <v>10736</v>
      </c>
      <c r="B739" s="77">
        <v>1</v>
      </c>
      <c r="C739" s="77">
        <v>2</v>
      </c>
      <c r="D739" s="77">
        <v>2</v>
      </c>
      <c r="E739" s="77">
        <v>12201</v>
      </c>
      <c r="F739" s="77">
        <v>10</v>
      </c>
    </row>
    <row r="740" spans="1:6" x14ac:dyDescent="0.25">
      <c r="A740" s="77">
        <v>10737</v>
      </c>
      <c r="B740" s="77">
        <v>1</v>
      </c>
      <c r="C740" s="77">
        <v>2</v>
      </c>
      <c r="D740" s="77">
        <v>2</v>
      </c>
      <c r="E740" s="77">
        <v>12202</v>
      </c>
      <c r="F740" s="77">
        <v>10</v>
      </c>
    </row>
    <row r="741" spans="1:6" x14ac:dyDescent="0.25">
      <c r="A741" s="77">
        <v>10738</v>
      </c>
      <c r="B741" s="77">
        <v>1</v>
      </c>
      <c r="C741" s="77">
        <v>2</v>
      </c>
      <c r="D741" s="77">
        <v>2</v>
      </c>
      <c r="E741" s="77">
        <v>12203</v>
      </c>
      <c r="F741" s="77">
        <v>10</v>
      </c>
    </row>
    <row r="742" spans="1:6" x14ac:dyDescent="0.25">
      <c r="A742" s="77">
        <v>10739</v>
      </c>
      <c r="B742" s="77">
        <v>1</v>
      </c>
      <c r="C742" s="77">
        <v>2</v>
      </c>
      <c r="D742" s="77">
        <v>2</v>
      </c>
      <c r="E742" s="77">
        <v>12204</v>
      </c>
      <c r="F742" s="77">
        <v>10</v>
      </c>
    </row>
    <row r="743" spans="1:6" x14ac:dyDescent="0.25">
      <c r="A743" s="77">
        <v>10740</v>
      </c>
      <c r="B743" s="77">
        <v>1</v>
      </c>
      <c r="C743" s="77">
        <v>2</v>
      </c>
      <c r="D743" s="77">
        <v>2</v>
      </c>
      <c r="E743" s="77">
        <v>12205</v>
      </c>
      <c r="F743" s="77">
        <v>10</v>
      </c>
    </row>
    <row r="744" spans="1:6" x14ac:dyDescent="0.25">
      <c r="A744" s="77">
        <v>10741</v>
      </c>
      <c r="B744" s="77">
        <v>1</v>
      </c>
      <c r="C744" s="77">
        <v>2</v>
      </c>
      <c r="D744" s="77">
        <v>2</v>
      </c>
      <c r="E744" s="77">
        <v>12206</v>
      </c>
      <c r="F744" s="77">
        <v>10</v>
      </c>
    </row>
    <row r="745" spans="1:6" x14ac:dyDescent="0.25">
      <c r="A745" s="77">
        <v>10742</v>
      </c>
      <c r="B745" s="77">
        <v>1</v>
      </c>
      <c r="C745" s="77">
        <v>2</v>
      </c>
      <c r="D745" s="77">
        <v>2</v>
      </c>
      <c r="E745" s="77">
        <v>12207</v>
      </c>
      <c r="F745" s="77">
        <v>10</v>
      </c>
    </row>
    <row r="746" spans="1:6" x14ac:dyDescent="0.25">
      <c r="A746" s="77">
        <v>10743</v>
      </c>
      <c r="B746" s="77">
        <v>1</v>
      </c>
      <c r="C746" s="77">
        <v>2</v>
      </c>
      <c r="D746" s="77">
        <v>2</v>
      </c>
      <c r="E746" s="77">
        <v>12208</v>
      </c>
      <c r="F746" s="77">
        <v>10</v>
      </c>
    </row>
    <row r="747" spans="1:6" x14ac:dyDescent="0.25">
      <c r="A747" s="77">
        <v>10744</v>
      </c>
      <c r="B747" s="77">
        <v>1</v>
      </c>
      <c r="C747" s="77">
        <v>2</v>
      </c>
      <c r="D747" s="77">
        <v>2</v>
      </c>
      <c r="E747" s="77">
        <v>12209</v>
      </c>
      <c r="F747" s="77">
        <v>10</v>
      </c>
    </row>
    <row r="748" spans="1:6" x14ac:dyDescent="0.25">
      <c r="A748" s="77">
        <v>10745</v>
      </c>
      <c r="B748" s="77">
        <v>1</v>
      </c>
      <c r="C748" s="77">
        <v>2</v>
      </c>
      <c r="D748" s="77">
        <v>2</v>
      </c>
      <c r="E748" s="77">
        <v>12210</v>
      </c>
      <c r="F748" s="77">
        <v>10</v>
      </c>
    </row>
    <row r="749" spans="1:6" x14ac:dyDescent="0.25">
      <c r="A749" s="77">
        <v>10746</v>
      </c>
      <c r="B749" s="77">
        <v>1</v>
      </c>
      <c r="C749" s="77">
        <v>2</v>
      </c>
      <c r="D749" s="77">
        <v>2</v>
      </c>
      <c r="E749" s="77">
        <v>12211</v>
      </c>
      <c r="F749" s="77">
        <v>10</v>
      </c>
    </row>
    <row r="750" spans="1:6" x14ac:dyDescent="0.25">
      <c r="A750" s="77">
        <v>10747</v>
      </c>
      <c r="B750" s="77">
        <v>1</v>
      </c>
      <c r="C750" s="77">
        <v>2</v>
      </c>
      <c r="D750" s="77">
        <v>2</v>
      </c>
      <c r="E750" s="77">
        <v>12212</v>
      </c>
      <c r="F750" s="77">
        <v>10</v>
      </c>
    </row>
    <row r="751" spans="1:6" x14ac:dyDescent="0.25">
      <c r="A751" s="77">
        <v>10748</v>
      </c>
      <c r="B751" s="77">
        <v>1</v>
      </c>
      <c r="C751" s="77">
        <v>2</v>
      </c>
      <c r="D751" s="77">
        <v>2</v>
      </c>
      <c r="E751" s="77">
        <v>12213</v>
      </c>
      <c r="F751" s="77">
        <v>10</v>
      </c>
    </row>
    <row r="752" spans="1:6" x14ac:dyDescent="0.25">
      <c r="A752" s="77">
        <v>10749</v>
      </c>
      <c r="B752" s="77">
        <v>1</v>
      </c>
      <c r="C752" s="77">
        <v>2</v>
      </c>
      <c r="D752" s="77">
        <v>2</v>
      </c>
      <c r="E752" s="77">
        <v>12214</v>
      </c>
      <c r="F752" s="77">
        <v>10</v>
      </c>
    </row>
    <row r="753" spans="1:6" x14ac:dyDescent="0.25">
      <c r="A753" s="77">
        <v>10750</v>
      </c>
      <c r="B753" s="77">
        <v>1</v>
      </c>
      <c r="C753" s="77">
        <v>2</v>
      </c>
      <c r="D753" s="77">
        <v>2</v>
      </c>
      <c r="E753" s="77">
        <v>12215</v>
      </c>
      <c r="F753" s="77">
        <v>10</v>
      </c>
    </row>
    <row r="754" spans="1:6" x14ac:dyDescent="0.25">
      <c r="A754" s="77">
        <v>10751</v>
      </c>
      <c r="B754" s="77">
        <v>1</v>
      </c>
      <c r="C754" s="77">
        <v>2</v>
      </c>
      <c r="D754" s="77">
        <v>2</v>
      </c>
      <c r="E754" s="77">
        <v>12216</v>
      </c>
      <c r="F754" s="77">
        <v>0</v>
      </c>
    </row>
    <row r="755" spans="1:6" x14ac:dyDescent="0.25">
      <c r="A755" s="77">
        <v>10752</v>
      </c>
      <c r="B755" s="77">
        <v>1</v>
      </c>
      <c r="C755" s="77">
        <v>2</v>
      </c>
      <c r="D755" s="77">
        <v>2</v>
      </c>
      <c r="E755" s="77">
        <v>12217</v>
      </c>
      <c r="F755" s="77">
        <v>0</v>
      </c>
    </row>
    <row r="756" spans="1:6" x14ac:dyDescent="0.25">
      <c r="A756" s="77">
        <v>10753</v>
      </c>
      <c r="B756" s="77">
        <v>1</v>
      </c>
      <c r="C756" s="77">
        <v>2</v>
      </c>
      <c r="D756" s="77">
        <v>2</v>
      </c>
      <c r="E756" s="77">
        <v>12218</v>
      </c>
      <c r="F756" s="77">
        <v>0</v>
      </c>
    </row>
    <row r="757" spans="1:6" x14ac:dyDescent="0.25">
      <c r="A757" s="77">
        <v>10754</v>
      </c>
      <c r="B757" s="77">
        <v>1</v>
      </c>
      <c r="C757" s="77">
        <v>2</v>
      </c>
      <c r="D757" s="77">
        <v>2</v>
      </c>
      <c r="E757" s="77">
        <v>12219</v>
      </c>
      <c r="F757" s="77">
        <v>0</v>
      </c>
    </row>
    <row r="758" spans="1:6" x14ac:dyDescent="0.25">
      <c r="A758" s="77">
        <v>10755</v>
      </c>
      <c r="B758" s="77">
        <v>1</v>
      </c>
      <c r="C758" s="77">
        <v>2</v>
      </c>
      <c r="D758" s="77">
        <v>2</v>
      </c>
      <c r="E758" s="77">
        <v>12220</v>
      </c>
      <c r="F758" s="77">
        <v>0</v>
      </c>
    </row>
    <row r="759" spans="1:6" x14ac:dyDescent="0.25">
      <c r="A759" s="77">
        <v>10756</v>
      </c>
      <c r="B759" s="77">
        <v>1</v>
      </c>
      <c r="C759" s="77">
        <v>2</v>
      </c>
      <c r="D759" s="77">
        <v>2</v>
      </c>
      <c r="E759" s="77">
        <v>12221</v>
      </c>
      <c r="F759" s="77">
        <v>0</v>
      </c>
    </row>
    <row r="760" spans="1:6" x14ac:dyDescent="0.25">
      <c r="A760" s="77">
        <v>10757</v>
      </c>
      <c r="B760" s="77">
        <v>1</v>
      </c>
      <c r="C760" s="77">
        <v>2</v>
      </c>
      <c r="D760" s="77">
        <v>2</v>
      </c>
      <c r="E760" s="77">
        <v>12222</v>
      </c>
      <c r="F760" s="77">
        <v>0</v>
      </c>
    </row>
    <row r="761" spans="1:6" x14ac:dyDescent="0.25">
      <c r="A761" s="77">
        <v>10758</v>
      </c>
      <c r="B761" s="77">
        <v>1</v>
      </c>
      <c r="C761" s="77">
        <v>2</v>
      </c>
      <c r="D761" s="77">
        <v>2</v>
      </c>
      <c r="E761" s="77">
        <v>12223</v>
      </c>
      <c r="F761" s="77">
        <v>0</v>
      </c>
    </row>
    <row r="762" spans="1:6" x14ac:dyDescent="0.25">
      <c r="A762" s="77">
        <v>10759</v>
      </c>
      <c r="B762" s="77">
        <v>1</v>
      </c>
      <c r="C762" s="77">
        <v>2</v>
      </c>
      <c r="D762" s="77">
        <v>2</v>
      </c>
      <c r="E762" s="77">
        <v>12224</v>
      </c>
      <c r="F762" s="77">
        <v>0</v>
      </c>
    </row>
    <row r="763" spans="1:6" x14ac:dyDescent="0.25">
      <c r="A763" s="77">
        <v>10760</v>
      </c>
      <c r="B763" s="77">
        <v>1</v>
      </c>
      <c r="C763" s="77">
        <v>2</v>
      </c>
      <c r="D763" s="77">
        <v>2</v>
      </c>
      <c r="E763" s="77">
        <v>12225</v>
      </c>
      <c r="F763" s="77">
        <v>0</v>
      </c>
    </row>
    <row r="764" spans="1:6" x14ac:dyDescent="0.25">
      <c r="A764" s="77">
        <v>10761</v>
      </c>
      <c r="B764" s="77">
        <v>1</v>
      </c>
      <c r="C764" s="77">
        <v>2</v>
      </c>
      <c r="D764" s="77">
        <v>2</v>
      </c>
      <c r="E764" s="77">
        <v>12226</v>
      </c>
      <c r="F764" s="77">
        <v>0</v>
      </c>
    </row>
    <row r="765" spans="1:6" x14ac:dyDescent="0.25">
      <c r="A765" s="77">
        <v>10762</v>
      </c>
      <c r="B765" s="77">
        <v>1</v>
      </c>
      <c r="C765" s="77">
        <v>2</v>
      </c>
      <c r="D765" s="77">
        <v>2</v>
      </c>
      <c r="E765" s="77">
        <v>12227</v>
      </c>
      <c r="F765" s="77">
        <v>0</v>
      </c>
    </row>
    <row r="766" spans="1:6" x14ac:dyDescent="0.25">
      <c r="A766" s="77">
        <v>10763</v>
      </c>
      <c r="B766" s="77">
        <v>1</v>
      </c>
      <c r="C766" s="77">
        <v>2</v>
      </c>
      <c r="D766" s="77">
        <v>2</v>
      </c>
      <c r="E766" s="77">
        <v>12228</v>
      </c>
      <c r="F766" s="77">
        <v>0</v>
      </c>
    </row>
    <row r="767" spans="1:6" x14ac:dyDescent="0.25">
      <c r="A767" s="77">
        <v>10764</v>
      </c>
      <c r="B767" s="77">
        <v>1</v>
      </c>
      <c r="C767" s="77">
        <v>2</v>
      </c>
      <c r="D767" s="77">
        <v>2</v>
      </c>
      <c r="E767" s="77">
        <v>12229</v>
      </c>
      <c r="F767" s="77">
        <v>0</v>
      </c>
    </row>
    <row r="768" spans="1:6" x14ac:dyDescent="0.25">
      <c r="A768" s="77">
        <v>10765</v>
      </c>
      <c r="B768" s="77">
        <v>1</v>
      </c>
      <c r="C768" s="77">
        <v>2</v>
      </c>
      <c r="D768" s="77">
        <v>2</v>
      </c>
      <c r="E768" s="77">
        <v>12230</v>
      </c>
      <c r="F768" s="77">
        <v>0</v>
      </c>
    </row>
    <row r="769" spans="1:6" x14ac:dyDescent="0.25">
      <c r="A769" s="77">
        <v>10766</v>
      </c>
      <c r="B769" s="77">
        <v>2</v>
      </c>
      <c r="C769" s="77">
        <v>2</v>
      </c>
      <c r="D769" s="77">
        <v>2</v>
      </c>
      <c r="E769" s="77">
        <v>12201</v>
      </c>
      <c r="F769" s="77">
        <v>10</v>
      </c>
    </row>
    <row r="770" spans="1:6" x14ac:dyDescent="0.25">
      <c r="A770" s="77">
        <v>10767</v>
      </c>
      <c r="B770" s="77">
        <v>2</v>
      </c>
      <c r="C770" s="77">
        <v>2</v>
      </c>
      <c r="D770" s="77">
        <v>2</v>
      </c>
      <c r="E770" s="77">
        <v>12202</v>
      </c>
      <c r="F770" s="77">
        <v>10</v>
      </c>
    </row>
    <row r="771" spans="1:6" x14ac:dyDescent="0.25">
      <c r="A771" s="77">
        <v>10768</v>
      </c>
      <c r="B771" s="77">
        <v>2</v>
      </c>
      <c r="C771" s="77">
        <v>2</v>
      </c>
      <c r="D771" s="77">
        <v>2</v>
      </c>
      <c r="E771" s="77">
        <v>12203</v>
      </c>
      <c r="F771" s="77">
        <v>10</v>
      </c>
    </row>
    <row r="772" spans="1:6" x14ac:dyDescent="0.25">
      <c r="A772" s="77">
        <v>10769</v>
      </c>
      <c r="B772" s="77">
        <v>2</v>
      </c>
      <c r="C772" s="77">
        <v>2</v>
      </c>
      <c r="D772" s="77">
        <v>2</v>
      </c>
      <c r="E772" s="77">
        <v>12204</v>
      </c>
      <c r="F772" s="77">
        <v>10</v>
      </c>
    </row>
    <row r="773" spans="1:6" x14ac:dyDescent="0.25">
      <c r="A773" s="77">
        <v>10770</v>
      </c>
      <c r="B773" s="77">
        <v>2</v>
      </c>
      <c r="C773" s="77">
        <v>2</v>
      </c>
      <c r="D773" s="77">
        <v>2</v>
      </c>
      <c r="E773" s="77">
        <v>12205</v>
      </c>
      <c r="F773" s="77">
        <v>10</v>
      </c>
    </row>
    <row r="774" spans="1:6" x14ac:dyDescent="0.25">
      <c r="A774" s="77">
        <v>10771</v>
      </c>
      <c r="B774" s="77">
        <v>2</v>
      </c>
      <c r="C774" s="77">
        <v>2</v>
      </c>
      <c r="D774" s="77">
        <v>2</v>
      </c>
      <c r="E774" s="77">
        <v>12206</v>
      </c>
      <c r="F774" s="77">
        <v>10</v>
      </c>
    </row>
    <row r="775" spans="1:6" x14ac:dyDescent="0.25">
      <c r="A775" s="77">
        <v>10772</v>
      </c>
      <c r="B775" s="77">
        <v>2</v>
      </c>
      <c r="C775" s="77">
        <v>2</v>
      </c>
      <c r="D775" s="77">
        <v>2</v>
      </c>
      <c r="E775" s="77">
        <v>12207</v>
      </c>
      <c r="F775" s="77">
        <v>10</v>
      </c>
    </row>
    <row r="776" spans="1:6" x14ac:dyDescent="0.25">
      <c r="A776" s="77">
        <v>10773</v>
      </c>
      <c r="B776" s="77">
        <v>2</v>
      </c>
      <c r="C776" s="77">
        <v>2</v>
      </c>
      <c r="D776" s="77">
        <v>2</v>
      </c>
      <c r="E776" s="77">
        <v>12208</v>
      </c>
      <c r="F776" s="77">
        <v>10</v>
      </c>
    </row>
    <row r="777" spans="1:6" x14ac:dyDescent="0.25">
      <c r="A777" s="77">
        <v>10774</v>
      </c>
      <c r="B777" s="77">
        <v>2</v>
      </c>
      <c r="C777" s="77">
        <v>2</v>
      </c>
      <c r="D777" s="77">
        <v>2</v>
      </c>
      <c r="E777" s="77">
        <v>12209</v>
      </c>
      <c r="F777" s="77">
        <v>10</v>
      </c>
    </row>
    <row r="778" spans="1:6" x14ac:dyDescent="0.25">
      <c r="A778" s="77">
        <v>10775</v>
      </c>
      <c r="B778" s="77">
        <v>2</v>
      </c>
      <c r="C778" s="77">
        <v>2</v>
      </c>
      <c r="D778" s="77">
        <v>2</v>
      </c>
      <c r="E778" s="77">
        <v>12210</v>
      </c>
      <c r="F778" s="77">
        <v>10</v>
      </c>
    </row>
    <row r="779" spans="1:6" x14ac:dyDescent="0.25">
      <c r="A779" s="77">
        <v>10776</v>
      </c>
      <c r="B779" s="77">
        <v>2</v>
      </c>
      <c r="C779" s="77">
        <v>2</v>
      </c>
      <c r="D779" s="77">
        <v>2</v>
      </c>
      <c r="E779" s="77">
        <v>12211</v>
      </c>
      <c r="F779" s="77">
        <v>10</v>
      </c>
    </row>
    <row r="780" spans="1:6" x14ac:dyDescent="0.25">
      <c r="A780" s="77">
        <v>10777</v>
      </c>
      <c r="B780" s="77">
        <v>2</v>
      </c>
      <c r="C780" s="77">
        <v>2</v>
      </c>
      <c r="D780" s="77">
        <v>2</v>
      </c>
      <c r="E780" s="77">
        <v>12212</v>
      </c>
      <c r="F780" s="77">
        <v>10</v>
      </c>
    </row>
    <row r="781" spans="1:6" x14ac:dyDescent="0.25">
      <c r="A781" s="77">
        <v>10778</v>
      </c>
      <c r="B781" s="77">
        <v>2</v>
      </c>
      <c r="C781" s="77">
        <v>2</v>
      </c>
      <c r="D781" s="77">
        <v>2</v>
      </c>
      <c r="E781" s="77">
        <v>12213</v>
      </c>
      <c r="F781" s="77">
        <v>10</v>
      </c>
    </row>
    <row r="782" spans="1:6" x14ac:dyDescent="0.25">
      <c r="A782" s="77">
        <v>10779</v>
      </c>
      <c r="B782" s="77">
        <v>2</v>
      </c>
      <c r="C782" s="77">
        <v>2</v>
      </c>
      <c r="D782" s="77">
        <v>2</v>
      </c>
      <c r="E782" s="77">
        <v>12214</v>
      </c>
      <c r="F782" s="77">
        <v>10</v>
      </c>
    </row>
    <row r="783" spans="1:6" x14ac:dyDescent="0.25">
      <c r="A783" s="77">
        <v>10780</v>
      </c>
      <c r="B783" s="77">
        <v>2</v>
      </c>
      <c r="C783" s="77">
        <v>2</v>
      </c>
      <c r="D783" s="77">
        <v>2</v>
      </c>
      <c r="E783" s="77">
        <v>12215</v>
      </c>
      <c r="F783" s="77">
        <v>10</v>
      </c>
    </row>
    <row r="784" spans="1:6" x14ac:dyDescent="0.25">
      <c r="A784" s="77">
        <v>10781</v>
      </c>
      <c r="B784" s="77">
        <v>2</v>
      </c>
      <c r="C784" s="77">
        <v>2</v>
      </c>
      <c r="D784" s="77">
        <v>2</v>
      </c>
      <c r="E784" s="77">
        <v>12216</v>
      </c>
      <c r="F784" s="77">
        <v>10</v>
      </c>
    </row>
    <row r="785" spans="1:6" x14ac:dyDescent="0.25">
      <c r="A785" s="77">
        <v>10782</v>
      </c>
      <c r="B785" s="77">
        <v>2</v>
      </c>
      <c r="C785" s="77">
        <v>2</v>
      </c>
      <c r="D785" s="77">
        <v>2</v>
      </c>
      <c r="E785" s="77">
        <v>12217</v>
      </c>
      <c r="F785" s="77">
        <v>10</v>
      </c>
    </row>
    <row r="786" spans="1:6" x14ac:dyDescent="0.25">
      <c r="A786" s="77">
        <v>10783</v>
      </c>
      <c r="B786" s="77">
        <v>2</v>
      </c>
      <c r="C786" s="77">
        <v>2</v>
      </c>
      <c r="D786" s="77">
        <v>2</v>
      </c>
      <c r="E786" s="77">
        <v>12218</v>
      </c>
      <c r="F786" s="77">
        <v>10</v>
      </c>
    </row>
    <row r="787" spans="1:6" x14ac:dyDescent="0.25">
      <c r="A787" s="77">
        <v>10784</v>
      </c>
      <c r="B787" s="77">
        <v>2</v>
      </c>
      <c r="C787" s="77">
        <v>2</v>
      </c>
      <c r="D787" s="77">
        <v>2</v>
      </c>
      <c r="E787" s="77">
        <v>12219</v>
      </c>
      <c r="F787" s="77">
        <v>10</v>
      </c>
    </row>
    <row r="788" spans="1:6" x14ac:dyDescent="0.25">
      <c r="A788" s="77">
        <v>10785</v>
      </c>
      <c r="B788" s="77">
        <v>2</v>
      </c>
      <c r="C788" s="77">
        <v>2</v>
      </c>
      <c r="D788" s="77">
        <v>2</v>
      </c>
      <c r="E788" s="77">
        <v>12220</v>
      </c>
      <c r="F788" s="77">
        <v>10</v>
      </c>
    </row>
    <row r="789" spans="1:6" x14ac:dyDescent="0.25">
      <c r="A789" s="77">
        <v>10786</v>
      </c>
      <c r="B789" s="77">
        <v>2</v>
      </c>
      <c r="C789" s="77">
        <v>2</v>
      </c>
      <c r="D789" s="77">
        <v>2</v>
      </c>
      <c r="E789" s="77">
        <v>12221</v>
      </c>
      <c r="F789" s="77">
        <v>0</v>
      </c>
    </row>
    <row r="790" spans="1:6" x14ac:dyDescent="0.25">
      <c r="A790" s="77">
        <v>10787</v>
      </c>
      <c r="B790" s="77">
        <v>2</v>
      </c>
      <c r="C790" s="77">
        <v>2</v>
      </c>
      <c r="D790" s="77">
        <v>2</v>
      </c>
      <c r="E790" s="77">
        <v>12222</v>
      </c>
      <c r="F790" s="77">
        <v>0</v>
      </c>
    </row>
    <row r="791" spans="1:6" x14ac:dyDescent="0.25">
      <c r="A791" s="77">
        <v>10788</v>
      </c>
      <c r="B791" s="77">
        <v>2</v>
      </c>
      <c r="C791" s="77">
        <v>2</v>
      </c>
      <c r="D791" s="77">
        <v>2</v>
      </c>
      <c r="E791" s="77">
        <v>12223</v>
      </c>
      <c r="F791" s="77">
        <v>0</v>
      </c>
    </row>
    <row r="792" spans="1:6" x14ac:dyDescent="0.25">
      <c r="A792" s="77">
        <v>10789</v>
      </c>
      <c r="B792" s="77">
        <v>2</v>
      </c>
      <c r="C792" s="77">
        <v>2</v>
      </c>
      <c r="D792" s="77">
        <v>2</v>
      </c>
      <c r="E792" s="77">
        <v>12224</v>
      </c>
      <c r="F792" s="77">
        <v>0</v>
      </c>
    </row>
    <row r="793" spans="1:6" x14ac:dyDescent="0.25">
      <c r="A793" s="77">
        <v>10790</v>
      </c>
      <c r="B793" s="77">
        <v>2</v>
      </c>
      <c r="C793" s="77">
        <v>2</v>
      </c>
      <c r="D793" s="77">
        <v>2</v>
      </c>
      <c r="E793" s="77">
        <v>12225</v>
      </c>
      <c r="F793" s="77">
        <v>0</v>
      </c>
    </row>
    <row r="794" spans="1:6" x14ac:dyDescent="0.25">
      <c r="A794" s="77">
        <v>10791</v>
      </c>
      <c r="B794" s="77">
        <v>2</v>
      </c>
      <c r="C794" s="77">
        <v>2</v>
      </c>
      <c r="D794" s="77">
        <v>2</v>
      </c>
      <c r="E794" s="77">
        <v>12226</v>
      </c>
      <c r="F794" s="77">
        <v>0</v>
      </c>
    </row>
    <row r="795" spans="1:6" x14ac:dyDescent="0.25">
      <c r="A795" s="77">
        <v>10792</v>
      </c>
      <c r="B795" s="77">
        <v>2</v>
      </c>
      <c r="C795" s="77">
        <v>2</v>
      </c>
      <c r="D795" s="77">
        <v>2</v>
      </c>
      <c r="E795" s="77">
        <v>12227</v>
      </c>
      <c r="F795" s="77">
        <v>0</v>
      </c>
    </row>
    <row r="796" spans="1:6" x14ac:dyDescent="0.25">
      <c r="A796" s="77">
        <v>10793</v>
      </c>
      <c r="B796" s="77">
        <v>2</v>
      </c>
      <c r="C796" s="77">
        <v>2</v>
      </c>
      <c r="D796" s="77">
        <v>2</v>
      </c>
      <c r="E796" s="77">
        <v>12228</v>
      </c>
      <c r="F796" s="77">
        <v>0</v>
      </c>
    </row>
    <row r="797" spans="1:6" x14ac:dyDescent="0.25">
      <c r="A797" s="77">
        <v>10794</v>
      </c>
      <c r="B797" s="77">
        <v>2</v>
      </c>
      <c r="C797" s="77">
        <v>2</v>
      </c>
      <c r="D797" s="77">
        <v>2</v>
      </c>
      <c r="E797" s="77">
        <v>12229</v>
      </c>
      <c r="F797" s="77">
        <v>0</v>
      </c>
    </row>
    <row r="798" spans="1:6" x14ac:dyDescent="0.25">
      <c r="A798" s="77">
        <v>10795</v>
      </c>
      <c r="B798" s="77">
        <v>2</v>
      </c>
      <c r="C798" s="77">
        <v>2</v>
      </c>
      <c r="D798" s="77">
        <v>2</v>
      </c>
      <c r="E798" s="77">
        <v>12230</v>
      </c>
      <c r="F798" s="77">
        <v>0</v>
      </c>
    </row>
    <row r="799" spans="1:6" x14ac:dyDescent="0.25">
      <c r="A799" s="77">
        <v>10796</v>
      </c>
      <c r="B799" s="77">
        <v>3</v>
      </c>
      <c r="C799" s="77">
        <v>2</v>
      </c>
      <c r="D799" s="77">
        <v>2</v>
      </c>
      <c r="E799" s="77">
        <v>12201</v>
      </c>
      <c r="F799" s="77">
        <v>0</v>
      </c>
    </row>
    <row r="800" spans="1:6" x14ac:dyDescent="0.25">
      <c r="A800" s="77">
        <v>10797</v>
      </c>
      <c r="B800" s="77">
        <v>3</v>
      </c>
      <c r="C800" s="77">
        <v>2</v>
      </c>
      <c r="D800" s="77">
        <v>2</v>
      </c>
      <c r="E800" s="77">
        <v>12202</v>
      </c>
      <c r="F800" s="77">
        <v>0</v>
      </c>
    </row>
    <row r="801" spans="1:6" x14ac:dyDescent="0.25">
      <c r="A801" s="77">
        <v>10798</v>
      </c>
      <c r="B801" s="77">
        <v>3</v>
      </c>
      <c r="C801" s="77">
        <v>2</v>
      </c>
      <c r="D801" s="77">
        <v>2</v>
      </c>
      <c r="E801" s="77">
        <v>12203</v>
      </c>
      <c r="F801" s="77">
        <v>0</v>
      </c>
    </row>
    <row r="802" spans="1:6" x14ac:dyDescent="0.25">
      <c r="A802" s="77">
        <v>10799</v>
      </c>
      <c r="B802" s="77">
        <v>3</v>
      </c>
      <c r="C802" s="77">
        <v>2</v>
      </c>
      <c r="D802" s="77">
        <v>2</v>
      </c>
      <c r="E802" s="77">
        <v>12204</v>
      </c>
      <c r="F802" s="77">
        <v>0</v>
      </c>
    </row>
    <row r="803" spans="1:6" x14ac:dyDescent="0.25">
      <c r="A803" s="77">
        <v>10800</v>
      </c>
      <c r="B803" s="77">
        <v>3</v>
      </c>
      <c r="C803" s="77">
        <v>2</v>
      </c>
      <c r="D803" s="77">
        <v>2</v>
      </c>
      <c r="E803" s="77">
        <v>12205</v>
      </c>
      <c r="F803" s="77">
        <v>0</v>
      </c>
    </row>
    <row r="804" spans="1:6" x14ac:dyDescent="0.25">
      <c r="A804" s="77">
        <v>10801</v>
      </c>
      <c r="B804" s="77">
        <v>3</v>
      </c>
      <c r="C804" s="77">
        <v>2</v>
      </c>
      <c r="D804" s="77">
        <v>2</v>
      </c>
      <c r="E804" s="77">
        <v>12206</v>
      </c>
      <c r="F804" s="77">
        <v>10</v>
      </c>
    </row>
    <row r="805" spans="1:6" x14ac:dyDescent="0.25">
      <c r="A805" s="77">
        <v>10802</v>
      </c>
      <c r="B805" s="77">
        <v>3</v>
      </c>
      <c r="C805" s="77">
        <v>2</v>
      </c>
      <c r="D805" s="77">
        <v>2</v>
      </c>
      <c r="E805" s="77">
        <v>12207</v>
      </c>
      <c r="F805" s="77">
        <v>10</v>
      </c>
    </row>
    <row r="806" spans="1:6" x14ac:dyDescent="0.25">
      <c r="A806" s="77">
        <v>10803</v>
      </c>
      <c r="B806" s="77">
        <v>3</v>
      </c>
      <c r="C806" s="77">
        <v>2</v>
      </c>
      <c r="D806" s="77">
        <v>2</v>
      </c>
      <c r="E806" s="77">
        <v>12208</v>
      </c>
      <c r="F806" s="77">
        <v>10</v>
      </c>
    </row>
    <row r="807" spans="1:6" x14ac:dyDescent="0.25">
      <c r="A807" s="77">
        <v>10804</v>
      </c>
      <c r="B807" s="77">
        <v>3</v>
      </c>
      <c r="C807" s="77">
        <v>2</v>
      </c>
      <c r="D807" s="77">
        <v>2</v>
      </c>
      <c r="E807" s="77">
        <v>12209</v>
      </c>
      <c r="F807" s="77">
        <v>10</v>
      </c>
    </row>
    <row r="808" spans="1:6" x14ac:dyDescent="0.25">
      <c r="A808" s="77">
        <v>10805</v>
      </c>
      <c r="B808" s="77">
        <v>3</v>
      </c>
      <c r="C808" s="77">
        <v>2</v>
      </c>
      <c r="D808" s="77">
        <v>2</v>
      </c>
      <c r="E808" s="77">
        <v>12210</v>
      </c>
      <c r="F808" s="77">
        <v>10</v>
      </c>
    </row>
    <row r="809" spans="1:6" x14ac:dyDescent="0.25">
      <c r="A809" s="77">
        <v>10806</v>
      </c>
      <c r="B809" s="77">
        <v>3</v>
      </c>
      <c r="C809" s="77">
        <v>2</v>
      </c>
      <c r="D809" s="77">
        <v>2</v>
      </c>
      <c r="E809" s="77">
        <v>12211</v>
      </c>
      <c r="F809" s="77">
        <v>10</v>
      </c>
    </row>
    <row r="810" spans="1:6" x14ac:dyDescent="0.25">
      <c r="A810" s="77">
        <v>10807</v>
      </c>
      <c r="B810" s="77">
        <v>3</v>
      </c>
      <c r="C810" s="77">
        <v>2</v>
      </c>
      <c r="D810" s="77">
        <v>2</v>
      </c>
      <c r="E810" s="77">
        <v>12212</v>
      </c>
      <c r="F810" s="77">
        <v>10</v>
      </c>
    </row>
    <row r="811" spans="1:6" x14ac:dyDescent="0.25">
      <c r="A811" s="77">
        <v>10808</v>
      </c>
      <c r="B811" s="77">
        <v>3</v>
      </c>
      <c r="C811" s="77">
        <v>2</v>
      </c>
      <c r="D811" s="77">
        <v>2</v>
      </c>
      <c r="E811" s="77">
        <v>12213</v>
      </c>
      <c r="F811" s="77">
        <v>10</v>
      </c>
    </row>
    <row r="812" spans="1:6" x14ac:dyDescent="0.25">
      <c r="A812" s="77">
        <v>10809</v>
      </c>
      <c r="B812" s="77">
        <v>3</v>
      </c>
      <c r="C812" s="77">
        <v>2</v>
      </c>
      <c r="D812" s="77">
        <v>2</v>
      </c>
      <c r="E812" s="77">
        <v>12214</v>
      </c>
      <c r="F812" s="77">
        <v>10</v>
      </c>
    </row>
    <row r="813" spans="1:6" x14ac:dyDescent="0.25">
      <c r="A813" s="77">
        <v>10810</v>
      </c>
      <c r="B813" s="77">
        <v>3</v>
      </c>
      <c r="C813" s="77">
        <v>2</v>
      </c>
      <c r="D813" s="77">
        <v>2</v>
      </c>
      <c r="E813" s="77">
        <v>12215</v>
      </c>
      <c r="F813" s="77">
        <v>10</v>
      </c>
    </row>
    <row r="814" spans="1:6" x14ac:dyDescent="0.25">
      <c r="A814" s="77">
        <v>10811</v>
      </c>
      <c r="B814" s="77">
        <v>3</v>
      </c>
      <c r="C814" s="77">
        <v>2</v>
      </c>
      <c r="D814" s="77">
        <v>2</v>
      </c>
      <c r="E814" s="77">
        <v>12216</v>
      </c>
      <c r="F814" s="77">
        <v>10</v>
      </c>
    </row>
    <row r="815" spans="1:6" x14ac:dyDescent="0.25">
      <c r="A815" s="77">
        <v>10812</v>
      </c>
      <c r="B815" s="77">
        <v>3</v>
      </c>
      <c r="C815" s="77">
        <v>2</v>
      </c>
      <c r="D815" s="77">
        <v>2</v>
      </c>
      <c r="E815" s="77">
        <v>12217</v>
      </c>
      <c r="F815" s="77">
        <v>10</v>
      </c>
    </row>
    <row r="816" spans="1:6" x14ac:dyDescent="0.25">
      <c r="A816" s="77">
        <v>10813</v>
      </c>
      <c r="B816" s="77">
        <v>3</v>
      </c>
      <c r="C816" s="77">
        <v>2</v>
      </c>
      <c r="D816" s="77">
        <v>2</v>
      </c>
      <c r="E816" s="77">
        <v>12218</v>
      </c>
      <c r="F816" s="77">
        <v>10</v>
      </c>
    </row>
    <row r="817" spans="1:6" x14ac:dyDescent="0.25">
      <c r="A817" s="77">
        <v>10814</v>
      </c>
      <c r="B817" s="77">
        <v>3</v>
      </c>
      <c r="C817" s="77">
        <v>2</v>
      </c>
      <c r="D817" s="77">
        <v>2</v>
      </c>
      <c r="E817" s="77">
        <v>12219</v>
      </c>
      <c r="F817" s="77">
        <v>10</v>
      </c>
    </row>
    <row r="818" spans="1:6" x14ac:dyDescent="0.25">
      <c r="A818" s="77">
        <v>10815</v>
      </c>
      <c r="B818" s="77">
        <v>3</v>
      </c>
      <c r="C818" s="77">
        <v>2</v>
      </c>
      <c r="D818" s="77">
        <v>2</v>
      </c>
      <c r="E818" s="77">
        <v>12220</v>
      </c>
      <c r="F818" s="77">
        <v>10</v>
      </c>
    </row>
    <row r="819" spans="1:6" x14ac:dyDescent="0.25">
      <c r="A819" s="77">
        <v>10816</v>
      </c>
      <c r="B819" s="77">
        <v>3</v>
      </c>
      <c r="C819" s="77">
        <v>2</v>
      </c>
      <c r="D819" s="77">
        <v>2</v>
      </c>
      <c r="E819" s="77">
        <v>12221</v>
      </c>
      <c r="F819" s="77">
        <v>10</v>
      </c>
    </row>
    <row r="820" spans="1:6" x14ac:dyDescent="0.25">
      <c r="A820" s="77">
        <v>10817</v>
      </c>
      <c r="B820" s="77">
        <v>3</v>
      </c>
      <c r="C820" s="77">
        <v>2</v>
      </c>
      <c r="D820" s="77">
        <v>2</v>
      </c>
      <c r="E820" s="77">
        <v>12222</v>
      </c>
      <c r="F820" s="77">
        <v>10</v>
      </c>
    </row>
    <row r="821" spans="1:6" x14ac:dyDescent="0.25">
      <c r="A821" s="77">
        <v>10818</v>
      </c>
      <c r="B821" s="77">
        <v>3</v>
      </c>
      <c r="C821" s="77">
        <v>2</v>
      </c>
      <c r="D821" s="77">
        <v>2</v>
      </c>
      <c r="E821" s="77">
        <v>12223</v>
      </c>
      <c r="F821" s="77">
        <v>0</v>
      </c>
    </row>
    <row r="822" spans="1:6" x14ac:dyDescent="0.25">
      <c r="A822" s="77">
        <v>10819</v>
      </c>
      <c r="B822" s="77">
        <v>3</v>
      </c>
      <c r="C822" s="77">
        <v>2</v>
      </c>
      <c r="D822" s="77">
        <v>2</v>
      </c>
      <c r="E822" s="77">
        <v>12224</v>
      </c>
      <c r="F822" s="77">
        <v>0</v>
      </c>
    </row>
    <row r="823" spans="1:6" x14ac:dyDescent="0.25">
      <c r="A823" s="77">
        <v>10820</v>
      </c>
      <c r="B823" s="77">
        <v>3</v>
      </c>
      <c r="C823" s="77">
        <v>2</v>
      </c>
      <c r="D823" s="77">
        <v>2</v>
      </c>
      <c r="E823" s="77">
        <v>12225</v>
      </c>
      <c r="F823" s="77">
        <v>0</v>
      </c>
    </row>
    <row r="824" spans="1:6" x14ac:dyDescent="0.25">
      <c r="A824" s="77">
        <v>10821</v>
      </c>
      <c r="B824" s="77">
        <v>3</v>
      </c>
      <c r="C824" s="77">
        <v>2</v>
      </c>
      <c r="D824" s="77">
        <v>2</v>
      </c>
      <c r="E824" s="77">
        <v>12226</v>
      </c>
      <c r="F824" s="77">
        <v>0</v>
      </c>
    </row>
    <row r="825" spans="1:6" x14ac:dyDescent="0.25">
      <c r="A825" s="77">
        <v>10822</v>
      </c>
      <c r="B825" s="77">
        <v>3</v>
      </c>
      <c r="C825" s="77">
        <v>2</v>
      </c>
      <c r="D825" s="77">
        <v>2</v>
      </c>
      <c r="E825" s="77">
        <v>12227</v>
      </c>
      <c r="F825" s="77">
        <v>0</v>
      </c>
    </row>
    <row r="826" spans="1:6" x14ac:dyDescent="0.25">
      <c r="A826" s="77">
        <v>10823</v>
      </c>
      <c r="B826" s="77">
        <v>3</v>
      </c>
      <c r="C826" s="77">
        <v>2</v>
      </c>
      <c r="D826" s="77">
        <v>2</v>
      </c>
      <c r="E826" s="77">
        <v>12228</v>
      </c>
      <c r="F826" s="77">
        <v>0</v>
      </c>
    </row>
    <row r="827" spans="1:6" x14ac:dyDescent="0.25">
      <c r="A827" s="77">
        <v>10824</v>
      </c>
      <c r="B827" s="77">
        <v>3</v>
      </c>
      <c r="C827" s="77">
        <v>2</v>
      </c>
      <c r="D827" s="77">
        <v>2</v>
      </c>
      <c r="E827" s="77">
        <v>12229</v>
      </c>
      <c r="F827" s="77">
        <v>0</v>
      </c>
    </row>
    <row r="828" spans="1:6" x14ac:dyDescent="0.25">
      <c r="A828" s="77">
        <v>10825</v>
      </c>
      <c r="B828" s="77">
        <v>3</v>
      </c>
      <c r="C828" s="77">
        <v>2</v>
      </c>
      <c r="D828" s="77">
        <v>2</v>
      </c>
      <c r="E828" s="77">
        <v>12230</v>
      </c>
      <c r="F828" s="77">
        <v>0</v>
      </c>
    </row>
    <row r="829" spans="1:6" x14ac:dyDescent="0.25">
      <c r="A829" s="77">
        <v>10826</v>
      </c>
      <c r="B829" s="77">
        <v>4</v>
      </c>
      <c r="C829" s="77">
        <v>2</v>
      </c>
      <c r="D829" s="77">
        <v>2</v>
      </c>
      <c r="E829" s="77">
        <v>12201</v>
      </c>
      <c r="F829" s="77">
        <v>0</v>
      </c>
    </row>
    <row r="830" spans="1:6" x14ac:dyDescent="0.25">
      <c r="A830" s="77">
        <v>10827</v>
      </c>
      <c r="B830" s="77">
        <v>4</v>
      </c>
      <c r="C830" s="77">
        <v>2</v>
      </c>
      <c r="D830" s="77">
        <v>2</v>
      </c>
      <c r="E830" s="77">
        <v>12202</v>
      </c>
      <c r="F830" s="77">
        <v>0</v>
      </c>
    </row>
    <row r="831" spans="1:6" x14ac:dyDescent="0.25">
      <c r="A831" s="77">
        <v>10828</v>
      </c>
      <c r="B831" s="77">
        <v>4</v>
      </c>
      <c r="C831" s="77">
        <v>2</v>
      </c>
      <c r="D831" s="77">
        <v>2</v>
      </c>
      <c r="E831" s="77">
        <v>12203</v>
      </c>
      <c r="F831" s="77">
        <v>0</v>
      </c>
    </row>
    <row r="832" spans="1:6" x14ac:dyDescent="0.25">
      <c r="A832" s="77">
        <v>10829</v>
      </c>
      <c r="B832" s="77">
        <v>4</v>
      </c>
      <c r="C832" s="77">
        <v>2</v>
      </c>
      <c r="D832" s="77">
        <v>2</v>
      </c>
      <c r="E832" s="77">
        <v>12204</v>
      </c>
      <c r="F832" s="77">
        <v>0</v>
      </c>
    </row>
    <row r="833" spans="1:6" x14ac:dyDescent="0.25">
      <c r="A833" s="77">
        <v>10830</v>
      </c>
      <c r="B833" s="77">
        <v>4</v>
      </c>
      <c r="C833" s="77">
        <v>2</v>
      </c>
      <c r="D833" s="77">
        <v>2</v>
      </c>
      <c r="E833" s="77">
        <v>12205</v>
      </c>
      <c r="F833" s="77">
        <v>0</v>
      </c>
    </row>
    <row r="834" spans="1:6" x14ac:dyDescent="0.25">
      <c r="A834" s="77">
        <v>10831</v>
      </c>
      <c r="B834" s="77">
        <v>4</v>
      </c>
      <c r="C834" s="77">
        <v>2</v>
      </c>
      <c r="D834" s="77">
        <v>2</v>
      </c>
      <c r="E834" s="77">
        <v>12206</v>
      </c>
      <c r="F834" s="77">
        <v>0</v>
      </c>
    </row>
    <row r="835" spans="1:6" x14ac:dyDescent="0.25">
      <c r="A835" s="77">
        <v>10832</v>
      </c>
      <c r="B835" s="77">
        <v>4</v>
      </c>
      <c r="C835" s="77">
        <v>2</v>
      </c>
      <c r="D835" s="77">
        <v>2</v>
      </c>
      <c r="E835" s="77">
        <v>12207</v>
      </c>
      <c r="F835" s="77">
        <v>0</v>
      </c>
    </row>
    <row r="836" spans="1:6" x14ac:dyDescent="0.25">
      <c r="A836" s="77">
        <v>10833</v>
      </c>
      <c r="B836" s="77">
        <v>4</v>
      </c>
      <c r="C836" s="77">
        <v>2</v>
      </c>
      <c r="D836" s="77">
        <v>2</v>
      </c>
      <c r="E836" s="77">
        <v>12208</v>
      </c>
      <c r="F836" s="77">
        <v>0</v>
      </c>
    </row>
    <row r="837" spans="1:6" x14ac:dyDescent="0.25">
      <c r="A837" s="77">
        <v>10834</v>
      </c>
      <c r="B837" s="77">
        <v>4</v>
      </c>
      <c r="C837" s="77">
        <v>2</v>
      </c>
      <c r="D837" s="77">
        <v>2</v>
      </c>
      <c r="E837" s="77">
        <v>12209</v>
      </c>
      <c r="F837" s="77">
        <v>10</v>
      </c>
    </row>
    <row r="838" spans="1:6" x14ac:dyDescent="0.25">
      <c r="A838" s="77">
        <v>10835</v>
      </c>
      <c r="B838" s="77">
        <v>4</v>
      </c>
      <c r="C838" s="77">
        <v>2</v>
      </c>
      <c r="D838" s="77">
        <v>2</v>
      </c>
      <c r="E838" s="77">
        <v>12210</v>
      </c>
      <c r="F838" s="77">
        <v>10</v>
      </c>
    </row>
    <row r="839" spans="1:6" x14ac:dyDescent="0.25">
      <c r="A839" s="77">
        <v>10836</v>
      </c>
      <c r="B839" s="77">
        <v>4</v>
      </c>
      <c r="C839" s="77">
        <v>2</v>
      </c>
      <c r="D839" s="77">
        <v>2</v>
      </c>
      <c r="E839" s="77">
        <v>12211</v>
      </c>
      <c r="F839" s="77">
        <v>10</v>
      </c>
    </row>
    <row r="840" spans="1:6" x14ac:dyDescent="0.25">
      <c r="A840" s="77">
        <v>10837</v>
      </c>
      <c r="B840" s="77">
        <v>4</v>
      </c>
      <c r="C840" s="77">
        <v>2</v>
      </c>
      <c r="D840" s="77">
        <v>2</v>
      </c>
      <c r="E840" s="77">
        <v>12212</v>
      </c>
      <c r="F840" s="77">
        <v>10</v>
      </c>
    </row>
    <row r="841" spans="1:6" x14ac:dyDescent="0.25">
      <c r="A841" s="77">
        <v>10838</v>
      </c>
      <c r="B841" s="77">
        <v>4</v>
      </c>
      <c r="C841" s="77">
        <v>2</v>
      </c>
      <c r="D841" s="77">
        <v>2</v>
      </c>
      <c r="E841" s="77">
        <v>12213</v>
      </c>
      <c r="F841" s="77">
        <v>10</v>
      </c>
    </row>
    <row r="842" spans="1:6" x14ac:dyDescent="0.25">
      <c r="A842" s="77">
        <v>10839</v>
      </c>
      <c r="B842" s="77">
        <v>4</v>
      </c>
      <c r="C842" s="77">
        <v>2</v>
      </c>
      <c r="D842" s="77">
        <v>2</v>
      </c>
      <c r="E842" s="77">
        <v>12214</v>
      </c>
      <c r="F842" s="77">
        <v>10</v>
      </c>
    </row>
    <row r="843" spans="1:6" x14ac:dyDescent="0.25">
      <c r="A843" s="77">
        <v>10840</v>
      </c>
      <c r="B843" s="77">
        <v>4</v>
      </c>
      <c r="C843" s="77">
        <v>2</v>
      </c>
      <c r="D843" s="77">
        <v>2</v>
      </c>
      <c r="E843" s="77">
        <v>12215</v>
      </c>
      <c r="F843" s="77">
        <v>10</v>
      </c>
    </row>
    <row r="844" spans="1:6" x14ac:dyDescent="0.25">
      <c r="A844" s="77">
        <v>10841</v>
      </c>
      <c r="B844" s="77">
        <v>4</v>
      </c>
      <c r="C844" s="77">
        <v>2</v>
      </c>
      <c r="D844" s="77">
        <v>2</v>
      </c>
      <c r="E844" s="77">
        <v>12216</v>
      </c>
      <c r="F844" s="77">
        <v>10</v>
      </c>
    </row>
    <row r="845" spans="1:6" x14ac:dyDescent="0.25">
      <c r="A845" s="77">
        <v>10842</v>
      </c>
      <c r="B845" s="77">
        <v>4</v>
      </c>
      <c r="C845" s="77">
        <v>2</v>
      </c>
      <c r="D845" s="77">
        <v>2</v>
      </c>
      <c r="E845" s="77">
        <v>12217</v>
      </c>
      <c r="F845" s="77">
        <v>10</v>
      </c>
    </row>
    <row r="846" spans="1:6" x14ac:dyDescent="0.25">
      <c r="A846" s="77">
        <v>10843</v>
      </c>
      <c r="B846" s="77">
        <v>4</v>
      </c>
      <c r="C846" s="77">
        <v>2</v>
      </c>
      <c r="D846" s="77">
        <v>2</v>
      </c>
      <c r="E846" s="77">
        <v>12218</v>
      </c>
      <c r="F846" s="77">
        <v>10</v>
      </c>
    </row>
    <row r="847" spans="1:6" x14ac:dyDescent="0.25">
      <c r="A847" s="77">
        <v>10844</v>
      </c>
      <c r="B847" s="77">
        <v>4</v>
      </c>
      <c r="C847" s="77">
        <v>2</v>
      </c>
      <c r="D847" s="77">
        <v>2</v>
      </c>
      <c r="E847" s="77">
        <v>12219</v>
      </c>
      <c r="F847" s="77">
        <v>10</v>
      </c>
    </row>
    <row r="848" spans="1:6" x14ac:dyDescent="0.25">
      <c r="A848" s="77">
        <v>10845</v>
      </c>
      <c r="B848" s="77">
        <v>4</v>
      </c>
      <c r="C848" s="77">
        <v>2</v>
      </c>
      <c r="D848" s="77">
        <v>2</v>
      </c>
      <c r="E848" s="77">
        <v>12220</v>
      </c>
      <c r="F848" s="77">
        <v>10</v>
      </c>
    </row>
    <row r="849" spans="1:6" x14ac:dyDescent="0.25">
      <c r="A849" s="77">
        <v>10846</v>
      </c>
      <c r="B849" s="77">
        <v>4</v>
      </c>
      <c r="C849" s="77">
        <v>2</v>
      </c>
      <c r="D849" s="77">
        <v>2</v>
      </c>
      <c r="E849" s="77">
        <v>12221</v>
      </c>
      <c r="F849" s="77">
        <v>10</v>
      </c>
    </row>
    <row r="850" spans="1:6" x14ac:dyDescent="0.25">
      <c r="A850" s="77">
        <v>10847</v>
      </c>
      <c r="B850" s="77">
        <v>4</v>
      </c>
      <c r="C850" s="77">
        <v>2</v>
      </c>
      <c r="D850" s="77">
        <v>2</v>
      </c>
      <c r="E850" s="77">
        <v>12222</v>
      </c>
      <c r="F850" s="77">
        <v>10</v>
      </c>
    </row>
    <row r="851" spans="1:6" x14ac:dyDescent="0.25">
      <c r="A851" s="77">
        <v>10848</v>
      </c>
      <c r="B851" s="77">
        <v>4</v>
      </c>
      <c r="C851" s="77">
        <v>2</v>
      </c>
      <c r="D851" s="77">
        <v>2</v>
      </c>
      <c r="E851" s="77">
        <v>12223</v>
      </c>
      <c r="F851" s="77">
        <v>10</v>
      </c>
    </row>
    <row r="852" spans="1:6" x14ac:dyDescent="0.25">
      <c r="A852" s="77">
        <v>10849</v>
      </c>
      <c r="B852" s="77">
        <v>4</v>
      </c>
      <c r="C852" s="77">
        <v>2</v>
      </c>
      <c r="D852" s="77">
        <v>2</v>
      </c>
      <c r="E852" s="77">
        <v>12224</v>
      </c>
      <c r="F852" s="77">
        <v>10</v>
      </c>
    </row>
    <row r="853" spans="1:6" x14ac:dyDescent="0.25">
      <c r="A853" s="77">
        <v>10850</v>
      </c>
      <c r="B853" s="77">
        <v>4</v>
      </c>
      <c r="C853" s="77">
        <v>2</v>
      </c>
      <c r="D853" s="77">
        <v>2</v>
      </c>
      <c r="E853" s="77">
        <v>12225</v>
      </c>
      <c r="F853" s="77">
        <v>10</v>
      </c>
    </row>
    <row r="854" spans="1:6" x14ac:dyDescent="0.25">
      <c r="A854" s="77">
        <v>10851</v>
      </c>
      <c r="B854" s="77">
        <v>4</v>
      </c>
      <c r="C854" s="77">
        <v>2</v>
      </c>
      <c r="D854" s="77">
        <v>2</v>
      </c>
      <c r="E854" s="77">
        <v>12226</v>
      </c>
      <c r="F854" s="77">
        <v>0</v>
      </c>
    </row>
    <row r="855" spans="1:6" x14ac:dyDescent="0.25">
      <c r="A855" s="77">
        <v>10852</v>
      </c>
      <c r="B855" s="77">
        <v>4</v>
      </c>
      <c r="C855" s="77">
        <v>2</v>
      </c>
      <c r="D855" s="77">
        <v>2</v>
      </c>
      <c r="E855" s="77">
        <v>12227</v>
      </c>
      <c r="F855" s="77">
        <v>0</v>
      </c>
    </row>
    <row r="856" spans="1:6" x14ac:dyDescent="0.25">
      <c r="A856" s="77">
        <v>10853</v>
      </c>
      <c r="B856" s="77">
        <v>4</v>
      </c>
      <c r="C856" s="77">
        <v>2</v>
      </c>
      <c r="D856" s="77">
        <v>2</v>
      </c>
      <c r="E856" s="77">
        <v>12228</v>
      </c>
      <c r="F856" s="77">
        <v>0</v>
      </c>
    </row>
    <row r="857" spans="1:6" x14ac:dyDescent="0.25">
      <c r="A857" s="77">
        <v>10854</v>
      </c>
      <c r="B857" s="77">
        <v>4</v>
      </c>
      <c r="C857" s="77">
        <v>2</v>
      </c>
      <c r="D857" s="77">
        <v>2</v>
      </c>
      <c r="E857" s="77">
        <v>12229</v>
      </c>
      <c r="F857" s="77">
        <v>0</v>
      </c>
    </row>
    <row r="858" spans="1:6" x14ac:dyDescent="0.25">
      <c r="A858" s="77">
        <v>10855</v>
      </c>
      <c r="B858" s="77">
        <v>4</v>
      </c>
      <c r="C858" s="77">
        <v>2</v>
      </c>
      <c r="D858" s="77">
        <v>2</v>
      </c>
      <c r="E858" s="77">
        <v>12230</v>
      </c>
      <c r="F858" s="77">
        <v>0</v>
      </c>
    </row>
    <row r="859" spans="1:6" x14ac:dyDescent="0.25">
      <c r="A859" s="77">
        <v>10856</v>
      </c>
      <c r="B859" s="77">
        <v>5</v>
      </c>
      <c r="C859" s="77">
        <v>2</v>
      </c>
      <c r="D859" s="77">
        <v>2</v>
      </c>
      <c r="E859" s="77">
        <v>12201</v>
      </c>
      <c r="F859" s="77">
        <v>0</v>
      </c>
    </row>
    <row r="860" spans="1:6" x14ac:dyDescent="0.25">
      <c r="A860" s="77">
        <v>10857</v>
      </c>
      <c r="B860" s="77">
        <v>5</v>
      </c>
      <c r="C860" s="77">
        <v>2</v>
      </c>
      <c r="D860" s="77">
        <v>2</v>
      </c>
      <c r="E860" s="77">
        <v>12202</v>
      </c>
      <c r="F860" s="77">
        <v>0</v>
      </c>
    </row>
    <row r="861" spans="1:6" x14ac:dyDescent="0.25">
      <c r="A861" s="77">
        <v>10858</v>
      </c>
      <c r="B861" s="77">
        <v>5</v>
      </c>
      <c r="C861" s="77">
        <v>2</v>
      </c>
      <c r="D861" s="77">
        <v>2</v>
      </c>
      <c r="E861" s="77">
        <v>12203</v>
      </c>
      <c r="F861" s="77">
        <v>0</v>
      </c>
    </row>
    <row r="862" spans="1:6" x14ac:dyDescent="0.25">
      <c r="A862" s="77">
        <v>10859</v>
      </c>
      <c r="B862" s="77">
        <v>5</v>
      </c>
      <c r="C862" s="77">
        <v>2</v>
      </c>
      <c r="D862" s="77">
        <v>2</v>
      </c>
      <c r="E862" s="77">
        <v>12204</v>
      </c>
      <c r="F862" s="77">
        <v>0</v>
      </c>
    </row>
    <row r="863" spans="1:6" x14ac:dyDescent="0.25">
      <c r="A863" s="77">
        <v>10860</v>
      </c>
      <c r="B863" s="77">
        <v>5</v>
      </c>
      <c r="C863" s="77">
        <v>2</v>
      </c>
      <c r="D863" s="77">
        <v>2</v>
      </c>
      <c r="E863" s="77">
        <v>12205</v>
      </c>
      <c r="F863" s="77">
        <v>0</v>
      </c>
    </row>
    <row r="864" spans="1:6" x14ac:dyDescent="0.25">
      <c r="A864" s="77">
        <v>10861</v>
      </c>
      <c r="B864" s="77">
        <v>5</v>
      </c>
      <c r="C864" s="77">
        <v>2</v>
      </c>
      <c r="D864" s="77">
        <v>2</v>
      </c>
      <c r="E864" s="77">
        <v>12206</v>
      </c>
      <c r="F864" s="77">
        <v>0</v>
      </c>
    </row>
    <row r="865" spans="1:6" x14ac:dyDescent="0.25">
      <c r="A865" s="77">
        <v>10862</v>
      </c>
      <c r="B865" s="77">
        <v>5</v>
      </c>
      <c r="C865" s="77">
        <v>2</v>
      </c>
      <c r="D865" s="77">
        <v>2</v>
      </c>
      <c r="E865" s="77">
        <v>12207</v>
      </c>
      <c r="F865" s="77">
        <v>0</v>
      </c>
    </row>
    <row r="866" spans="1:6" x14ac:dyDescent="0.25">
      <c r="A866" s="77">
        <v>10863</v>
      </c>
      <c r="B866" s="77">
        <v>5</v>
      </c>
      <c r="C866" s="77">
        <v>2</v>
      </c>
      <c r="D866" s="77">
        <v>2</v>
      </c>
      <c r="E866" s="77">
        <v>12208</v>
      </c>
      <c r="F866" s="77">
        <v>0</v>
      </c>
    </row>
    <row r="867" spans="1:6" x14ac:dyDescent="0.25">
      <c r="A867" s="77">
        <v>10864</v>
      </c>
      <c r="B867" s="77">
        <v>5</v>
      </c>
      <c r="C867" s="77">
        <v>2</v>
      </c>
      <c r="D867" s="77">
        <v>2</v>
      </c>
      <c r="E867" s="77">
        <v>12209</v>
      </c>
      <c r="F867" s="77">
        <v>0</v>
      </c>
    </row>
    <row r="868" spans="1:6" x14ac:dyDescent="0.25">
      <c r="A868" s="77">
        <v>10865</v>
      </c>
      <c r="B868" s="77">
        <v>5</v>
      </c>
      <c r="C868" s="77">
        <v>2</v>
      </c>
      <c r="D868" s="77">
        <v>2</v>
      </c>
      <c r="E868" s="77">
        <v>12210</v>
      </c>
      <c r="F868" s="77">
        <v>0</v>
      </c>
    </row>
    <row r="869" spans="1:6" x14ac:dyDescent="0.25">
      <c r="A869" s="77">
        <v>10866</v>
      </c>
      <c r="B869" s="77">
        <v>5</v>
      </c>
      <c r="C869" s="77">
        <v>2</v>
      </c>
      <c r="D869" s="77">
        <v>2</v>
      </c>
      <c r="E869" s="77">
        <v>12211</v>
      </c>
      <c r="F869" s="77">
        <v>0</v>
      </c>
    </row>
    <row r="870" spans="1:6" x14ac:dyDescent="0.25">
      <c r="A870" s="77">
        <v>10867</v>
      </c>
      <c r="B870" s="77">
        <v>5</v>
      </c>
      <c r="C870" s="77">
        <v>2</v>
      </c>
      <c r="D870" s="77">
        <v>2</v>
      </c>
      <c r="E870" s="77">
        <v>12212</v>
      </c>
      <c r="F870" s="77">
        <v>10</v>
      </c>
    </row>
    <row r="871" spans="1:6" x14ac:dyDescent="0.25">
      <c r="A871" s="77">
        <v>10868</v>
      </c>
      <c r="B871" s="77">
        <v>5</v>
      </c>
      <c r="C871" s="77">
        <v>2</v>
      </c>
      <c r="D871" s="77">
        <v>2</v>
      </c>
      <c r="E871" s="77">
        <v>12213</v>
      </c>
      <c r="F871" s="77">
        <v>10</v>
      </c>
    </row>
    <row r="872" spans="1:6" x14ac:dyDescent="0.25">
      <c r="A872" s="77">
        <v>10869</v>
      </c>
      <c r="B872" s="77">
        <v>5</v>
      </c>
      <c r="C872" s="77">
        <v>2</v>
      </c>
      <c r="D872" s="77">
        <v>2</v>
      </c>
      <c r="E872" s="77">
        <v>12214</v>
      </c>
      <c r="F872" s="77">
        <v>10</v>
      </c>
    </row>
    <row r="873" spans="1:6" x14ac:dyDescent="0.25">
      <c r="A873" s="77">
        <v>10870</v>
      </c>
      <c r="B873" s="77">
        <v>5</v>
      </c>
      <c r="C873" s="77">
        <v>2</v>
      </c>
      <c r="D873" s="77">
        <v>2</v>
      </c>
      <c r="E873" s="77">
        <v>12215</v>
      </c>
      <c r="F873" s="77">
        <v>10</v>
      </c>
    </row>
    <row r="874" spans="1:6" x14ac:dyDescent="0.25">
      <c r="A874" s="77">
        <v>10871</v>
      </c>
      <c r="B874" s="77">
        <v>5</v>
      </c>
      <c r="C874" s="77">
        <v>2</v>
      </c>
      <c r="D874" s="77">
        <v>2</v>
      </c>
      <c r="E874" s="77">
        <v>12216</v>
      </c>
      <c r="F874" s="77">
        <v>10</v>
      </c>
    </row>
    <row r="875" spans="1:6" x14ac:dyDescent="0.25">
      <c r="A875" s="77">
        <v>10872</v>
      </c>
      <c r="B875" s="77">
        <v>5</v>
      </c>
      <c r="C875" s="77">
        <v>2</v>
      </c>
      <c r="D875" s="77">
        <v>2</v>
      </c>
      <c r="E875" s="77">
        <v>12217</v>
      </c>
      <c r="F875" s="77">
        <v>10</v>
      </c>
    </row>
    <row r="876" spans="1:6" x14ac:dyDescent="0.25">
      <c r="A876" s="77">
        <v>10873</v>
      </c>
      <c r="B876" s="77">
        <v>5</v>
      </c>
      <c r="C876" s="77">
        <v>2</v>
      </c>
      <c r="D876" s="77">
        <v>2</v>
      </c>
      <c r="E876" s="77">
        <v>12218</v>
      </c>
      <c r="F876" s="77">
        <v>10</v>
      </c>
    </row>
    <row r="877" spans="1:6" x14ac:dyDescent="0.25">
      <c r="A877" s="77">
        <v>10874</v>
      </c>
      <c r="B877" s="77">
        <v>5</v>
      </c>
      <c r="C877" s="77">
        <v>2</v>
      </c>
      <c r="D877" s="77">
        <v>2</v>
      </c>
      <c r="E877" s="77">
        <v>12219</v>
      </c>
      <c r="F877" s="77">
        <v>10</v>
      </c>
    </row>
    <row r="878" spans="1:6" x14ac:dyDescent="0.25">
      <c r="A878" s="77">
        <v>10875</v>
      </c>
      <c r="B878" s="77">
        <v>5</v>
      </c>
      <c r="C878" s="77">
        <v>2</v>
      </c>
      <c r="D878" s="77">
        <v>2</v>
      </c>
      <c r="E878" s="77">
        <v>12220</v>
      </c>
      <c r="F878" s="77">
        <v>10</v>
      </c>
    </row>
    <row r="879" spans="1:6" x14ac:dyDescent="0.25">
      <c r="A879" s="77">
        <v>10876</v>
      </c>
      <c r="B879" s="77">
        <v>5</v>
      </c>
      <c r="C879" s="77">
        <v>2</v>
      </c>
      <c r="D879" s="77">
        <v>2</v>
      </c>
      <c r="E879" s="77">
        <v>12221</v>
      </c>
      <c r="F879" s="77">
        <v>10</v>
      </c>
    </row>
    <row r="880" spans="1:6" x14ac:dyDescent="0.25">
      <c r="A880" s="77">
        <v>10877</v>
      </c>
      <c r="B880" s="77">
        <v>5</v>
      </c>
      <c r="C880" s="77">
        <v>2</v>
      </c>
      <c r="D880" s="77">
        <v>2</v>
      </c>
      <c r="E880" s="77">
        <v>12222</v>
      </c>
      <c r="F880" s="77">
        <v>10</v>
      </c>
    </row>
    <row r="881" spans="1:6" x14ac:dyDescent="0.25">
      <c r="A881" s="77">
        <v>10878</v>
      </c>
      <c r="B881" s="77">
        <v>5</v>
      </c>
      <c r="C881" s="77">
        <v>2</v>
      </c>
      <c r="D881" s="77">
        <v>2</v>
      </c>
      <c r="E881" s="77">
        <v>12223</v>
      </c>
      <c r="F881" s="77">
        <v>10</v>
      </c>
    </row>
    <row r="882" spans="1:6" x14ac:dyDescent="0.25">
      <c r="A882" s="77">
        <v>10879</v>
      </c>
      <c r="B882" s="77">
        <v>5</v>
      </c>
      <c r="C882" s="77">
        <v>2</v>
      </c>
      <c r="D882" s="77">
        <v>2</v>
      </c>
      <c r="E882" s="77">
        <v>12224</v>
      </c>
      <c r="F882" s="77">
        <v>10</v>
      </c>
    </row>
    <row r="883" spans="1:6" x14ac:dyDescent="0.25">
      <c r="A883" s="77">
        <v>10880</v>
      </c>
      <c r="B883" s="77">
        <v>5</v>
      </c>
      <c r="C883" s="77">
        <v>2</v>
      </c>
      <c r="D883" s="77">
        <v>2</v>
      </c>
      <c r="E883" s="77">
        <v>12225</v>
      </c>
      <c r="F883" s="77">
        <v>10</v>
      </c>
    </row>
    <row r="884" spans="1:6" x14ac:dyDescent="0.25">
      <c r="A884" s="77">
        <v>10881</v>
      </c>
      <c r="B884" s="77">
        <v>5</v>
      </c>
      <c r="C884" s="77">
        <v>2</v>
      </c>
      <c r="D884" s="77">
        <v>2</v>
      </c>
      <c r="E884" s="77">
        <v>12226</v>
      </c>
      <c r="F884" s="77">
        <v>10</v>
      </c>
    </row>
    <row r="885" spans="1:6" x14ac:dyDescent="0.25">
      <c r="A885" s="77">
        <v>10882</v>
      </c>
      <c r="B885" s="77">
        <v>5</v>
      </c>
      <c r="C885" s="77">
        <v>2</v>
      </c>
      <c r="D885" s="77">
        <v>2</v>
      </c>
      <c r="E885" s="77">
        <v>12227</v>
      </c>
      <c r="F885" s="77">
        <v>10</v>
      </c>
    </row>
    <row r="886" spans="1:6" x14ac:dyDescent="0.25">
      <c r="A886" s="77">
        <v>10883</v>
      </c>
      <c r="B886" s="77">
        <v>5</v>
      </c>
      <c r="C886" s="77">
        <v>2</v>
      </c>
      <c r="D886" s="77">
        <v>2</v>
      </c>
      <c r="E886" s="77">
        <v>12228</v>
      </c>
      <c r="F886" s="77">
        <v>10</v>
      </c>
    </row>
    <row r="887" spans="1:6" x14ac:dyDescent="0.25">
      <c r="A887" s="77">
        <v>10884</v>
      </c>
      <c r="B887" s="77">
        <v>5</v>
      </c>
      <c r="C887" s="77">
        <v>2</v>
      </c>
      <c r="D887" s="77">
        <v>2</v>
      </c>
      <c r="E887" s="77">
        <v>12229</v>
      </c>
      <c r="F887" s="77">
        <v>0</v>
      </c>
    </row>
    <row r="888" spans="1:6" x14ac:dyDescent="0.25">
      <c r="A888" s="77">
        <v>10885</v>
      </c>
      <c r="B888" s="77">
        <v>5</v>
      </c>
      <c r="C888" s="77">
        <v>2</v>
      </c>
      <c r="D888" s="77">
        <v>2</v>
      </c>
      <c r="E888" s="77">
        <v>12230</v>
      </c>
      <c r="F888" s="77">
        <v>0</v>
      </c>
    </row>
    <row r="889" spans="1:6" x14ac:dyDescent="0.25">
      <c r="A889" s="77">
        <v>10886</v>
      </c>
      <c r="B889" s="77">
        <v>6</v>
      </c>
      <c r="C889" s="77">
        <v>2</v>
      </c>
      <c r="D889" s="77">
        <v>2</v>
      </c>
      <c r="E889" s="77">
        <v>12201</v>
      </c>
      <c r="F889" s="77">
        <v>0</v>
      </c>
    </row>
    <row r="890" spans="1:6" x14ac:dyDescent="0.25">
      <c r="A890" s="77">
        <v>10887</v>
      </c>
      <c r="B890" s="77">
        <v>6</v>
      </c>
      <c r="C890" s="77">
        <v>2</v>
      </c>
      <c r="D890" s="77">
        <v>2</v>
      </c>
      <c r="E890" s="77">
        <v>12202</v>
      </c>
      <c r="F890" s="77">
        <v>0</v>
      </c>
    </row>
    <row r="891" spans="1:6" x14ac:dyDescent="0.25">
      <c r="A891" s="77">
        <v>10888</v>
      </c>
      <c r="B891" s="77">
        <v>6</v>
      </c>
      <c r="C891" s="77">
        <v>2</v>
      </c>
      <c r="D891" s="77">
        <v>2</v>
      </c>
      <c r="E891" s="77">
        <v>12203</v>
      </c>
      <c r="F891" s="77">
        <v>0</v>
      </c>
    </row>
    <row r="892" spans="1:6" x14ac:dyDescent="0.25">
      <c r="A892" s="77">
        <v>10889</v>
      </c>
      <c r="B892" s="77">
        <v>6</v>
      </c>
      <c r="C892" s="77">
        <v>2</v>
      </c>
      <c r="D892" s="77">
        <v>2</v>
      </c>
      <c r="E892" s="77">
        <v>12204</v>
      </c>
      <c r="F892" s="77">
        <v>0</v>
      </c>
    </row>
    <row r="893" spans="1:6" x14ac:dyDescent="0.25">
      <c r="A893" s="77">
        <v>10890</v>
      </c>
      <c r="B893" s="77">
        <v>6</v>
      </c>
      <c r="C893" s="77">
        <v>2</v>
      </c>
      <c r="D893" s="77">
        <v>2</v>
      </c>
      <c r="E893" s="77">
        <v>12205</v>
      </c>
      <c r="F893" s="77">
        <v>0</v>
      </c>
    </row>
    <row r="894" spans="1:6" x14ac:dyDescent="0.25">
      <c r="A894" s="77">
        <v>10891</v>
      </c>
      <c r="B894" s="77">
        <v>6</v>
      </c>
      <c r="C894" s="77">
        <v>2</v>
      </c>
      <c r="D894" s="77">
        <v>2</v>
      </c>
      <c r="E894" s="77">
        <v>12206</v>
      </c>
      <c r="F894" s="77">
        <v>0</v>
      </c>
    </row>
    <row r="895" spans="1:6" x14ac:dyDescent="0.25">
      <c r="A895" s="77">
        <v>10892</v>
      </c>
      <c r="B895" s="77">
        <v>6</v>
      </c>
      <c r="C895" s="77">
        <v>2</v>
      </c>
      <c r="D895" s="77">
        <v>2</v>
      </c>
      <c r="E895" s="77">
        <v>12207</v>
      </c>
      <c r="F895" s="77">
        <v>0</v>
      </c>
    </row>
    <row r="896" spans="1:6" x14ac:dyDescent="0.25">
      <c r="A896" s="77">
        <v>10893</v>
      </c>
      <c r="B896" s="77">
        <v>6</v>
      </c>
      <c r="C896" s="77">
        <v>2</v>
      </c>
      <c r="D896" s="77">
        <v>2</v>
      </c>
      <c r="E896" s="77">
        <v>12208</v>
      </c>
      <c r="F896" s="77">
        <v>0</v>
      </c>
    </row>
    <row r="897" spans="1:6" x14ac:dyDescent="0.25">
      <c r="A897" s="77">
        <v>10894</v>
      </c>
      <c r="B897" s="77">
        <v>6</v>
      </c>
      <c r="C897" s="77">
        <v>2</v>
      </c>
      <c r="D897" s="77">
        <v>2</v>
      </c>
      <c r="E897" s="77">
        <v>12209</v>
      </c>
      <c r="F897" s="77">
        <v>0</v>
      </c>
    </row>
    <row r="898" spans="1:6" x14ac:dyDescent="0.25">
      <c r="A898" s="77">
        <v>10895</v>
      </c>
      <c r="B898" s="77">
        <v>6</v>
      </c>
      <c r="C898" s="77">
        <v>2</v>
      </c>
      <c r="D898" s="77">
        <v>2</v>
      </c>
      <c r="E898" s="77">
        <v>12210</v>
      </c>
      <c r="F898" s="77">
        <v>0</v>
      </c>
    </row>
    <row r="899" spans="1:6" x14ac:dyDescent="0.25">
      <c r="A899" s="77">
        <v>10896</v>
      </c>
      <c r="B899" s="77">
        <v>6</v>
      </c>
      <c r="C899" s="77">
        <v>2</v>
      </c>
      <c r="D899" s="77">
        <v>2</v>
      </c>
      <c r="E899" s="77">
        <v>12211</v>
      </c>
      <c r="F899" s="77">
        <v>0</v>
      </c>
    </row>
    <row r="900" spans="1:6" x14ac:dyDescent="0.25">
      <c r="A900" s="77">
        <v>10897</v>
      </c>
      <c r="B900" s="77">
        <v>6</v>
      </c>
      <c r="C900" s="77">
        <v>2</v>
      </c>
      <c r="D900" s="77">
        <v>2</v>
      </c>
      <c r="E900" s="77">
        <v>12212</v>
      </c>
      <c r="F900" s="77">
        <v>0</v>
      </c>
    </row>
    <row r="901" spans="1:6" x14ac:dyDescent="0.25">
      <c r="A901" s="77">
        <v>10898</v>
      </c>
      <c r="B901" s="77">
        <v>6</v>
      </c>
      <c r="C901" s="77">
        <v>2</v>
      </c>
      <c r="D901" s="77">
        <v>2</v>
      </c>
      <c r="E901" s="77">
        <v>12213</v>
      </c>
      <c r="F901" s="77">
        <v>0</v>
      </c>
    </row>
    <row r="902" spans="1:6" x14ac:dyDescent="0.25">
      <c r="A902" s="77">
        <v>10899</v>
      </c>
      <c r="B902" s="77">
        <v>6</v>
      </c>
      <c r="C902" s="77">
        <v>2</v>
      </c>
      <c r="D902" s="77">
        <v>2</v>
      </c>
      <c r="E902" s="77">
        <v>12214</v>
      </c>
      <c r="F902" s="77">
        <v>0</v>
      </c>
    </row>
    <row r="903" spans="1:6" x14ac:dyDescent="0.25">
      <c r="A903" s="77">
        <v>10900</v>
      </c>
      <c r="B903" s="77">
        <v>6</v>
      </c>
      <c r="C903" s="77">
        <v>2</v>
      </c>
      <c r="D903" s="77">
        <v>2</v>
      </c>
      <c r="E903" s="77">
        <v>12215</v>
      </c>
      <c r="F903" s="77">
        <v>0</v>
      </c>
    </row>
    <row r="904" spans="1:6" x14ac:dyDescent="0.25">
      <c r="A904" s="77">
        <v>10901</v>
      </c>
      <c r="B904" s="77">
        <v>6</v>
      </c>
      <c r="C904" s="77">
        <v>2</v>
      </c>
      <c r="D904" s="77">
        <v>2</v>
      </c>
      <c r="E904" s="77">
        <v>12216</v>
      </c>
      <c r="F904" s="77">
        <v>10</v>
      </c>
    </row>
    <row r="905" spans="1:6" x14ac:dyDescent="0.25">
      <c r="A905" s="77">
        <v>10902</v>
      </c>
      <c r="B905" s="77">
        <v>6</v>
      </c>
      <c r="C905" s="77">
        <v>2</v>
      </c>
      <c r="D905" s="77">
        <v>2</v>
      </c>
      <c r="E905" s="77">
        <v>12217</v>
      </c>
      <c r="F905" s="77">
        <v>10</v>
      </c>
    </row>
    <row r="906" spans="1:6" x14ac:dyDescent="0.25">
      <c r="A906" s="77">
        <v>10903</v>
      </c>
      <c r="B906" s="77">
        <v>6</v>
      </c>
      <c r="C906" s="77">
        <v>2</v>
      </c>
      <c r="D906" s="77">
        <v>2</v>
      </c>
      <c r="E906" s="77">
        <v>12218</v>
      </c>
      <c r="F906" s="77">
        <v>10</v>
      </c>
    </row>
    <row r="907" spans="1:6" x14ac:dyDescent="0.25">
      <c r="A907" s="77">
        <v>10904</v>
      </c>
      <c r="B907" s="77">
        <v>6</v>
      </c>
      <c r="C907" s="77">
        <v>2</v>
      </c>
      <c r="D907" s="77">
        <v>2</v>
      </c>
      <c r="E907" s="77">
        <v>12219</v>
      </c>
      <c r="F907" s="77">
        <v>10</v>
      </c>
    </row>
    <row r="908" spans="1:6" x14ac:dyDescent="0.25">
      <c r="A908" s="77">
        <v>10905</v>
      </c>
      <c r="B908" s="77">
        <v>6</v>
      </c>
      <c r="C908" s="77">
        <v>2</v>
      </c>
      <c r="D908" s="77">
        <v>2</v>
      </c>
      <c r="E908" s="77">
        <v>12220</v>
      </c>
      <c r="F908" s="77">
        <v>10</v>
      </c>
    </row>
    <row r="909" spans="1:6" x14ac:dyDescent="0.25">
      <c r="A909" s="77">
        <v>10906</v>
      </c>
      <c r="B909" s="77">
        <v>6</v>
      </c>
      <c r="C909" s="77">
        <v>2</v>
      </c>
      <c r="D909" s="77">
        <v>2</v>
      </c>
      <c r="E909" s="77">
        <v>12221</v>
      </c>
      <c r="F909" s="77">
        <v>10</v>
      </c>
    </row>
    <row r="910" spans="1:6" x14ac:dyDescent="0.25">
      <c r="A910" s="77">
        <v>10907</v>
      </c>
      <c r="B910" s="77">
        <v>6</v>
      </c>
      <c r="C910" s="77">
        <v>2</v>
      </c>
      <c r="D910" s="77">
        <v>2</v>
      </c>
      <c r="E910" s="77">
        <v>12222</v>
      </c>
      <c r="F910" s="77">
        <v>10</v>
      </c>
    </row>
    <row r="911" spans="1:6" x14ac:dyDescent="0.25">
      <c r="A911" s="77">
        <v>10908</v>
      </c>
      <c r="B911" s="77">
        <v>6</v>
      </c>
      <c r="C911" s="77">
        <v>2</v>
      </c>
      <c r="D911" s="77">
        <v>2</v>
      </c>
      <c r="E911" s="77">
        <v>12223</v>
      </c>
      <c r="F911" s="77">
        <v>10</v>
      </c>
    </row>
    <row r="912" spans="1:6" x14ac:dyDescent="0.25">
      <c r="A912" s="77">
        <v>10909</v>
      </c>
      <c r="B912" s="77">
        <v>6</v>
      </c>
      <c r="C912" s="77">
        <v>2</v>
      </c>
      <c r="D912" s="77">
        <v>2</v>
      </c>
      <c r="E912" s="77">
        <v>12224</v>
      </c>
      <c r="F912" s="77">
        <v>10</v>
      </c>
    </row>
    <row r="913" spans="1:6" x14ac:dyDescent="0.25">
      <c r="A913" s="77">
        <v>10910</v>
      </c>
      <c r="B913" s="77">
        <v>6</v>
      </c>
      <c r="C913" s="77">
        <v>2</v>
      </c>
      <c r="D913" s="77">
        <v>2</v>
      </c>
      <c r="E913" s="77">
        <v>12225</v>
      </c>
      <c r="F913" s="77">
        <v>10</v>
      </c>
    </row>
    <row r="914" spans="1:6" x14ac:dyDescent="0.25">
      <c r="A914" s="77">
        <v>10911</v>
      </c>
      <c r="B914" s="77">
        <v>6</v>
      </c>
      <c r="C914" s="77">
        <v>2</v>
      </c>
      <c r="D914" s="77">
        <v>2</v>
      </c>
      <c r="E914" s="77">
        <v>12226</v>
      </c>
      <c r="F914" s="77">
        <v>10</v>
      </c>
    </row>
    <row r="915" spans="1:6" x14ac:dyDescent="0.25">
      <c r="A915" s="77">
        <v>10912</v>
      </c>
      <c r="B915" s="77">
        <v>6</v>
      </c>
      <c r="C915" s="77">
        <v>2</v>
      </c>
      <c r="D915" s="77">
        <v>2</v>
      </c>
      <c r="E915" s="77">
        <v>12227</v>
      </c>
      <c r="F915" s="77">
        <v>10</v>
      </c>
    </row>
    <row r="916" spans="1:6" x14ac:dyDescent="0.25">
      <c r="A916" s="77">
        <v>10913</v>
      </c>
      <c r="B916" s="77">
        <v>6</v>
      </c>
      <c r="C916" s="77">
        <v>2</v>
      </c>
      <c r="D916" s="77">
        <v>2</v>
      </c>
      <c r="E916" s="77">
        <v>12228</v>
      </c>
      <c r="F916" s="77">
        <v>10</v>
      </c>
    </row>
    <row r="917" spans="1:6" x14ac:dyDescent="0.25">
      <c r="A917" s="77">
        <v>10914</v>
      </c>
      <c r="B917" s="77">
        <v>6</v>
      </c>
      <c r="C917" s="77">
        <v>2</v>
      </c>
      <c r="D917" s="77">
        <v>2</v>
      </c>
      <c r="E917" s="77">
        <v>12229</v>
      </c>
      <c r="F917" s="77">
        <v>10</v>
      </c>
    </row>
    <row r="918" spans="1:6" x14ac:dyDescent="0.25">
      <c r="A918" s="77">
        <v>10915</v>
      </c>
      <c r="B918" s="77">
        <v>6</v>
      </c>
      <c r="C918" s="77">
        <v>2</v>
      </c>
      <c r="D918" s="77">
        <v>2</v>
      </c>
      <c r="E918" s="77">
        <v>12230</v>
      </c>
      <c r="F918" s="77">
        <v>10</v>
      </c>
    </row>
    <row r="919" spans="1:6" x14ac:dyDescent="0.25">
      <c r="A919" s="77">
        <v>10916</v>
      </c>
      <c r="B919" s="77">
        <v>7</v>
      </c>
      <c r="C919" s="77">
        <v>2</v>
      </c>
      <c r="D919" s="77">
        <v>2</v>
      </c>
      <c r="E919" s="77">
        <v>12201</v>
      </c>
      <c r="F919" s="77">
        <v>0</v>
      </c>
    </row>
    <row r="920" spans="1:6" x14ac:dyDescent="0.25">
      <c r="A920" s="77">
        <v>10917</v>
      </c>
      <c r="B920" s="77">
        <v>7</v>
      </c>
      <c r="C920" s="77">
        <v>2</v>
      </c>
      <c r="D920" s="77">
        <v>2</v>
      </c>
      <c r="E920" s="77">
        <v>12202</v>
      </c>
      <c r="F920" s="77">
        <v>0</v>
      </c>
    </row>
    <row r="921" spans="1:6" x14ac:dyDescent="0.25">
      <c r="A921" s="77">
        <v>10918</v>
      </c>
      <c r="B921" s="77">
        <v>7</v>
      </c>
      <c r="C921" s="77">
        <v>2</v>
      </c>
      <c r="D921" s="77">
        <v>2</v>
      </c>
      <c r="E921" s="77">
        <v>12203</v>
      </c>
      <c r="F921" s="77">
        <v>0</v>
      </c>
    </row>
    <row r="922" spans="1:6" x14ac:dyDescent="0.25">
      <c r="A922" s="77">
        <v>10919</v>
      </c>
      <c r="B922" s="77">
        <v>7</v>
      </c>
      <c r="C922" s="77">
        <v>2</v>
      </c>
      <c r="D922" s="77">
        <v>2</v>
      </c>
      <c r="E922" s="77">
        <v>12204</v>
      </c>
      <c r="F922" s="77">
        <v>0</v>
      </c>
    </row>
    <row r="923" spans="1:6" x14ac:dyDescent="0.25">
      <c r="A923" s="77">
        <v>10920</v>
      </c>
      <c r="B923" s="77">
        <v>7</v>
      </c>
      <c r="C923" s="77">
        <v>2</v>
      </c>
      <c r="D923" s="77">
        <v>2</v>
      </c>
      <c r="E923" s="77">
        <v>12205</v>
      </c>
      <c r="F923" s="77">
        <v>0</v>
      </c>
    </row>
    <row r="924" spans="1:6" x14ac:dyDescent="0.25">
      <c r="A924" s="77">
        <v>10921</v>
      </c>
      <c r="B924" s="77">
        <v>7</v>
      </c>
      <c r="C924" s="77">
        <v>2</v>
      </c>
      <c r="D924" s="77">
        <v>2</v>
      </c>
      <c r="E924" s="77">
        <v>12206</v>
      </c>
      <c r="F924" s="77">
        <v>0</v>
      </c>
    </row>
    <row r="925" spans="1:6" x14ac:dyDescent="0.25">
      <c r="A925" s="77">
        <v>10922</v>
      </c>
      <c r="B925" s="77">
        <v>7</v>
      </c>
      <c r="C925" s="77">
        <v>2</v>
      </c>
      <c r="D925" s="77">
        <v>2</v>
      </c>
      <c r="E925" s="77">
        <v>12207</v>
      </c>
      <c r="F925" s="77">
        <v>0</v>
      </c>
    </row>
    <row r="926" spans="1:6" x14ac:dyDescent="0.25">
      <c r="A926" s="77">
        <v>10923</v>
      </c>
      <c r="B926" s="77">
        <v>7</v>
      </c>
      <c r="C926" s="77">
        <v>2</v>
      </c>
      <c r="D926" s="77">
        <v>2</v>
      </c>
      <c r="E926" s="77">
        <v>12208</v>
      </c>
      <c r="F926" s="77">
        <v>0</v>
      </c>
    </row>
    <row r="927" spans="1:6" x14ac:dyDescent="0.25">
      <c r="A927" s="77">
        <v>10924</v>
      </c>
      <c r="B927" s="77">
        <v>7</v>
      </c>
      <c r="C927" s="77">
        <v>2</v>
      </c>
      <c r="D927" s="77">
        <v>2</v>
      </c>
      <c r="E927" s="77">
        <v>12209</v>
      </c>
      <c r="F927" s="77">
        <v>0</v>
      </c>
    </row>
    <row r="928" spans="1:6" x14ac:dyDescent="0.25">
      <c r="A928" s="77">
        <v>10925</v>
      </c>
      <c r="B928" s="77">
        <v>7</v>
      </c>
      <c r="C928" s="77">
        <v>2</v>
      </c>
      <c r="D928" s="77">
        <v>2</v>
      </c>
      <c r="E928" s="77">
        <v>12210</v>
      </c>
      <c r="F928" s="77">
        <v>0</v>
      </c>
    </row>
    <row r="929" spans="1:6" x14ac:dyDescent="0.25">
      <c r="A929" s="77">
        <v>10926</v>
      </c>
      <c r="B929" s="77">
        <v>7</v>
      </c>
      <c r="C929" s="77">
        <v>2</v>
      </c>
      <c r="D929" s="77">
        <v>2</v>
      </c>
      <c r="E929" s="77">
        <v>12211</v>
      </c>
      <c r="F929" s="77">
        <v>0</v>
      </c>
    </row>
    <row r="930" spans="1:6" x14ac:dyDescent="0.25">
      <c r="A930" s="77">
        <v>10927</v>
      </c>
      <c r="B930" s="77">
        <v>7</v>
      </c>
      <c r="C930" s="77">
        <v>2</v>
      </c>
      <c r="D930" s="77">
        <v>2</v>
      </c>
      <c r="E930" s="77">
        <v>12212</v>
      </c>
      <c r="F930" s="77">
        <v>0</v>
      </c>
    </row>
    <row r="931" spans="1:6" x14ac:dyDescent="0.25">
      <c r="A931" s="77">
        <v>10928</v>
      </c>
      <c r="B931" s="77">
        <v>7</v>
      </c>
      <c r="C931" s="77">
        <v>2</v>
      </c>
      <c r="D931" s="77">
        <v>2</v>
      </c>
      <c r="E931" s="77">
        <v>12213</v>
      </c>
      <c r="F931" s="77">
        <v>0</v>
      </c>
    </row>
    <row r="932" spans="1:6" x14ac:dyDescent="0.25">
      <c r="A932" s="77">
        <v>10929</v>
      </c>
      <c r="B932" s="77">
        <v>7</v>
      </c>
      <c r="C932" s="77">
        <v>2</v>
      </c>
      <c r="D932" s="77">
        <v>2</v>
      </c>
      <c r="E932" s="77">
        <v>12214</v>
      </c>
      <c r="F932" s="77">
        <v>0</v>
      </c>
    </row>
    <row r="933" spans="1:6" x14ac:dyDescent="0.25">
      <c r="A933" s="77">
        <v>10930</v>
      </c>
      <c r="B933" s="77">
        <v>7</v>
      </c>
      <c r="C933" s="77">
        <v>2</v>
      </c>
      <c r="D933" s="77">
        <v>2</v>
      </c>
      <c r="E933" s="77">
        <v>12215</v>
      </c>
      <c r="F933" s="77">
        <v>0</v>
      </c>
    </row>
    <row r="934" spans="1:6" x14ac:dyDescent="0.25">
      <c r="A934" s="77">
        <v>10931</v>
      </c>
      <c r="B934" s="77">
        <v>7</v>
      </c>
      <c r="C934" s="77">
        <v>2</v>
      </c>
      <c r="D934" s="77">
        <v>2</v>
      </c>
      <c r="E934" s="77">
        <v>12216</v>
      </c>
      <c r="F934" s="77">
        <v>20</v>
      </c>
    </row>
    <row r="935" spans="1:6" x14ac:dyDescent="0.25">
      <c r="A935" s="77">
        <v>10932</v>
      </c>
      <c r="B935" s="77">
        <v>7</v>
      </c>
      <c r="C935" s="77">
        <v>2</v>
      </c>
      <c r="D935" s="77">
        <v>2</v>
      </c>
      <c r="E935" s="77">
        <v>12217</v>
      </c>
      <c r="F935" s="77">
        <v>20</v>
      </c>
    </row>
    <row r="936" spans="1:6" x14ac:dyDescent="0.25">
      <c r="A936" s="77">
        <v>10933</v>
      </c>
      <c r="B936" s="77">
        <v>7</v>
      </c>
      <c r="C936" s="77">
        <v>2</v>
      </c>
      <c r="D936" s="77">
        <v>2</v>
      </c>
      <c r="E936" s="77">
        <v>12218</v>
      </c>
      <c r="F936" s="77">
        <v>20</v>
      </c>
    </row>
    <row r="937" spans="1:6" x14ac:dyDescent="0.25">
      <c r="A937" s="77">
        <v>10934</v>
      </c>
      <c r="B937" s="77">
        <v>7</v>
      </c>
      <c r="C937" s="77">
        <v>2</v>
      </c>
      <c r="D937" s="77">
        <v>2</v>
      </c>
      <c r="E937" s="77">
        <v>12219</v>
      </c>
      <c r="F937" s="77">
        <v>20</v>
      </c>
    </row>
    <row r="938" spans="1:6" x14ac:dyDescent="0.25">
      <c r="A938" s="77">
        <v>10935</v>
      </c>
      <c r="B938" s="77">
        <v>7</v>
      </c>
      <c r="C938" s="77">
        <v>2</v>
      </c>
      <c r="D938" s="77">
        <v>2</v>
      </c>
      <c r="E938" s="77">
        <v>12220</v>
      </c>
      <c r="F938" s="77">
        <v>20</v>
      </c>
    </row>
    <row r="939" spans="1:6" x14ac:dyDescent="0.25">
      <c r="A939" s="77">
        <v>10936</v>
      </c>
      <c r="B939" s="77">
        <v>7</v>
      </c>
      <c r="C939" s="77">
        <v>2</v>
      </c>
      <c r="D939" s="77">
        <v>2</v>
      </c>
      <c r="E939" s="77">
        <v>12221</v>
      </c>
      <c r="F939" s="77">
        <v>20</v>
      </c>
    </row>
    <row r="940" spans="1:6" x14ac:dyDescent="0.25">
      <c r="A940" s="77">
        <v>10937</v>
      </c>
      <c r="B940" s="77">
        <v>7</v>
      </c>
      <c r="C940" s="77">
        <v>2</v>
      </c>
      <c r="D940" s="77">
        <v>2</v>
      </c>
      <c r="E940" s="77">
        <v>12222</v>
      </c>
      <c r="F940" s="77">
        <v>20</v>
      </c>
    </row>
    <row r="941" spans="1:6" x14ac:dyDescent="0.25">
      <c r="A941" s="77">
        <v>10938</v>
      </c>
      <c r="B941" s="77">
        <v>7</v>
      </c>
      <c r="C941" s="77">
        <v>2</v>
      </c>
      <c r="D941" s="77">
        <v>2</v>
      </c>
      <c r="E941" s="77">
        <v>12223</v>
      </c>
      <c r="F941" s="77">
        <v>20</v>
      </c>
    </row>
    <row r="942" spans="1:6" x14ac:dyDescent="0.25">
      <c r="A942" s="77">
        <v>10939</v>
      </c>
      <c r="B942" s="77">
        <v>7</v>
      </c>
      <c r="C942" s="77">
        <v>2</v>
      </c>
      <c r="D942" s="77">
        <v>2</v>
      </c>
      <c r="E942" s="77">
        <v>12224</v>
      </c>
      <c r="F942" s="77">
        <v>20</v>
      </c>
    </row>
    <row r="943" spans="1:6" x14ac:dyDescent="0.25">
      <c r="A943" s="77">
        <v>10940</v>
      </c>
      <c r="B943" s="77">
        <v>7</v>
      </c>
      <c r="C943" s="77">
        <v>2</v>
      </c>
      <c r="D943" s="77">
        <v>2</v>
      </c>
      <c r="E943" s="77">
        <v>12225</v>
      </c>
      <c r="F943" s="77">
        <v>20</v>
      </c>
    </row>
    <row r="944" spans="1:6" x14ac:dyDescent="0.25">
      <c r="A944" s="77">
        <v>10941</v>
      </c>
      <c r="B944" s="77">
        <v>7</v>
      </c>
      <c r="C944" s="77">
        <v>2</v>
      </c>
      <c r="D944" s="77">
        <v>2</v>
      </c>
      <c r="E944" s="77">
        <v>12226</v>
      </c>
      <c r="F944" s="77">
        <v>20</v>
      </c>
    </row>
    <row r="945" spans="1:6" x14ac:dyDescent="0.25">
      <c r="A945" s="77">
        <v>10942</v>
      </c>
      <c r="B945" s="77">
        <v>7</v>
      </c>
      <c r="C945" s="77">
        <v>2</v>
      </c>
      <c r="D945" s="77">
        <v>2</v>
      </c>
      <c r="E945" s="77">
        <v>12227</v>
      </c>
      <c r="F945" s="77">
        <v>20</v>
      </c>
    </row>
    <row r="946" spans="1:6" x14ac:dyDescent="0.25">
      <c r="A946" s="77">
        <v>10943</v>
      </c>
      <c r="B946" s="77">
        <v>7</v>
      </c>
      <c r="C946" s="77">
        <v>2</v>
      </c>
      <c r="D946" s="77">
        <v>2</v>
      </c>
      <c r="E946" s="77">
        <v>12228</v>
      </c>
      <c r="F946" s="77">
        <v>20</v>
      </c>
    </row>
    <row r="947" spans="1:6" x14ac:dyDescent="0.25">
      <c r="A947" s="77">
        <v>10944</v>
      </c>
      <c r="B947" s="77">
        <v>7</v>
      </c>
      <c r="C947" s="77">
        <v>2</v>
      </c>
      <c r="D947" s="77">
        <v>2</v>
      </c>
      <c r="E947" s="77">
        <v>12229</v>
      </c>
      <c r="F947" s="77">
        <v>20</v>
      </c>
    </row>
    <row r="948" spans="1:6" x14ac:dyDescent="0.25">
      <c r="A948" s="77">
        <v>10945</v>
      </c>
      <c r="B948" s="77">
        <v>7</v>
      </c>
      <c r="C948" s="77">
        <v>2</v>
      </c>
      <c r="D948" s="77">
        <v>2</v>
      </c>
      <c r="E948" s="77">
        <v>12230</v>
      </c>
      <c r="F948" s="77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 zoomScale="100" zoomScaleNormal="100">
      <pane xSplit="1" ySplit="3" topLeftCell="B4" activePane="bottomRight" state="frozen"/>
      <selection pane="bottomRight" activeCell="L63" sqref="L63"/>
    </sheetView>
  </sheetViews>
  <sheetFormatPr defaultRowHeight="12.75" outlineLevelRow="0" outlineLevelCol="4" x14ac:dyDescent="0" defaultColWidth="9" customHeight="1"/>
  <cols>
    <col min="1" max="1" width="7.5" style="77" customWidth="1"/>
    <col min="2" max="2" width="11.0833333333333" style="77" customWidth="1"/>
    <col min="3" max="3" width="12.5" style="77" customWidth="1"/>
    <col min="4" max="4" width="15.0833333333333" style="77" customWidth="1"/>
    <col min="5" max="5" width="11.5" style="77" customWidth="1"/>
    <col min="6" max="16384" width="9" style="77" customWidth="1"/>
  </cols>
  <sheetData>
    <row r="1" ht="54" customHeight="1" spans="1:5" x14ac:dyDescent="0.25">
      <c r="A1" s="78" t="s">
        <v>1774</v>
      </c>
      <c r="B1" s="78" t="s">
        <v>1784</v>
      </c>
      <c r="C1" s="78" t="s">
        <v>1776</v>
      </c>
      <c r="D1" s="78" t="s">
        <v>1777</v>
      </c>
      <c r="E1" s="78" t="s">
        <v>1785</v>
      </c>
    </row>
    <row r="2" ht="15.75" customHeight="1" spans="1:5" x14ac:dyDescent="0.25">
      <c r="A2" s="77" t="s">
        <v>1385</v>
      </c>
      <c r="B2" s="77" t="s">
        <v>1779</v>
      </c>
      <c r="C2" s="77" t="s">
        <v>1780</v>
      </c>
      <c r="D2" s="77" t="s">
        <v>1781</v>
      </c>
      <c r="E2" s="77" t="s">
        <v>1786</v>
      </c>
    </row>
    <row r="3" spans="1:5" x14ac:dyDescent="0.25">
      <c r="A3" s="77" t="s">
        <v>78</v>
      </c>
      <c r="B3" s="77" t="s">
        <v>78</v>
      </c>
      <c r="C3" s="77" t="s">
        <v>78</v>
      </c>
      <c r="D3" s="77" t="s">
        <v>78</v>
      </c>
      <c r="E3" s="77" t="s">
        <v>78</v>
      </c>
    </row>
    <row r="4" spans="1:5" s="77" customFormat="1" x14ac:dyDescent="0.25">
      <c r="A4" s="79">
        <v>10001</v>
      </c>
      <c r="B4" s="79">
        <v>1</v>
      </c>
      <c r="C4" s="79">
        <v>1</v>
      </c>
      <c r="D4" s="81">
        <v>1</v>
      </c>
      <c r="E4" s="79">
        <v>2</v>
      </c>
    </row>
    <row r="5" spans="1:5" s="77" customFormat="1" x14ac:dyDescent="0.25">
      <c r="A5" s="79">
        <v>10002</v>
      </c>
      <c r="B5" s="79">
        <v>1</v>
      </c>
      <c r="C5" s="79">
        <v>1</v>
      </c>
      <c r="D5" s="81">
        <v>2</v>
      </c>
      <c r="E5" s="79">
        <v>2</v>
      </c>
    </row>
    <row r="6" spans="1:5" s="77" customFormat="1" x14ac:dyDescent="0.25">
      <c r="A6" s="79">
        <v>10003</v>
      </c>
      <c r="B6" s="79">
        <v>1</v>
      </c>
      <c r="C6" s="79">
        <v>1</v>
      </c>
      <c r="D6" s="81">
        <v>3</v>
      </c>
      <c r="E6" s="79">
        <v>2</v>
      </c>
    </row>
    <row r="7" spans="1:5" s="77" customFormat="1" x14ac:dyDescent="0.25">
      <c r="A7" s="79">
        <v>10004</v>
      </c>
      <c r="B7" s="79">
        <v>2</v>
      </c>
      <c r="C7" s="79">
        <v>1</v>
      </c>
      <c r="D7" s="81">
        <v>1</v>
      </c>
      <c r="E7" s="79">
        <v>2</v>
      </c>
    </row>
    <row r="8" spans="1:5" s="77" customFormat="1" x14ac:dyDescent="0.25">
      <c r="A8" s="79">
        <v>10005</v>
      </c>
      <c r="B8" s="79">
        <v>2</v>
      </c>
      <c r="C8" s="79">
        <v>1</v>
      </c>
      <c r="D8" s="81">
        <v>2</v>
      </c>
      <c r="E8" s="79">
        <v>2</v>
      </c>
    </row>
    <row r="9" spans="1:5" s="77" customFormat="1" x14ac:dyDescent="0.25">
      <c r="A9" s="79">
        <v>10006</v>
      </c>
      <c r="B9" s="79">
        <v>2</v>
      </c>
      <c r="C9" s="79">
        <v>1</v>
      </c>
      <c r="D9" s="81">
        <v>3</v>
      </c>
      <c r="E9" s="79">
        <v>2</v>
      </c>
    </row>
    <row r="10" spans="1:5" s="77" customFormat="1" x14ac:dyDescent="0.25">
      <c r="A10" s="79">
        <v>10007</v>
      </c>
      <c r="B10" s="79">
        <v>3</v>
      </c>
      <c r="C10" s="79">
        <v>1</v>
      </c>
      <c r="D10" s="81">
        <v>1</v>
      </c>
      <c r="E10" s="79">
        <v>2</v>
      </c>
    </row>
    <row r="11" spans="1:5" s="77" customFormat="1" x14ac:dyDescent="0.25">
      <c r="A11" s="79">
        <v>10008</v>
      </c>
      <c r="B11" s="79">
        <v>3</v>
      </c>
      <c r="C11" s="79">
        <v>1</v>
      </c>
      <c r="D11" s="81">
        <v>2</v>
      </c>
      <c r="E11" s="79">
        <v>2</v>
      </c>
    </row>
    <row r="12" spans="1:5" s="77" customFormat="1" x14ac:dyDescent="0.25">
      <c r="A12" s="79">
        <v>10009</v>
      </c>
      <c r="B12" s="79">
        <v>3</v>
      </c>
      <c r="C12" s="79">
        <v>1</v>
      </c>
      <c r="D12" s="81">
        <v>3</v>
      </c>
      <c r="E12" s="79">
        <v>2</v>
      </c>
    </row>
    <row r="13" spans="1:5" s="77" customFormat="1" x14ac:dyDescent="0.25">
      <c r="A13" s="79">
        <v>10010</v>
      </c>
      <c r="B13" s="79">
        <v>4</v>
      </c>
      <c r="C13" s="79">
        <v>1</v>
      </c>
      <c r="D13" s="81">
        <v>1</v>
      </c>
      <c r="E13" s="79">
        <v>2</v>
      </c>
    </row>
    <row r="14" spans="1:5" s="77" customFormat="1" x14ac:dyDescent="0.25">
      <c r="A14" s="79">
        <v>10011</v>
      </c>
      <c r="B14" s="79">
        <v>4</v>
      </c>
      <c r="C14" s="79">
        <v>1</v>
      </c>
      <c r="D14" s="81">
        <v>2</v>
      </c>
      <c r="E14" s="79">
        <v>2</v>
      </c>
    </row>
    <row r="15" spans="1:5" s="77" customFormat="1" x14ac:dyDescent="0.25">
      <c r="A15" s="79">
        <v>10012</v>
      </c>
      <c r="B15" s="79">
        <v>4</v>
      </c>
      <c r="C15" s="79">
        <v>1</v>
      </c>
      <c r="D15" s="81">
        <v>3</v>
      </c>
      <c r="E15" s="79">
        <v>2</v>
      </c>
    </row>
    <row r="16" spans="1:5" s="77" customFormat="1" x14ac:dyDescent="0.25">
      <c r="A16" s="79">
        <v>10013</v>
      </c>
      <c r="B16" s="79">
        <v>5</v>
      </c>
      <c r="C16" s="79">
        <v>1</v>
      </c>
      <c r="D16" s="81">
        <v>1</v>
      </c>
      <c r="E16" s="79">
        <v>3</v>
      </c>
    </row>
    <row r="17" spans="1:5" s="77" customFormat="1" x14ac:dyDescent="0.25">
      <c r="A17" s="79">
        <v>10014</v>
      </c>
      <c r="B17" s="79">
        <v>5</v>
      </c>
      <c r="C17" s="79">
        <v>1</v>
      </c>
      <c r="D17" s="81">
        <v>2</v>
      </c>
      <c r="E17" s="79">
        <v>3</v>
      </c>
    </row>
    <row r="18" spans="1:5" s="77" customFormat="1" x14ac:dyDescent="0.25">
      <c r="A18" s="79">
        <v>10015</v>
      </c>
      <c r="B18" s="79">
        <v>5</v>
      </c>
      <c r="C18" s="79">
        <v>1</v>
      </c>
      <c r="D18" s="81">
        <v>3</v>
      </c>
      <c r="E18" s="79">
        <v>3</v>
      </c>
    </row>
    <row r="19" spans="1:5" s="77" customFormat="1" x14ac:dyDescent="0.25">
      <c r="A19" s="79">
        <v>10016</v>
      </c>
      <c r="B19" s="79">
        <v>6</v>
      </c>
      <c r="C19" s="79">
        <v>1</v>
      </c>
      <c r="D19" s="81">
        <v>1</v>
      </c>
      <c r="E19" s="79">
        <v>4</v>
      </c>
    </row>
    <row r="20" spans="1:5" s="77" customFormat="1" x14ac:dyDescent="0.25">
      <c r="A20" s="79">
        <v>10017</v>
      </c>
      <c r="B20" s="79">
        <v>6</v>
      </c>
      <c r="C20" s="79">
        <v>1</v>
      </c>
      <c r="D20" s="81">
        <v>2</v>
      </c>
      <c r="E20" s="79">
        <v>4</v>
      </c>
    </row>
    <row r="21" spans="1:5" s="77" customFormat="1" x14ac:dyDescent="0.25">
      <c r="A21" s="79">
        <v>10018</v>
      </c>
      <c r="B21" s="79">
        <v>6</v>
      </c>
      <c r="C21" s="79">
        <v>1</v>
      </c>
      <c r="D21" s="81">
        <v>3</v>
      </c>
      <c r="E21" s="79">
        <v>4</v>
      </c>
    </row>
    <row r="22" spans="1:5" s="77" customFormat="1" x14ac:dyDescent="0.25">
      <c r="A22" s="79">
        <v>10019</v>
      </c>
      <c r="B22" s="79">
        <v>7</v>
      </c>
      <c r="C22" s="79">
        <v>1</v>
      </c>
      <c r="D22" s="81">
        <v>1</v>
      </c>
      <c r="E22" s="79">
        <v>4</v>
      </c>
    </row>
    <row r="23" spans="1:5" s="77" customFormat="1" x14ac:dyDescent="0.25">
      <c r="A23" s="79">
        <v>10020</v>
      </c>
      <c r="B23" s="79">
        <v>7</v>
      </c>
      <c r="C23" s="79">
        <v>1</v>
      </c>
      <c r="D23" s="81">
        <v>2</v>
      </c>
      <c r="E23" s="79">
        <v>4</v>
      </c>
    </row>
    <row r="24" spans="1:5" s="77" customFormat="1" x14ac:dyDescent="0.25">
      <c r="A24" s="79">
        <v>10021</v>
      </c>
      <c r="B24" s="79">
        <v>7</v>
      </c>
      <c r="C24" s="79">
        <v>1</v>
      </c>
      <c r="D24" s="81">
        <v>3</v>
      </c>
      <c r="E24" s="79">
        <v>4</v>
      </c>
    </row>
    <row r="25" spans="1:5" x14ac:dyDescent="0.25">
      <c r="A25" s="77">
        <v>10022</v>
      </c>
      <c r="B25" s="77">
        <v>1</v>
      </c>
      <c r="C25" s="77">
        <v>2</v>
      </c>
      <c r="D25" s="77">
        <v>1</v>
      </c>
      <c r="E25" s="77">
        <v>2</v>
      </c>
    </row>
    <row r="26" spans="1:5" x14ac:dyDescent="0.25">
      <c r="A26" s="77">
        <v>10023</v>
      </c>
      <c r="B26" s="77">
        <v>2</v>
      </c>
      <c r="C26" s="77">
        <v>2</v>
      </c>
      <c r="D26" s="77">
        <v>1</v>
      </c>
      <c r="E26" s="77">
        <v>2</v>
      </c>
    </row>
    <row r="27" spans="1:5" x14ac:dyDescent="0.25">
      <c r="A27" s="77">
        <v>10024</v>
      </c>
      <c r="B27" s="77">
        <v>3</v>
      </c>
      <c r="C27" s="77">
        <v>2</v>
      </c>
      <c r="D27" s="77">
        <v>1</v>
      </c>
      <c r="E27" s="77">
        <v>2</v>
      </c>
    </row>
    <row r="28" spans="1:5" x14ac:dyDescent="0.25">
      <c r="A28" s="77">
        <v>10025</v>
      </c>
      <c r="B28" s="77">
        <v>4</v>
      </c>
      <c r="C28" s="77">
        <v>2</v>
      </c>
      <c r="D28" s="77">
        <v>1</v>
      </c>
      <c r="E28" s="77">
        <v>2</v>
      </c>
    </row>
    <row r="29" spans="1:5" x14ac:dyDescent="0.25">
      <c r="A29" s="77">
        <v>10026</v>
      </c>
      <c r="B29" s="77">
        <v>5</v>
      </c>
      <c r="C29" s="77">
        <v>2</v>
      </c>
      <c r="D29" s="77">
        <v>1</v>
      </c>
      <c r="E29" s="77">
        <v>2</v>
      </c>
    </row>
    <row r="30" spans="1:5" x14ac:dyDescent="0.25">
      <c r="A30" s="77">
        <v>10027</v>
      </c>
      <c r="B30" s="77">
        <v>6</v>
      </c>
      <c r="C30" s="77">
        <v>2</v>
      </c>
      <c r="D30" s="77">
        <v>1</v>
      </c>
      <c r="E30" s="77">
        <v>2</v>
      </c>
    </row>
    <row r="31" spans="1:5" x14ac:dyDescent="0.25">
      <c r="A31" s="77">
        <v>10028</v>
      </c>
      <c r="B31" s="77">
        <v>7</v>
      </c>
      <c r="C31" s="77">
        <v>2</v>
      </c>
      <c r="D31" s="77">
        <v>1</v>
      </c>
      <c r="E31" s="77">
        <v>2</v>
      </c>
    </row>
    <row r="32" spans="1:5" x14ac:dyDescent="0.25">
      <c r="A32" s="77">
        <v>10029</v>
      </c>
      <c r="B32" s="77">
        <v>1</v>
      </c>
      <c r="C32" s="77">
        <v>2</v>
      </c>
      <c r="D32" s="77">
        <v>2</v>
      </c>
      <c r="E32" s="77">
        <v>2</v>
      </c>
    </row>
    <row r="33" spans="1:5" x14ac:dyDescent="0.25">
      <c r="A33" s="77">
        <v>10030</v>
      </c>
      <c r="B33" s="77">
        <v>2</v>
      </c>
      <c r="C33" s="77">
        <v>2</v>
      </c>
      <c r="D33" s="77">
        <v>2</v>
      </c>
      <c r="E33" s="77">
        <v>2</v>
      </c>
    </row>
    <row r="34" spans="1:5" x14ac:dyDescent="0.25">
      <c r="A34" s="77">
        <v>10031</v>
      </c>
      <c r="B34" s="77">
        <v>3</v>
      </c>
      <c r="C34" s="77">
        <v>2</v>
      </c>
      <c r="D34" s="77">
        <v>2</v>
      </c>
      <c r="E34" s="77">
        <v>2</v>
      </c>
    </row>
    <row r="35" spans="1:5" x14ac:dyDescent="0.25">
      <c r="A35" s="77">
        <v>10032</v>
      </c>
      <c r="B35" s="77">
        <v>4</v>
      </c>
      <c r="C35" s="77">
        <v>2</v>
      </c>
      <c r="D35" s="77">
        <v>2</v>
      </c>
      <c r="E35" s="77">
        <v>2</v>
      </c>
    </row>
    <row r="36" spans="1:5" x14ac:dyDescent="0.25">
      <c r="A36" s="77">
        <v>10033</v>
      </c>
      <c r="B36" s="77">
        <v>5</v>
      </c>
      <c r="C36" s="77">
        <v>2</v>
      </c>
      <c r="D36" s="77">
        <v>2</v>
      </c>
      <c r="E36" s="77">
        <v>2</v>
      </c>
    </row>
    <row r="37" spans="1:5" x14ac:dyDescent="0.25">
      <c r="A37" s="77">
        <v>10034</v>
      </c>
      <c r="B37" s="77">
        <v>6</v>
      </c>
      <c r="C37" s="77">
        <v>2</v>
      </c>
      <c r="D37" s="77">
        <v>2</v>
      </c>
      <c r="E37" s="77">
        <v>2</v>
      </c>
    </row>
    <row r="38" spans="1:5" x14ac:dyDescent="0.25">
      <c r="A38" s="77">
        <v>10035</v>
      </c>
      <c r="B38" s="77">
        <v>7</v>
      </c>
      <c r="C38" s="77">
        <v>2</v>
      </c>
      <c r="D38" s="77">
        <v>2</v>
      </c>
      <c r="E38" s="77">
        <v>2</v>
      </c>
    </row>
  </sheetData>
  <pageMargins left="0.7" right="0.7" top="0.75" bottom="0.75" header="0.3" footer="0.3"/>
  <pageSetup paperSize="9" orientation="portrait" horizontalDpi="300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48"/>
  <sheetViews>
    <sheetView workbookViewId="0" zoomScale="100" zoomScaleNormal="100">
      <pane xSplit="1" ySplit="3" topLeftCell="B4" activePane="bottomRight" state="frozen"/>
      <selection pane="bottomRight" activeCell="F24" sqref="F24"/>
    </sheetView>
  </sheetViews>
  <sheetFormatPr defaultRowHeight="14.25" outlineLevelRow="0" outlineLevelCol="0" x14ac:dyDescent="0" defaultColWidth="9" customHeight="1"/>
  <cols>
    <col min="1" max="1" width="7.5" style="77" customWidth="1"/>
    <col min="2" max="2" width="11.0833333333333" style="77" customWidth="1"/>
    <col min="3" max="3" width="12.5" style="77" customWidth="1"/>
    <col min="4" max="4" width="14.5" style="77" customWidth="1"/>
    <col min="5" max="5" width="13" style="77" customWidth="1"/>
    <col min="6" max="6" width="9.08333333333333" style="77" customWidth="1"/>
  </cols>
  <sheetData>
    <row r="1" spans="1:6" x14ac:dyDescent="0.25">
      <c r="A1" s="78" t="s">
        <v>1774</v>
      </c>
      <c r="B1" s="78" t="s">
        <v>1775</v>
      </c>
      <c r="C1" s="78" t="s">
        <v>1776</v>
      </c>
      <c r="D1" s="78" t="s">
        <v>1777</v>
      </c>
      <c r="E1" s="78" t="s">
        <v>0</v>
      </c>
      <c r="F1" s="78" t="s">
        <v>1778</v>
      </c>
    </row>
    <row r="2" spans="1:6" x14ac:dyDescent="0.25">
      <c r="A2" s="77" t="s">
        <v>1385</v>
      </c>
      <c r="B2" s="77" t="s">
        <v>1779</v>
      </c>
      <c r="C2" s="77" t="s">
        <v>1780</v>
      </c>
      <c r="D2" s="77" t="s">
        <v>1781</v>
      </c>
      <c r="E2" s="77" t="s">
        <v>1782</v>
      </c>
      <c r="F2" s="77" t="s">
        <v>1783</v>
      </c>
    </row>
    <row r="3" spans="1:6" x14ac:dyDescent="0.25">
      <c r="A3" s="77" t="s">
        <v>78</v>
      </c>
      <c r="B3" s="77" t="s">
        <v>78</v>
      </c>
      <c r="C3" s="77" t="s">
        <v>78</v>
      </c>
      <c r="D3" s="77" t="s">
        <v>78</v>
      </c>
      <c r="E3" s="77" t="s">
        <v>78</v>
      </c>
      <c r="F3" s="77" t="s">
        <v>78</v>
      </c>
    </row>
    <row r="4" spans="1:17" x14ac:dyDescent="0.25">
      <c r="A4" s="79">
        <v>10001</v>
      </c>
      <c r="B4" s="79">
        <v>1</v>
      </c>
      <c r="C4" s="79">
        <v>1</v>
      </c>
      <c r="D4" s="79">
        <v>1</v>
      </c>
      <c r="E4" s="19">
        <v>11101</v>
      </c>
      <c r="F4" s="79">
        <f>VLOOKUP(RIGHT(E4,2)*1,$J$4:$Q$29,B4+1,0)</f>
        <v>10</v>
      </c>
      <c r="K4">
        <v>1</v>
      </c>
      <c r="L4">
        <v>2</v>
      </c>
      <c r="M4">
        <v>3</v>
      </c>
      <c r="N4">
        <v>4</v>
      </c>
      <c r="O4">
        <v>5</v>
      </c>
      <c r="P4">
        <v>6</v>
      </c>
      <c r="Q4">
        <v>7</v>
      </c>
    </row>
    <row r="5" spans="1:12" x14ac:dyDescent="0.25">
      <c r="A5" s="79">
        <v>10002</v>
      </c>
      <c r="B5" s="79">
        <v>1</v>
      </c>
      <c r="C5" s="79">
        <v>1</v>
      </c>
      <c r="D5" s="79">
        <v>1</v>
      </c>
      <c r="E5" s="19">
        <v>11102</v>
      </c>
      <c r="F5" s="79">
        <f t="shared" ref="F5:F68" si="0">VLOOKUP(RIGHT(E5,2)*1,$J$4:$Q$29,B5+1,0)</f>
        <v>10</v>
      </c>
      <c r="H5">
        <f>7*3*25</f>
        <v>525</v>
      </c>
      <c r="J5">
        <v>1</v>
      </c>
      <c r="K5">
        <v>10</v>
      </c>
      <c r="L5">
        <v>10</v>
      </c>
    </row>
    <row r="6" spans="1:12" x14ac:dyDescent="0.25">
      <c r="A6" s="79">
        <v>10003</v>
      </c>
      <c r="B6" s="79">
        <v>1</v>
      </c>
      <c r="C6" s="79">
        <v>1</v>
      </c>
      <c r="D6" s="79">
        <v>1</v>
      </c>
      <c r="E6" s="19">
        <v>11103</v>
      </c>
      <c r="F6" s="79">
        <f t="shared" si="0"/>
        <v>10</v>
      </c>
      <c r="J6">
        <v>2</v>
      </c>
      <c r="K6">
        <v>10</v>
      </c>
      <c r="L6">
        <v>10</v>
      </c>
    </row>
    <row r="7" spans="1:12" x14ac:dyDescent="0.25">
      <c r="A7" s="79">
        <v>10004</v>
      </c>
      <c r="B7" s="79">
        <v>1</v>
      </c>
      <c r="C7" s="79">
        <v>1</v>
      </c>
      <c r="D7" s="79">
        <v>1</v>
      </c>
      <c r="E7" s="19">
        <v>11104</v>
      </c>
      <c r="F7" s="79">
        <f t="shared" si="0"/>
        <v>10</v>
      </c>
      <c r="J7">
        <v>3</v>
      </c>
      <c r="K7">
        <v>10</v>
      </c>
      <c r="L7">
        <v>10</v>
      </c>
    </row>
    <row r="8" spans="1:12" x14ac:dyDescent="0.25">
      <c r="A8" s="79">
        <v>10005</v>
      </c>
      <c r="B8" s="79">
        <v>1</v>
      </c>
      <c r="C8" s="79">
        <v>1</v>
      </c>
      <c r="D8" s="79">
        <v>1</v>
      </c>
      <c r="E8" s="19">
        <v>11105</v>
      </c>
      <c r="F8" s="79">
        <f t="shared" si="0"/>
        <v>10</v>
      </c>
      <c r="J8">
        <v>4</v>
      </c>
      <c r="K8">
        <v>10</v>
      </c>
      <c r="L8">
        <v>10</v>
      </c>
    </row>
    <row r="9" spans="1:12" x14ac:dyDescent="0.25">
      <c r="A9" s="79">
        <v>10006</v>
      </c>
      <c r="B9" s="79">
        <v>1</v>
      </c>
      <c r="C9" s="79">
        <v>1</v>
      </c>
      <c r="D9" s="79">
        <v>1</v>
      </c>
      <c r="E9" s="19">
        <v>11106</v>
      </c>
      <c r="F9" s="79">
        <f t="shared" si="0"/>
        <v>10</v>
      </c>
      <c r="J9">
        <v>5</v>
      </c>
      <c r="K9">
        <v>10</v>
      </c>
      <c r="L9">
        <v>10</v>
      </c>
    </row>
    <row r="10" spans="1:12" x14ac:dyDescent="0.25">
      <c r="A10" s="79">
        <v>10007</v>
      </c>
      <c r="B10" s="79">
        <v>1</v>
      </c>
      <c r="C10" s="79">
        <v>1</v>
      </c>
      <c r="D10" s="79">
        <v>1</v>
      </c>
      <c r="E10" s="19">
        <v>11107</v>
      </c>
      <c r="F10" s="79">
        <f t="shared" si="0"/>
        <v>10</v>
      </c>
      <c r="J10">
        <v>6</v>
      </c>
      <c r="K10">
        <v>10</v>
      </c>
      <c r="L10">
        <v>10</v>
      </c>
    </row>
    <row r="11" spans="1:12" x14ac:dyDescent="0.25">
      <c r="A11" s="79">
        <v>10008</v>
      </c>
      <c r="B11" s="79">
        <v>1</v>
      </c>
      <c r="C11" s="79">
        <v>1</v>
      </c>
      <c r="D11" s="79">
        <v>1</v>
      </c>
      <c r="E11" s="19">
        <v>11108</v>
      </c>
      <c r="F11" s="79">
        <f t="shared" si="0"/>
        <v>10</v>
      </c>
      <c r="J11">
        <v>7</v>
      </c>
      <c r="K11">
        <v>10</v>
      </c>
      <c r="L11">
        <v>10</v>
      </c>
    </row>
    <row r="12" spans="1:12" x14ac:dyDescent="0.25">
      <c r="A12" s="79">
        <v>10009</v>
      </c>
      <c r="B12" s="79">
        <v>1</v>
      </c>
      <c r="C12" s="79">
        <v>1</v>
      </c>
      <c r="D12" s="79">
        <v>1</v>
      </c>
      <c r="E12" s="19">
        <v>11109</v>
      </c>
      <c r="F12" s="79">
        <f t="shared" si="0"/>
        <v>10</v>
      </c>
      <c r="J12">
        <v>8</v>
      </c>
      <c r="K12">
        <v>10</v>
      </c>
      <c r="L12">
        <v>10</v>
      </c>
    </row>
    <row r="13" spans="1:12" x14ac:dyDescent="0.25">
      <c r="A13" s="79">
        <v>10010</v>
      </c>
      <c r="B13" s="79">
        <v>1</v>
      </c>
      <c r="C13" s="79">
        <v>1</v>
      </c>
      <c r="D13" s="79">
        <v>1</v>
      </c>
      <c r="E13" s="19">
        <v>11110</v>
      </c>
      <c r="F13" s="79">
        <f t="shared" si="0"/>
        <v>10</v>
      </c>
      <c r="J13">
        <v>9</v>
      </c>
      <c r="K13">
        <v>10</v>
      </c>
      <c r="L13">
        <v>10</v>
      </c>
    </row>
    <row r="14" spans="1:12" x14ac:dyDescent="0.25">
      <c r="A14" s="79">
        <v>10011</v>
      </c>
      <c r="B14" s="79">
        <v>1</v>
      </c>
      <c r="C14" s="79">
        <v>1</v>
      </c>
      <c r="D14" s="79">
        <v>1</v>
      </c>
      <c r="E14" s="19">
        <v>11111</v>
      </c>
      <c r="F14" s="79">
        <f t="shared" si="0"/>
        <v>10</v>
      </c>
      <c r="J14">
        <v>10</v>
      </c>
      <c r="K14">
        <v>10</v>
      </c>
      <c r="L14">
        <v>10</v>
      </c>
    </row>
    <row r="15" spans="1:13" x14ac:dyDescent="0.25">
      <c r="A15" s="79">
        <v>10012</v>
      </c>
      <c r="B15" s="79">
        <v>1</v>
      </c>
      <c r="C15" s="79">
        <v>1</v>
      </c>
      <c r="D15" s="79">
        <v>1</v>
      </c>
      <c r="E15" s="19">
        <v>11112</v>
      </c>
      <c r="F15" s="79">
        <f t="shared" si="0"/>
        <v>10</v>
      </c>
      <c r="J15">
        <v>11</v>
      </c>
      <c r="K15">
        <v>10</v>
      </c>
      <c r="L15">
        <v>10</v>
      </c>
      <c r="M15">
        <v>10</v>
      </c>
    </row>
    <row r="16" spans="1:13" x14ac:dyDescent="0.25">
      <c r="A16" s="79">
        <v>10013</v>
      </c>
      <c r="B16" s="79">
        <v>1</v>
      </c>
      <c r="C16" s="79">
        <v>1</v>
      </c>
      <c r="D16" s="79">
        <v>1</v>
      </c>
      <c r="E16" s="19">
        <v>11113</v>
      </c>
      <c r="F16" s="79">
        <f t="shared" si="0"/>
        <v>10</v>
      </c>
      <c r="J16">
        <v>12</v>
      </c>
      <c r="K16">
        <v>10</v>
      </c>
      <c r="L16">
        <v>10</v>
      </c>
      <c r="M16">
        <v>10</v>
      </c>
    </row>
    <row r="17" spans="1:13" x14ac:dyDescent="0.25">
      <c r="A17" s="79">
        <v>10014</v>
      </c>
      <c r="B17" s="79">
        <v>1</v>
      </c>
      <c r="C17" s="79">
        <v>1</v>
      </c>
      <c r="D17" s="79">
        <v>1</v>
      </c>
      <c r="E17" s="19">
        <v>11114</v>
      </c>
      <c r="F17" s="79">
        <f t="shared" si="0"/>
        <v>10</v>
      </c>
      <c r="J17">
        <v>13</v>
      </c>
      <c r="K17">
        <v>10</v>
      </c>
      <c r="L17">
        <v>10</v>
      </c>
      <c r="M17">
        <v>10</v>
      </c>
    </row>
    <row r="18" spans="1:13" x14ac:dyDescent="0.25">
      <c r="A18" s="79">
        <v>10015</v>
      </c>
      <c r="B18" s="79">
        <v>1</v>
      </c>
      <c r="C18" s="79">
        <v>1</v>
      </c>
      <c r="D18" s="79">
        <v>1</v>
      </c>
      <c r="E18" s="19">
        <v>11115</v>
      </c>
      <c r="F18" s="79">
        <f t="shared" si="0"/>
        <v>10</v>
      </c>
      <c r="J18">
        <v>14</v>
      </c>
      <c r="K18">
        <v>10</v>
      </c>
      <c r="L18">
        <v>10</v>
      </c>
      <c r="M18">
        <v>10</v>
      </c>
    </row>
    <row r="19" spans="1:13" x14ac:dyDescent="0.25">
      <c r="A19" s="79">
        <v>10016</v>
      </c>
      <c r="B19" s="79">
        <v>1</v>
      </c>
      <c r="C19" s="79">
        <v>1</v>
      </c>
      <c r="D19" s="79">
        <v>1</v>
      </c>
      <c r="E19" s="19">
        <v>11116</v>
      </c>
      <c r="F19" s="79">
        <f t="shared" si="0"/>
        <v>10</v>
      </c>
      <c r="J19">
        <v>15</v>
      </c>
      <c r="K19">
        <v>10</v>
      </c>
      <c r="L19">
        <v>10</v>
      </c>
      <c r="M19">
        <v>10</v>
      </c>
    </row>
    <row r="20" spans="1:17" x14ac:dyDescent="0.25">
      <c r="A20" s="79">
        <v>10017</v>
      </c>
      <c r="B20" s="79">
        <v>1</v>
      </c>
      <c r="C20" s="79">
        <v>1</v>
      </c>
      <c r="D20" s="79">
        <v>1</v>
      </c>
      <c r="E20" s="19">
        <v>11117</v>
      </c>
      <c r="F20" s="79">
        <f t="shared" si="0"/>
        <v>10</v>
      </c>
      <c r="J20">
        <v>16</v>
      </c>
      <c r="K20">
        <v>10</v>
      </c>
      <c r="L20">
        <v>10</v>
      </c>
      <c r="M20">
        <v>10</v>
      </c>
      <c r="N20">
        <v>10</v>
      </c>
      <c r="O20">
        <v>10</v>
      </c>
      <c r="P20">
        <v>10</v>
      </c>
      <c r="Q20">
        <v>10</v>
      </c>
    </row>
    <row r="21" spans="1:17" x14ac:dyDescent="0.25">
      <c r="A21" s="79">
        <v>10018</v>
      </c>
      <c r="B21" s="79">
        <v>1</v>
      </c>
      <c r="C21" s="79">
        <v>1</v>
      </c>
      <c r="D21" s="79">
        <v>1</v>
      </c>
      <c r="E21" s="19">
        <v>11118</v>
      </c>
      <c r="F21" s="79">
        <f t="shared" si="0"/>
        <v>10</v>
      </c>
      <c r="J21">
        <v>17</v>
      </c>
      <c r="K21">
        <v>10</v>
      </c>
      <c r="L21">
        <v>10</v>
      </c>
      <c r="M21">
        <v>10</v>
      </c>
      <c r="N21">
        <v>10</v>
      </c>
      <c r="O21">
        <v>10</v>
      </c>
      <c r="P21">
        <v>10</v>
      </c>
      <c r="Q21">
        <v>10</v>
      </c>
    </row>
    <row r="22" spans="1:17" x14ac:dyDescent="0.25">
      <c r="A22" s="79">
        <v>10019</v>
      </c>
      <c r="B22" s="79">
        <v>1</v>
      </c>
      <c r="C22" s="79">
        <v>1</v>
      </c>
      <c r="D22" s="79">
        <v>1</v>
      </c>
      <c r="E22" s="19">
        <v>11119</v>
      </c>
      <c r="F22" s="79">
        <f t="shared" si="0"/>
        <v>10</v>
      </c>
      <c r="J22">
        <v>18</v>
      </c>
      <c r="K22">
        <v>10</v>
      </c>
      <c r="L22">
        <v>10</v>
      </c>
      <c r="M22">
        <v>10</v>
      </c>
      <c r="N22">
        <v>10</v>
      </c>
      <c r="O22">
        <v>10</v>
      </c>
      <c r="P22">
        <v>10</v>
      </c>
      <c r="Q22">
        <v>10</v>
      </c>
    </row>
    <row r="23" spans="1:17" x14ac:dyDescent="0.25">
      <c r="A23" s="79">
        <v>10020</v>
      </c>
      <c r="B23" s="79">
        <v>1</v>
      </c>
      <c r="C23" s="79">
        <v>1</v>
      </c>
      <c r="D23" s="79">
        <v>1</v>
      </c>
      <c r="E23" s="19">
        <v>11120</v>
      </c>
      <c r="F23" s="79">
        <f t="shared" si="0"/>
        <v>10</v>
      </c>
      <c r="J23">
        <v>19</v>
      </c>
      <c r="K23">
        <v>10</v>
      </c>
      <c r="L23">
        <v>10</v>
      </c>
      <c r="M23">
        <v>10</v>
      </c>
      <c r="N23">
        <v>10</v>
      </c>
      <c r="O23">
        <v>10</v>
      </c>
      <c r="P23">
        <v>10</v>
      </c>
      <c r="Q23">
        <v>10</v>
      </c>
    </row>
    <row r="24" spans="1:17" x14ac:dyDescent="0.25">
      <c r="A24" s="79">
        <v>10021</v>
      </c>
      <c r="B24" s="79">
        <v>1</v>
      </c>
      <c r="C24" s="79">
        <v>1</v>
      </c>
      <c r="D24" s="79">
        <v>1</v>
      </c>
      <c r="E24" s="19">
        <v>11121</v>
      </c>
      <c r="F24" s="79">
        <f t="shared" si="0"/>
        <v>0</v>
      </c>
      <c r="J24">
        <v>20</v>
      </c>
      <c r="K24">
        <v>10</v>
      </c>
      <c r="L24">
        <v>10</v>
      </c>
      <c r="M24">
        <v>10</v>
      </c>
      <c r="N24">
        <v>10</v>
      </c>
      <c r="O24">
        <v>10</v>
      </c>
      <c r="P24">
        <v>10</v>
      </c>
      <c r="Q24">
        <v>10</v>
      </c>
    </row>
    <row r="25" spans="1:17" x14ac:dyDescent="0.25">
      <c r="A25" s="79">
        <v>10022</v>
      </c>
      <c r="B25" s="79">
        <v>1</v>
      </c>
      <c r="C25" s="79">
        <v>1</v>
      </c>
      <c r="D25" s="79">
        <v>1</v>
      </c>
      <c r="E25" s="19">
        <v>11122</v>
      </c>
      <c r="F25" s="79">
        <f t="shared" si="0"/>
        <v>0</v>
      </c>
      <c r="J25">
        <v>21</v>
      </c>
      <c r="M25">
        <v>10</v>
      </c>
      <c r="N25">
        <v>10</v>
      </c>
      <c r="O25">
        <v>10</v>
      </c>
      <c r="P25">
        <v>10</v>
      </c>
      <c r="Q25">
        <v>10</v>
      </c>
    </row>
    <row r="26" spans="1:17" x14ac:dyDescent="0.25">
      <c r="A26" s="79">
        <v>10023</v>
      </c>
      <c r="B26" s="79">
        <v>1</v>
      </c>
      <c r="C26" s="79">
        <v>1</v>
      </c>
      <c r="D26" s="79">
        <v>1</v>
      </c>
      <c r="E26" s="19">
        <v>11123</v>
      </c>
      <c r="F26" s="79">
        <f t="shared" si="0"/>
        <v>0</v>
      </c>
      <c r="J26">
        <v>22</v>
      </c>
      <c r="M26">
        <v>10</v>
      </c>
      <c r="N26">
        <v>10</v>
      </c>
      <c r="O26">
        <v>10</v>
      </c>
      <c r="P26">
        <v>10</v>
      </c>
      <c r="Q26">
        <v>10</v>
      </c>
    </row>
    <row r="27" spans="1:17" x14ac:dyDescent="0.25">
      <c r="A27" s="79">
        <v>10024</v>
      </c>
      <c r="B27" s="79">
        <v>1</v>
      </c>
      <c r="C27" s="79">
        <v>1</v>
      </c>
      <c r="D27" s="79">
        <v>1</v>
      </c>
      <c r="E27" s="19">
        <v>11124</v>
      </c>
      <c r="F27" s="79">
        <f t="shared" si="0"/>
        <v>0</v>
      </c>
      <c r="J27">
        <v>23</v>
      </c>
      <c r="M27">
        <v>10</v>
      </c>
      <c r="N27">
        <v>10</v>
      </c>
      <c r="O27">
        <v>10</v>
      </c>
      <c r="P27">
        <v>10</v>
      </c>
      <c r="Q27">
        <v>10</v>
      </c>
    </row>
    <row r="28" spans="1:17" x14ac:dyDescent="0.25">
      <c r="A28" s="79">
        <v>10025</v>
      </c>
      <c r="B28" s="79">
        <v>1</v>
      </c>
      <c r="C28" s="79">
        <v>1</v>
      </c>
      <c r="D28" s="79">
        <v>1</v>
      </c>
      <c r="E28" s="19">
        <v>11125</v>
      </c>
      <c r="F28" s="79">
        <f t="shared" si="0"/>
        <v>0</v>
      </c>
      <c r="J28">
        <v>24</v>
      </c>
      <c r="M28">
        <v>10</v>
      </c>
      <c r="N28">
        <v>10</v>
      </c>
      <c r="O28">
        <v>10</v>
      </c>
      <c r="P28">
        <v>10</v>
      </c>
      <c r="Q28">
        <v>10</v>
      </c>
    </row>
    <row r="29" spans="1:17" x14ac:dyDescent="0.25">
      <c r="A29" s="79">
        <v>10026</v>
      </c>
      <c r="B29" s="79">
        <v>1</v>
      </c>
      <c r="C29" s="79">
        <v>1</v>
      </c>
      <c r="D29" s="79">
        <f>D4+1</f>
        <v>2</v>
      </c>
      <c r="E29" s="19">
        <v>11201</v>
      </c>
      <c r="F29" s="79">
        <f t="shared" si="0"/>
        <v>10</v>
      </c>
      <c r="J29">
        <v>25</v>
      </c>
      <c r="M29">
        <v>10</v>
      </c>
      <c r="N29">
        <v>10</v>
      </c>
      <c r="O29">
        <v>10</v>
      </c>
      <c r="P29">
        <v>10</v>
      </c>
      <c r="Q29">
        <v>10</v>
      </c>
    </row>
    <row r="30" spans="1:6" x14ac:dyDescent="0.25">
      <c r="A30" s="79">
        <v>10027</v>
      </c>
      <c r="B30" s="79">
        <v>1</v>
      </c>
      <c r="C30" s="79">
        <v>1</v>
      </c>
      <c r="D30" s="79">
        <f t="shared" ref="D30:D78" si="1">D5+1</f>
        <v>2</v>
      </c>
      <c r="E30" s="19">
        <v>11202</v>
      </c>
      <c r="F30" s="79">
        <f t="shared" si="0"/>
        <v>10</v>
      </c>
    </row>
    <row r="31" spans="1:6" x14ac:dyDescent="0.25">
      <c r="A31" s="79">
        <v>10028</v>
      </c>
      <c r="B31" s="79">
        <v>1</v>
      </c>
      <c r="C31" s="79">
        <v>1</v>
      </c>
      <c r="D31" s="79">
        <f t="shared" si="1"/>
        <v>2</v>
      </c>
      <c r="E31" s="19">
        <v>11203</v>
      </c>
      <c r="F31" s="79">
        <f t="shared" si="0"/>
        <v>10</v>
      </c>
    </row>
    <row r="32" spans="1:6" x14ac:dyDescent="0.25">
      <c r="A32" s="79">
        <v>10029</v>
      </c>
      <c r="B32" s="79">
        <v>1</v>
      </c>
      <c r="C32" s="79">
        <v>1</v>
      </c>
      <c r="D32" s="79">
        <f t="shared" si="1"/>
        <v>2</v>
      </c>
      <c r="E32" s="19">
        <v>11204</v>
      </c>
      <c r="F32" s="79">
        <f t="shared" si="0"/>
        <v>10</v>
      </c>
    </row>
    <row r="33" spans="1:6" x14ac:dyDescent="0.25">
      <c r="A33" s="79">
        <v>10030</v>
      </c>
      <c r="B33" s="79">
        <v>1</v>
      </c>
      <c r="C33" s="79">
        <v>1</v>
      </c>
      <c r="D33" s="79">
        <f t="shared" si="1"/>
        <v>2</v>
      </c>
      <c r="E33" s="19">
        <v>11205</v>
      </c>
      <c r="F33" s="79">
        <f t="shared" si="0"/>
        <v>10</v>
      </c>
    </row>
    <row r="34" spans="1:6" x14ac:dyDescent="0.25">
      <c r="A34" s="79">
        <v>10031</v>
      </c>
      <c r="B34" s="79">
        <v>1</v>
      </c>
      <c r="C34" s="79">
        <v>1</v>
      </c>
      <c r="D34" s="79">
        <f t="shared" si="1"/>
        <v>2</v>
      </c>
      <c r="E34" s="19">
        <v>11206</v>
      </c>
      <c r="F34" s="79">
        <f t="shared" si="0"/>
        <v>10</v>
      </c>
    </row>
    <row r="35" spans="1:6" x14ac:dyDescent="0.25">
      <c r="A35" s="79">
        <v>10032</v>
      </c>
      <c r="B35" s="79">
        <v>1</v>
      </c>
      <c r="C35" s="79">
        <v>1</v>
      </c>
      <c r="D35" s="79">
        <f t="shared" si="1"/>
        <v>2</v>
      </c>
      <c r="E35" s="19">
        <v>11207</v>
      </c>
      <c r="F35" s="79">
        <f t="shared" si="0"/>
        <v>10</v>
      </c>
    </row>
    <row r="36" spans="1:6" x14ac:dyDescent="0.25">
      <c r="A36" s="79">
        <v>10033</v>
      </c>
      <c r="B36" s="79">
        <v>1</v>
      </c>
      <c r="C36" s="79">
        <v>1</v>
      </c>
      <c r="D36" s="79">
        <f t="shared" si="1"/>
        <v>2</v>
      </c>
      <c r="E36" s="19">
        <v>11208</v>
      </c>
      <c r="F36" s="79">
        <f t="shared" si="0"/>
        <v>10</v>
      </c>
    </row>
    <row r="37" spans="1:6" x14ac:dyDescent="0.25">
      <c r="A37" s="79">
        <v>10034</v>
      </c>
      <c r="B37" s="79">
        <v>1</v>
      </c>
      <c r="C37" s="79">
        <v>1</v>
      </c>
      <c r="D37" s="79">
        <f t="shared" si="1"/>
        <v>2</v>
      </c>
      <c r="E37" s="19">
        <v>11209</v>
      </c>
      <c r="F37" s="79">
        <f t="shared" si="0"/>
        <v>10</v>
      </c>
    </row>
    <row r="38" spans="1:6" x14ac:dyDescent="0.25">
      <c r="A38" s="79">
        <v>10035</v>
      </c>
      <c r="B38" s="79">
        <v>1</v>
      </c>
      <c r="C38" s="79">
        <v>1</v>
      </c>
      <c r="D38" s="79">
        <f t="shared" si="1"/>
        <v>2</v>
      </c>
      <c r="E38" s="19">
        <v>11210</v>
      </c>
      <c r="F38" s="79">
        <f t="shared" si="0"/>
        <v>10</v>
      </c>
    </row>
    <row r="39" spans="1:6" x14ac:dyDescent="0.25">
      <c r="A39" s="79">
        <v>10036</v>
      </c>
      <c r="B39" s="79">
        <v>1</v>
      </c>
      <c r="C39" s="79">
        <v>1</v>
      </c>
      <c r="D39" s="79">
        <f t="shared" si="1"/>
        <v>2</v>
      </c>
      <c r="E39" s="19">
        <v>11211</v>
      </c>
      <c r="F39" s="79">
        <f t="shared" si="0"/>
        <v>10</v>
      </c>
    </row>
    <row r="40" spans="1:6" x14ac:dyDescent="0.25">
      <c r="A40" s="79">
        <v>10037</v>
      </c>
      <c r="B40" s="79">
        <v>1</v>
      </c>
      <c r="C40" s="79">
        <v>1</v>
      </c>
      <c r="D40" s="79">
        <f t="shared" si="1"/>
        <v>2</v>
      </c>
      <c r="E40" s="19">
        <v>11212</v>
      </c>
      <c r="F40" s="79">
        <f t="shared" si="0"/>
        <v>10</v>
      </c>
    </row>
    <row r="41" spans="1:6" x14ac:dyDescent="0.25">
      <c r="A41" s="79">
        <v>10038</v>
      </c>
      <c r="B41" s="79">
        <v>1</v>
      </c>
      <c r="C41" s="79">
        <v>1</v>
      </c>
      <c r="D41" s="79">
        <f t="shared" si="1"/>
        <v>2</v>
      </c>
      <c r="E41" s="19">
        <v>11213</v>
      </c>
      <c r="F41" s="79">
        <f t="shared" si="0"/>
        <v>10</v>
      </c>
    </row>
    <row r="42" spans="1:6" x14ac:dyDescent="0.25">
      <c r="A42" s="79">
        <v>10039</v>
      </c>
      <c r="B42" s="79">
        <v>1</v>
      </c>
      <c r="C42" s="79">
        <v>1</v>
      </c>
      <c r="D42" s="79">
        <f t="shared" si="1"/>
        <v>2</v>
      </c>
      <c r="E42" s="19">
        <v>11214</v>
      </c>
      <c r="F42" s="79">
        <f t="shared" si="0"/>
        <v>10</v>
      </c>
    </row>
    <row r="43" spans="1:6" x14ac:dyDescent="0.25">
      <c r="A43" s="79">
        <v>10040</v>
      </c>
      <c r="B43" s="79">
        <v>1</v>
      </c>
      <c r="C43" s="79">
        <v>1</v>
      </c>
      <c r="D43" s="79">
        <f t="shared" si="1"/>
        <v>2</v>
      </c>
      <c r="E43" s="19">
        <v>11215</v>
      </c>
      <c r="F43" s="79">
        <f t="shared" si="0"/>
        <v>10</v>
      </c>
    </row>
    <row r="44" spans="1:6" x14ac:dyDescent="0.25">
      <c r="A44" s="79">
        <v>10041</v>
      </c>
      <c r="B44" s="79">
        <v>1</v>
      </c>
      <c r="C44" s="79">
        <v>1</v>
      </c>
      <c r="D44" s="79">
        <f t="shared" si="1"/>
        <v>2</v>
      </c>
      <c r="E44" s="19">
        <v>11216</v>
      </c>
      <c r="F44" s="79">
        <f t="shared" si="0"/>
        <v>10</v>
      </c>
    </row>
    <row r="45" spans="1:6" x14ac:dyDescent="0.25">
      <c r="A45" s="79">
        <v>10042</v>
      </c>
      <c r="B45" s="79">
        <v>1</v>
      </c>
      <c r="C45" s="79">
        <v>1</v>
      </c>
      <c r="D45" s="79">
        <f t="shared" si="1"/>
        <v>2</v>
      </c>
      <c r="E45" s="19">
        <v>11217</v>
      </c>
      <c r="F45" s="79">
        <f t="shared" si="0"/>
        <v>10</v>
      </c>
    </row>
    <row r="46" spans="1:6" x14ac:dyDescent="0.25">
      <c r="A46" s="79">
        <v>10043</v>
      </c>
      <c r="B46" s="79">
        <v>1</v>
      </c>
      <c r="C46" s="79">
        <v>1</v>
      </c>
      <c r="D46" s="79">
        <f t="shared" si="1"/>
        <v>2</v>
      </c>
      <c r="E46" s="19">
        <v>11218</v>
      </c>
      <c r="F46" s="79">
        <f t="shared" si="0"/>
        <v>10</v>
      </c>
    </row>
    <row r="47" spans="1:6" x14ac:dyDescent="0.25">
      <c r="A47" s="79">
        <v>10044</v>
      </c>
      <c r="B47" s="79">
        <v>1</v>
      </c>
      <c r="C47" s="79">
        <v>1</v>
      </c>
      <c r="D47" s="79">
        <f t="shared" si="1"/>
        <v>2</v>
      </c>
      <c r="E47" s="19">
        <v>11219</v>
      </c>
      <c r="F47" s="79">
        <f t="shared" si="0"/>
        <v>10</v>
      </c>
    </row>
    <row r="48" spans="1:6" x14ac:dyDescent="0.25">
      <c r="A48" s="79">
        <v>10045</v>
      </c>
      <c r="B48" s="79">
        <v>1</v>
      </c>
      <c r="C48" s="79">
        <v>1</v>
      </c>
      <c r="D48" s="79">
        <f t="shared" si="1"/>
        <v>2</v>
      </c>
      <c r="E48" s="19">
        <v>11220</v>
      </c>
      <c r="F48" s="79">
        <f t="shared" si="0"/>
        <v>10</v>
      </c>
    </row>
    <row r="49" spans="1:6" x14ac:dyDescent="0.25">
      <c r="A49" s="79">
        <v>10046</v>
      </c>
      <c r="B49" s="79">
        <v>1</v>
      </c>
      <c r="C49" s="79">
        <v>1</v>
      </c>
      <c r="D49" s="79">
        <f t="shared" si="1"/>
        <v>2</v>
      </c>
      <c r="E49" s="19">
        <v>11221</v>
      </c>
      <c r="F49" s="79">
        <f t="shared" si="0"/>
        <v>0</v>
      </c>
    </row>
    <row r="50" spans="1:6" x14ac:dyDescent="0.25">
      <c r="A50" s="79">
        <v>10047</v>
      </c>
      <c r="B50" s="79">
        <v>1</v>
      </c>
      <c r="C50" s="79">
        <v>1</v>
      </c>
      <c r="D50" s="79">
        <f t="shared" si="1"/>
        <v>2</v>
      </c>
      <c r="E50" s="19">
        <v>11222</v>
      </c>
      <c r="F50" s="79">
        <f t="shared" si="0"/>
        <v>0</v>
      </c>
    </row>
    <row r="51" spans="1:6" x14ac:dyDescent="0.25">
      <c r="A51" s="79">
        <v>10048</v>
      </c>
      <c r="B51" s="79">
        <v>1</v>
      </c>
      <c r="C51" s="79">
        <v>1</v>
      </c>
      <c r="D51" s="79">
        <f t="shared" si="1"/>
        <v>2</v>
      </c>
      <c r="E51" s="19">
        <v>11223</v>
      </c>
      <c r="F51" s="79">
        <f t="shared" si="0"/>
        <v>0</v>
      </c>
    </row>
    <row r="52" spans="1:6" x14ac:dyDescent="0.25">
      <c r="A52" s="79">
        <v>10049</v>
      </c>
      <c r="B52" s="79">
        <v>1</v>
      </c>
      <c r="C52" s="79">
        <v>1</v>
      </c>
      <c r="D52" s="79">
        <f t="shared" si="1"/>
        <v>2</v>
      </c>
      <c r="E52" s="19">
        <v>11224</v>
      </c>
      <c r="F52" s="79">
        <f t="shared" si="0"/>
        <v>0</v>
      </c>
    </row>
    <row r="53" spans="1:6" x14ac:dyDescent="0.25">
      <c r="A53" s="79">
        <v>10050</v>
      </c>
      <c r="B53" s="79">
        <v>1</v>
      </c>
      <c r="C53" s="79">
        <v>1</v>
      </c>
      <c r="D53" s="79">
        <f t="shared" si="1"/>
        <v>2</v>
      </c>
      <c r="E53" s="19">
        <v>11225</v>
      </c>
      <c r="F53" s="79">
        <f t="shared" si="0"/>
        <v>0</v>
      </c>
    </row>
    <row r="54" spans="1:6" x14ac:dyDescent="0.25">
      <c r="A54" s="79">
        <v>10051</v>
      </c>
      <c r="B54" s="79">
        <v>1</v>
      </c>
      <c r="C54" s="79">
        <v>1</v>
      </c>
      <c r="D54" s="79">
        <f t="shared" si="1"/>
        <v>3</v>
      </c>
      <c r="E54" s="19">
        <v>11301</v>
      </c>
      <c r="F54" s="79">
        <f t="shared" si="0"/>
        <v>10</v>
      </c>
    </row>
    <row r="55" spans="1:6" x14ac:dyDescent="0.25">
      <c r="A55" s="79">
        <v>10052</v>
      </c>
      <c r="B55" s="79">
        <v>1</v>
      </c>
      <c r="C55" s="79">
        <v>1</v>
      </c>
      <c r="D55" s="79">
        <f t="shared" si="1"/>
        <v>3</v>
      </c>
      <c r="E55" s="19">
        <v>11302</v>
      </c>
      <c r="F55" s="79">
        <f t="shared" si="0"/>
        <v>10</v>
      </c>
    </row>
    <row r="56" spans="1:6" x14ac:dyDescent="0.25">
      <c r="A56" s="79">
        <v>10053</v>
      </c>
      <c r="B56" s="79">
        <v>1</v>
      </c>
      <c r="C56" s="79">
        <v>1</v>
      </c>
      <c r="D56" s="79">
        <f t="shared" si="1"/>
        <v>3</v>
      </c>
      <c r="E56" s="19">
        <v>11303</v>
      </c>
      <c r="F56" s="79">
        <f t="shared" si="0"/>
        <v>10</v>
      </c>
    </row>
    <row r="57" spans="1:6" x14ac:dyDescent="0.25">
      <c r="A57" s="79">
        <v>10054</v>
      </c>
      <c r="B57" s="79">
        <v>1</v>
      </c>
      <c r="C57" s="79">
        <v>1</v>
      </c>
      <c r="D57" s="79">
        <f t="shared" si="1"/>
        <v>3</v>
      </c>
      <c r="E57" s="19">
        <v>11304</v>
      </c>
      <c r="F57" s="79">
        <f t="shared" si="0"/>
        <v>10</v>
      </c>
    </row>
    <row r="58" spans="1:6" x14ac:dyDescent="0.25">
      <c r="A58" s="79">
        <v>10055</v>
      </c>
      <c r="B58" s="79">
        <v>1</v>
      </c>
      <c r="C58" s="79">
        <v>1</v>
      </c>
      <c r="D58" s="79">
        <f t="shared" si="1"/>
        <v>3</v>
      </c>
      <c r="E58" s="19">
        <v>11305</v>
      </c>
      <c r="F58" s="79">
        <f t="shared" si="0"/>
        <v>10</v>
      </c>
    </row>
    <row r="59" spans="1:6" x14ac:dyDescent="0.25">
      <c r="A59" s="79">
        <v>10056</v>
      </c>
      <c r="B59" s="79">
        <v>1</v>
      </c>
      <c r="C59" s="79">
        <v>1</v>
      </c>
      <c r="D59" s="79">
        <f t="shared" si="1"/>
        <v>3</v>
      </c>
      <c r="E59" s="19">
        <v>11306</v>
      </c>
      <c r="F59" s="79">
        <f t="shared" si="0"/>
        <v>10</v>
      </c>
    </row>
    <row r="60" spans="1:6" x14ac:dyDescent="0.25">
      <c r="A60" s="79">
        <v>10057</v>
      </c>
      <c r="B60" s="79">
        <v>1</v>
      </c>
      <c r="C60" s="79">
        <v>1</v>
      </c>
      <c r="D60" s="79">
        <f t="shared" si="1"/>
        <v>3</v>
      </c>
      <c r="E60" s="19">
        <v>11307</v>
      </c>
      <c r="F60" s="79">
        <f t="shared" si="0"/>
        <v>10</v>
      </c>
    </row>
    <row r="61" spans="1:6" x14ac:dyDescent="0.25">
      <c r="A61" s="79">
        <v>10058</v>
      </c>
      <c r="B61" s="79">
        <v>1</v>
      </c>
      <c r="C61" s="79">
        <v>1</v>
      </c>
      <c r="D61" s="79">
        <f t="shared" si="1"/>
        <v>3</v>
      </c>
      <c r="E61" s="19">
        <v>11308</v>
      </c>
      <c r="F61" s="79">
        <f t="shared" si="0"/>
        <v>10</v>
      </c>
    </row>
    <row r="62" spans="1:6" x14ac:dyDescent="0.25">
      <c r="A62" s="79">
        <v>10059</v>
      </c>
      <c r="B62" s="79">
        <v>1</v>
      </c>
      <c r="C62" s="79">
        <v>1</v>
      </c>
      <c r="D62" s="79">
        <f t="shared" si="1"/>
        <v>3</v>
      </c>
      <c r="E62" s="19">
        <v>11309</v>
      </c>
      <c r="F62" s="79">
        <f t="shared" si="0"/>
        <v>10</v>
      </c>
    </row>
    <row r="63" spans="1:6" x14ac:dyDescent="0.25">
      <c r="A63" s="79">
        <v>10060</v>
      </c>
      <c r="B63" s="79">
        <v>1</v>
      </c>
      <c r="C63" s="79">
        <v>1</v>
      </c>
      <c r="D63" s="79">
        <f t="shared" si="1"/>
        <v>3</v>
      </c>
      <c r="E63" s="19">
        <v>11310</v>
      </c>
      <c r="F63" s="79">
        <f t="shared" si="0"/>
        <v>10</v>
      </c>
    </row>
    <row r="64" spans="1:6" x14ac:dyDescent="0.25">
      <c r="A64" s="79">
        <v>10061</v>
      </c>
      <c r="B64" s="79">
        <v>1</v>
      </c>
      <c r="C64" s="79">
        <v>1</v>
      </c>
      <c r="D64" s="79">
        <f t="shared" si="1"/>
        <v>3</v>
      </c>
      <c r="E64" s="19">
        <v>11311</v>
      </c>
      <c r="F64" s="79">
        <f t="shared" si="0"/>
        <v>10</v>
      </c>
    </row>
    <row r="65" spans="1:6" x14ac:dyDescent="0.25">
      <c r="A65" s="79">
        <v>10062</v>
      </c>
      <c r="B65" s="79">
        <v>1</v>
      </c>
      <c r="C65" s="79">
        <v>1</v>
      </c>
      <c r="D65" s="79">
        <f t="shared" si="1"/>
        <v>3</v>
      </c>
      <c r="E65" s="19">
        <v>11312</v>
      </c>
      <c r="F65" s="79">
        <f t="shared" si="0"/>
        <v>10</v>
      </c>
    </row>
    <row r="66" spans="1:6" x14ac:dyDescent="0.25">
      <c r="A66" s="79">
        <v>10063</v>
      </c>
      <c r="B66" s="79">
        <v>1</v>
      </c>
      <c r="C66" s="79">
        <v>1</v>
      </c>
      <c r="D66" s="79">
        <f t="shared" si="1"/>
        <v>3</v>
      </c>
      <c r="E66" s="19">
        <v>11313</v>
      </c>
      <c r="F66" s="79">
        <f t="shared" si="0"/>
        <v>10</v>
      </c>
    </row>
    <row r="67" spans="1:6" x14ac:dyDescent="0.25">
      <c r="A67" s="79">
        <v>10064</v>
      </c>
      <c r="B67" s="79">
        <v>1</v>
      </c>
      <c r="C67" s="79">
        <v>1</v>
      </c>
      <c r="D67" s="79">
        <f t="shared" si="1"/>
        <v>3</v>
      </c>
      <c r="E67" s="19">
        <v>11314</v>
      </c>
      <c r="F67" s="79">
        <f t="shared" si="0"/>
        <v>10</v>
      </c>
    </row>
    <row r="68" spans="1:6" x14ac:dyDescent="0.25">
      <c r="A68" s="79">
        <v>10065</v>
      </c>
      <c r="B68" s="79">
        <v>1</v>
      </c>
      <c r="C68" s="79">
        <v>1</v>
      </c>
      <c r="D68" s="79">
        <f t="shared" si="1"/>
        <v>3</v>
      </c>
      <c r="E68" s="19">
        <v>11315</v>
      </c>
      <c r="F68" s="79">
        <f t="shared" si="0"/>
        <v>10</v>
      </c>
    </row>
    <row r="69" spans="1:6" x14ac:dyDescent="0.25">
      <c r="A69" s="79">
        <v>10066</v>
      </c>
      <c r="B69" s="79">
        <v>1</v>
      </c>
      <c r="C69" s="79">
        <v>1</v>
      </c>
      <c r="D69" s="79">
        <f t="shared" si="1"/>
        <v>3</v>
      </c>
      <c r="E69" s="19">
        <v>11316</v>
      </c>
      <c r="F69" s="79">
        <f t="shared" ref="F69:F132" si="2">VLOOKUP(RIGHT(E69,2)*1,$J$4:$Q$29,B69+1,0)</f>
        <v>10</v>
      </c>
    </row>
    <row r="70" spans="1:6" x14ac:dyDescent="0.25">
      <c r="A70" s="79">
        <v>10067</v>
      </c>
      <c r="B70" s="79">
        <v>1</v>
      </c>
      <c r="C70" s="79">
        <v>1</v>
      </c>
      <c r="D70" s="79">
        <f t="shared" si="1"/>
        <v>3</v>
      </c>
      <c r="E70" s="19">
        <v>11317</v>
      </c>
      <c r="F70" s="79">
        <f t="shared" si="2"/>
        <v>10</v>
      </c>
    </row>
    <row r="71" spans="1:6" x14ac:dyDescent="0.25">
      <c r="A71" s="79">
        <v>10068</v>
      </c>
      <c r="B71" s="79">
        <v>1</v>
      </c>
      <c r="C71" s="79">
        <v>1</v>
      </c>
      <c r="D71" s="79">
        <f t="shared" si="1"/>
        <v>3</v>
      </c>
      <c r="E71" s="19">
        <v>11318</v>
      </c>
      <c r="F71" s="79">
        <f t="shared" si="2"/>
        <v>10</v>
      </c>
    </row>
    <row r="72" spans="1:6" x14ac:dyDescent="0.25">
      <c r="A72" s="79">
        <v>10069</v>
      </c>
      <c r="B72" s="79">
        <v>1</v>
      </c>
      <c r="C72" s="79">
        <v>1</v>
      </c>
      <c r="D72" s="79">
        <f t="shared" si="1"/>
        <v>3</v>
      </c>
      <c r="E72" s="19">
        <v>11319</v>
      </c>
      <c r="F72" s="79">
        <f t="shared" si="2"/>
        <v>10</v>
      </c>
    </row>
    <row r="73" spans="1:6" x14ac:dyDescent="0.25">
      <c r="A73" s="79">
        <v>10070</v>
      </c>
      <c r="B73" s="79">
        <v>1</v>
      </c>
      <c r="C73" s="79">
        <v>1</v>
      </c>
      <c r="D73" s="79">
        <f t="shared" si="1"/>
        <v>3</v>
      </c>
      <c r="E73" s="19">
        <v>11320</v>
      </c>
      <c r="F73" s="79">
        <f t="shared" si="2"/>
        <v>10</v>
      </c>
    </row>
    <row r="74" spans="1:6" x14ac:dyDescent="0.25">
      <c r="A74" s="79">
        <v>10071</v>
      </c>
      <c r="B74" s="79">
        <v>1</v>
      </c>
      <c r="C74" s="79">
        <v>1</v>
      </c>
      <c r="D74" s="79">
        <f t="shared" si="1"/>
        <v>3</v>
      </c>
      <c r="E74" s="19">
        <v>11321</v>
      </c>
      <c r="F74" s="79">
        <f t="shared" si="2"/>
        <v>0</v>
      </c>
    </row>
    <row r="75" spans="1:6" x14ac:dyDescent="0.25">
      <c r="A75" s="79">
        <v>10072</v>
      </c>
      <c r="B75" s="79">
        <v>1</v>
      </c>
      <c r="C75" s="79">
        <v>1</v>
      </c>
      <c r="D75" s="79">
        <f t="shared" si="1"/>
        <v>3</v>
      </c>
      <c r="E75" s="19">
        <v>11322</v>
      </c>
      <c r="F75" s="79">
        <f t="shared" si="2"/>
        <v>0</v>
      </c>
    </row>
    <row r="76" spans="1:6" x14ac:dyDescent="0.25">
      <c r="A76" s="79">
        <v>10073</v>
      </c>
      <c r="B76" s="79">
        <v>1</v>
      </c>
      <c r="C76" s="79">
        <v>1</v>
      </c>
      <c r="D76" s="79">
        <f t="shared" si="1"/>
        <v>3</v>
      </c>
      <c r="E76" s="19">
        <v>11323</v>
      </c>
      <c r="F76" s="79">
        <f t="shared" si="2"/>
        <v>0</v>
      </c>
    </row>
    <row r="77" spans="1:6" x14ac:dyDescent="0.25">
      <c r="A77" s="79">
        <v>10074</v>
      </c>
      <c r="B77" s="79">
        <v>1</v>
      </c>
      <c r="C77" s="79">
        <v>1</v>
      </c>
      <c r="D77" s="79">
        <f t="shared" si="1"/>
        <v>3</v>
      </c>
      <c r="E77" s="19">
        <v>11324</v>
      </c>
      <c r="F77" s="79">
        <f t="shared" si="2"/>
        <v>0</v>
      </c>
    </row>
    <row r="78" spans="1:6" x14ac:dyDescent="0.25">
      <c r="A78" s="79">
        <v>10075</v>
      </c>
      <c r="B78" s="79">
        <v>1</v>
      </c>
      <c r="C78" s="79">
        <v>1</v>
      </c>
      <c r="D78" s="79">
        <f t="shared" si="1"/>
        <v>3</v>
      </c>
      <c r="E78" s="19">
        <v>11325</v>
      </c>
      <c r="F78" s="79">
        <f t="shared" si="2"/>
        <v>0</v>
      </c>
    </row>
    <row r="79" spans="1:6" x14ac:dyDescent="0.25">
      <c r="A79" s="79">
        <v>10076</v>
      </c>
      <c r="B79" s="79">
        <f>B4+1</f>
        <v>2</v>
      </c>
      <c r="C79" s="79">
        <v>1</v>
      </c>
      <c r="D79" s="79">
        <v>1</v>
      </c>
      <c r="E79" s="19">
        <v>11101</v>
      </c>
      <c r="F79" s="79">
        <f t="shared" si="2"/>
        <v>10</v>
      </c>
    </row>
    <row r="80" spans="1:6" x14ac:dyDescent="0.25">
      <c r="A80" s="79">
        <v>10077</v>
      </c>
      <c r="B80" s="79">
        <f t="shared" ref="B80:B143" si="3">B5+1</f>
        <v>2</v>
      </c>
      <c r="C80" s="79">
        <v>1</v>
      </c>
      <c r="D80" s="79">
        <v>1</v>
      </c>
      <c r="E80" s="19">
        <v>11102</v>
      </c>
      <c r="F80" s="79">
        <f t="shared" si="2"/>
        <v>10</v>
      </c>
    </row>
    <row r="81" spans="1:6" x14ac:dyDescent="0.25">
      <c r="A81" s="79">
        <v>10078</v>
      </c>
      <c r="B81" s="79">
        <f t="shared" si="3"/>
        <v>2</v>
      </c>
      <c r="C81" s="79">
        <v>1</v>
      </c>
      <c r="D81" s="79">
        <v>1</v>
      </c>
      <c r="E81" s="19">
        <v>11103</v>
      </c>
      <c r="F81" s="79">
        <f t="shared" si="2"/>
        <v>10</v>
      </c>
    </row>
    <row r="82" spans="1:6" x14ac:dyDescent="0.25">
      <c r="A82" s="79">
        <v>10079</v>
      </c>
      <c r="B82" s="79">
        <f t="shared" si="3"/>
        <v>2</v>
      </c>
      <c r="C82" s="79">
        <v>1</v>
      </c>
      <c r="D82" s="79">
        <v>1</v>
      </c>
      <c r="E82" s="19">
        <v>11104</v>
      </c>
      <c r="F82" s="79">
        <f t="shared" si="2"/>
        <v>10</v>
      </c>
    </row>
    <row r="83" spans="1:6" x14ac:dyDescent="0.25">
      <c r="A83" s="79">
        <v>10080</v>
      </c>
      <c r="B83" s="79">
        <f t="shared" si="3"/>
        <v>2</v>
      </c>
      <c r="C83" s="79">
        <v>1</v>
      </c>
      <c r="D83" s="79">
        <v>1</v>
      </c>
      <c r="E83" s="19">
        <v>11105</v>
      </c>
      <c r="F83" s="79">
        <f t="shared" si="2"/>
        <v>10</v>
      </c>
    </row>
    <row r="84" spans="1:6" x14ac:dyDescent="0.25">
      <c r="A84" s="79">
        <v>10081</v>
      </c>
      <c r="B84" s="79">
        <f t="shared" si="3"/>
        <v>2</v>
      </c>
      <c r="C84" s="79">
        <v>1</v>
      </c>
      <c r="D84" s="79">
        <v>1</v>
      </c>
      <c r="E84" s="19">
        <v>11106</v>
      </c>
      <c r="F84" s="79">
        <f t="shared" si="2"/>
        <v>10</v>
      </c>
    </row>
    <row r="85" spans="1:6" x14ac:dyDescent="0.25">
      <c r="A85" s="79">
        <v>10082</v>
      </c>
      <c r="B85" s="79">
        <f t="shared" si="3"/>
        <v>2</v>
      </c>
      <c r="C85" s="79">
        <v>1</v>
      </c>
      <c r="D85" s="79">
        <v>1</v>
      </c>
      <c r="E85" s="19">
        <v>11107</v>
      </c>
      <c r="F85" s="79">
        <f t="shared" si="2"/>
        <v>10</v>
      </c>
    </row>
    <row r="86" spans="1:6" x14ac:dyDescent="0.25">
      <c r="A86" s="79">
        <v>10083</v>
      </c>
      <c r="B86" s="79">
        <f t="shared" si="3"/>
        <v>2</v>
      </c>
      <c r="C86" s="79">
        <v>1</v>
      </c>
      <c r="D86" s="79">
        <v>1</v>
      </c>
      <c r="E86" s="19">
        <v>11108</v>
      </c>
      <c r="F86" s="79">
        <f t="shared" si="2"/>
        <v>10</v>
      </c>
    </row>
    <row r="87" spans="1:6" x14ac:dyDescent="0.25">
      <c r="A87" s="79">
        <v>10084</v>
      </c>
      <c r="B87" s="79">
        <f t="shared" si="3"/>
        <v>2</v>
      </c>
      <c r="C87" s="79">
        <v>1</v>
      </c>
      <c r="D87" s="79">
        <v>1</v>
      </c>
      <c r="E87" s="19">
        <v>11109</v>
      </c>
      <c r="F87" s="79">
        <f t="shared" si="2"/>
        <v>10</v>
      </c>
    </row>
    <row r="88" spans="1:6" x14ac:dyDescent="0.25">
      <c r="A88" s="79">
        <v>10085</v>
      </c>
      <c r="B88" s="79">
        <f t="shared" si="3"/>
        <v>2</v>
      </c>
      <c r="C88" s="79">
        <v>1</v>
      </c>
      <c r="D88" s="79">
        <v>1</v>
      </c>
      <c r="E88" s="19">
        <v>11110</v>
      </c>
      <c r="F88" s="79">
        <f t="shared" si="2"/>
        <v>10</v>
      </c>
    </row>
    <row r="89" spans="1:6" x14ac:dyDescent="0.25">
      <c r="A89" s="79">
        <v>10086</v>
      </c>
      <c r="B89" s="79">
        <f t="shared" si="3"/>
        <v>2</v>
      </c>
      <c r="C89" s="79">
        <v>1</v>
      </c>
      <c r="D89" s="79">
        <v>1</v>
      </c>
      <c r="E89" s="19">
        <v>11111</v>
      </c>
      <c r="F89" s="79">
        <f t="shared" si="2"/>
        <v>10</v>
      </c>
    </row>
    <row r="90" spans="1:6" x14ac:dyDescent="0.25">
      <c r="A90" s="79">
        <v>10087</v>
      </c>
      <c r="B90" s="79">
        <f t="shared" si="3"/>
        <v>2</v>
      </c>
      <c r="C90" s="79">
        <v>1</v>
      </c>
      <c r="D90" s="79">
        <v>1</v>
      </c>
      <c r="E90" s="19">
        <v>11112</v>
      </c>
      <c r="F90" s="79">
        <f t="shared" si="2"/>
        <v>10</v>
      </c>
    </row>
    <row r="91" spans="1:6" x14ac:dyDescent="0.25">
      <c r="A91" s="79">
        <v>10088</v>
      </c>
      <c r="B91" s="79">
        <f t="shared" si="3"/>
        <v>2</v>
      </c>
      <c r="C91" s="79">
        <v>1</v>
      </c>
      <c r="D91" s="79">
        <v>1</v>
      </c>
      <c r="E91" s="19">
        <v>11113</v>
      </c>
      <c r="F91" s="79">
        <f t="shared" si="2"/>
        <v>10</v>
      </c>
    </row>
    <row r="92" spans="1:6" x14ac:dyDescent="0.25">
      <c r="A92" s="79">
        <v>10089</v>
      </c>
      <c r="B92" s="79">
        <f t="shared" si="3"/>
        <v>2</v>
      </c>
      <c r="C92" s="79">
        <v>1</v>
      </c>
      <c r="D92" s="79">
        <v>1</v>
      </c>
      <c r="E92" s="19">
        <v>11114</v>
      </c>
      <c r="F92" s="79">
        <f t="shared" si="2"/>
        <v>10</v>
      </c>
    </row>
    <row r="93" spans="1:6" x14ac:dyDescent="0.25">
      <c r="A93" s="79">
        <v>10090</v>
      </c>
      <c r="B93" s="79">
        <f t="shared" si="3"/>
        <v>2</v>
      </c>
      <c r="C93" s="79">
        <v>1</v>
      </c>
      <c r="D93" s="79">
        <v>1</v>
      </c>
      <c r="E93" s="19">
        <v>11115</v>
      </c>
      <c r="F93" s="79">
        <f t="shared" si="2"/>
        <v>10</v>
      </c>
    </row>
    <row r="94" spans="1:6" x14ac:dyDescent="0.25">
      <c r="A94" s="79">
        <v>10091</v>
      </c>
      <c r="B94" s="79">
        <f t="shared" si="3"/>
        <v>2</v>
      </c>
      <c r="C94" s="79">
        <v>1</v>
      </c>
      <c r="D94" s="79">
        <v>1</v>
      </c>
      <c r="E94" s="19">
        <v>11116</v>
      </c>
      <c r="F94" s="79">
        <f t="shared" si="2"/>
        <v>10</v>
      </c>
    </row>
    <row r="95" spans="1:6" x14ac:dyDescent="0.25">
      <c r="A95" s="79">
        <v>10092</v>
      </c>
      <c r="B95" s="79">
        <f t="shared" si="3"/>
        <v>2</v>
      </c>
      <c r="C95" s="79">
        <v>1</v>
      </c>
      <c r="D95" s="79">
        <v>1</v>
      </c>
      <c r="E95" s="19">
        <v>11117</v>
      </c>
      <c r="F95" s="79">
        <f t="shared" si="2"/>
        <v>10</v>
      </c>
    </row>
    <row r="96" spans="1:6" x14ac:dyDescent="0.25">
      <c r="A96" s="79">
        <v>10093</v>
      </c>
      <c r="B96" s="79">
        <f t="shared" si="3"/>
        <v>2</v>
      </c>
      <c r="C96" s="79">
        <v>1</v>
      </c>
      <c r="D96" s="79">
        <v>1</v>
      </c>
      <c r="E96" s="19">
        <v>11118</v>
      </c>
      <c r="F96" s="79">
        <f t="shared" si="2"/>
        <v>10</v>
      </c>
    </row>
    <row r="97" spans="1:6" x14ac:dyDescent="0.25">
      <c r="A97" s="79">
        <v>10094</v>
      </c>
      <c r="B97" s="79">
        <f t="shared" si="3"/>
        <v>2</v>
      </c>
      <c r="C97" s="79">
        <v>1</v>
      </c>
      <c r="D97" s="79">
        <v>1</v>
      </c>
      <c r="E97" s="19">
        <v>11119</v>
      </c>
      <c r="F97" s="79">
        <f t="shared" si="2"/>
        <v>10</v>
      </c>
    </row>
    <row r="98" spans="1:6" x14ac:dyDescent="0.25">
      <c r="A98" s="79">
        <v>10095</v>
      </c>
      <c r="B98" s="79">
        <f t="shared" si="3"/>
        <v>2</v>
      </c>
      <c r="C98" s="79">
        <v>1</v>
      </c>
      <c r="D98" s="79">
        <v>1</v>
      </c>
      <c r="E98" s="19">
        <v>11120</v>
      </c>
      <c r="F98" s="79">
        <f t="shared" si="2"/>
        <v>10</v>
      </c>
    </row>
    <row r="99" spans="1:6" x14ac:dyDescent="0.25">
      <c r="A99" s="79">
        <v>10096</v>
      </c>
      <c r="B99" s="79">
        <f t="shared" si="3"/>
        <v>2</v>
      </c>
      <c r="C99" s="79">
        <v>1</v>
      </c>
      <c r="D99" s="79">
        <v>1</v>
      </c>
      <c r="E99" s="19">
        <v>11121</v>
      </c>
      <c r="F99" s="79">
        <f t="shared" si="2"/>
        <v>0</v>
      </c>
    </row>
    <row r="100" spans="1:6" x14ac:dyDescent="0.25">
      <c r="A100" s="79">
        <v>10097</v>
      </c>
      <c r="B100" s="79">
        <f t="shared" si="3"/>
        <v>2</v>
      </c>
      <c r="C100" s="79">
        <v>1</v>
      </c>
      <c r="D100" s="79">
        <v>1</v>
      </c>
      <c r="E100" s="19">
        <v>11122</v>
      </c>
      <c r="F100" s="79">
        <f t="shared" si="2"/>
        <v>0</v>
      </c>
    </row>
    <row r="101" spans="1:6" x14ac:dyDescent="0.25">
      <c r="A101" s="79">
        <v>10098</v>
      </c>
      <c r="B101" s="79">
        <f t="shared" si="3"/>
        <v>2</v>
      </c>
      <c r="C101" s="79">
        <v>1</v>
      </c>
      <c r="D101" s="79">
        <v>1</v>
      </c>
      <c r="E101" s="19">
        <v>11123</v>
      </c>
      <c r="F101" s="79">
        <f t="shared" si="2"/>
        <v>0</v>
      </c>
    </row>
    <row r="102" spans="1:6" x14ac:dyDescent="0.25">
      <c r="A102" s="79">
        <v>10099</v>
      </c>
      <c r="B102" s="79">
        <f t="shared" si="3"/>
        <v>2</v>
      </c>
      <c r="C102" s="79">
        <v>1</v>
      </c>
      <c r="D102" s="79">
        <v>1</v>
      </c>
      <c r="E102" s="19">
        <v>11124</v>
      </c>
      <c r="F102" s="79">
        <f t="shared" si="2"/>
        <v>0</v>
      </c>
    </row>
    <row r="103" spans="1:6" x14ac:dyDescent="0.25">
      <c r="A103" s="79">
        <v>10100</v>
      </c>
      <c r="B103" s="79">
        <f t="shared" si="3"/>
        <v>2</v>
      </c>
      <c r="C103" s="79">
        <v>1</v>
      </c>
      <c r="D103" s="79">
        <v>1</v>
      </c>
      <c r="E103" s="19">
        <v>11125</v>
      </c>
      <c r="F103" s="79">
        <f t="shared" si="2"/>
        <v>0</v>
      </c>
    </row>
    <row r="104" spans="1:6" x14ac:dyDescent="0.25">
      <c r="A104" s="79">
        <v>10101</v>
      </c>
      <c r="B104" s="79">
        <f t="shared" si="3"/>
        <v>2</v>
      </c>
      <c r="C104" s="79">
        <v>1</v>
      </c>
      <c r="D104" s="79">
        <f>D79+1</f>
        <v>2</v>
      </c>
      <c r="E104" s="19">
        <v>11201</v>
      </c>
      <c r="F104" s="79">
        <f t="shared" si="2"/>
        <v>10</v>
      </c>
    </row>
    <row r="105" spans="1:6" x14ac:dyDescent="0.25">
      <c r="A105" s="79">
        <v>10102</v>
      </c>
      <c r="B105" s="79">
        <f t="shared" si="3"/>
        <v>2</v>
      </c>
      <c r="C105" s="79">
        <v>1</v>
      </c>
      <c r="D105" s="79">
        <f t="shared" ref="D105:D153" si="4">D80+1</f>
        <v>2</v>
      </c>
      <c r="E105" s="19">
        <v>11202</v>
      </c>
      <c r="F105" s="79">
        <f t="shared" si="2"/>
        <v>10</v>
      </c>
    </row>
    <row r="106" spans="1:6" x14ac:dyDescent="0.25">
      <c r="A106" s="79">
        <v>10103</v>
      </c>
      <c r="B106" s="79">
        <f t="shared" si="3"/>
        <v>2</v>
      </c>
      <c r="C106" s="79">
        <v>1</v>
      </c>
      <c r="D106" s="79">
        <f t="shared" si="4"/>
        <v>2</v>
      </c>
      <c r="E106" s="19">
        <v>11203</v>
      </c>
      <c r="F106" s="79">
        <f t="shared" si="2"/>
        <v>10</v>
      </c>
    </row>
    <row r="107" spans="1:6" x14ac:dyDescent="0.25">
      <c r="A107" s="79">
        <v>10104</v>
      </c>
      <c r="B107" s="79">
        <f t="shared" si="3"/>
        <v>2</v>
      </c>
      <c r="C107" s="79">
        <v>1</v>
      </c>
      <c r="D107" s="79">
        <f t="shared" si="4"/>
        <v>2</v>
      </c>
      <c r="E107" s="19">
        <v>11204</v>
      </c>
      <c r="F107" s="79">
        <f t="shared" si="2"/>
        <v>10</v>
      </c>
    </row>
    <row r="108" spans="1:6" x14ac:dyDescent="0.25">
      <c r="A108" s="79">
        <v>10105</v>
      </c>
      <c r="B108" s="79">
        <f t="shared" si="3"/>
        <v>2</v>
      </c>
      <c r="C108" s="79">
        <v>1</v>
      </c>
      <c r="D108" s="79">
        <f t="shared" si="4"/>
        <v>2</v>
      </c>
      <c r="E108" s="19">
        <v>11205</v>
      </c>
      <c r="F108" s="79">
        <f t="shared" si="2"/>
        <v>10</v>
      </c>
    </row>
    <row r="109" spans="1:6" x14ac:dyDescent="0.25">
      <c r="A109" s="79">
        <v>10106</v>
      </c>
      <c r="B109" s="79">
        <f t="shared" si="3"/>
        <v>2</v>
      </c>
      <c r="C109" s="79">
        <v>1</v>
      </c>
      <c r="D109" s="79">
        <f t="shared" si="4"/>
        <v>2</v>
      </c>
      <c r="E109" s="19">
        <v>11206</v>
      </c>
      <c r="F109" s="79">
        <f t="shared" si="2"/>
        <v>10</v>
      </c>
    </row>
    <row r="110" spans="1:6" x14ac:dyDescent="0.25">
      <c r="A110" s="79">
        <v>10107</v>
      </c>
      <c r="B110" s="79">
        <f t="shared" si="3"/>
        <v>2</v>
      </c>
      <c r="C110" s="79">
        <v>1</v>
      </c>
      <c r="D110" s="79">
        <f t="shared" si="4"/>
        <v>2</v>
      </c>
      <c r="E110" s="19">
        <v>11207</v>
      </c>
      <c r="F110" s="79">
        <f t="shared" si="2"/>
        <v>10</v>
      </c>
    </row>
    <row r="111" spans="1:6" x14ac:dyDescent="0.25">
      <c r="A111" s="79">
        <v>10108</v>
      </c>
      <c r="B111" s="79">
        <f t="shared" si="3"/>
        <v>2</v>
      </c>
      <c r="C111" s="79">
        <v>1</v>
      </c>
      <c r="D111" s="79">
        <f t="shared" si="4"/>
        <v>2</v>
      </c>
      <c r="E111" s="19">
        <v>11208</v>
      </c>
      <c r="F111" s="79">
        <f t="shared" si="2"/>
        <v>10</v>
      </c>
    </row>
    <row r="112" spans="1:6" x14ac:dyDescent="0.25">
      <c r="A112" s="79">
        <v>10109</v>
      </c>
      <c r="B112" s="79">
        <f t="shared" si="3"/>
        <v>2</v>
      </c>
      <c r="C112" s="79">
        <v>1</v>
      </c>
      <c r="D112" s="79">
        <f t="shared" si="4"/>
        <v>2</v>
      </c>
      <c r="E112" s="19">
        <v>11209</v>
      </c>
      <c r="F112" s="79">
        <f t="shared" si="2"/>
        <v>10</v>
      </c>
    </row>
    <row r="113" spans="1:6" x14ac:dyDescent="0.25">
      <c r="A113" s="79">
        <v>10110</v>
      </c>
      <c r="B113" s="79">
        <f t="shared" si="3"/>
        <v>2</v>
      </c>
      <c r="C113" s="79">
        <v>1</v>
      </c>
      <c r="D113" s="79">
        <f t="shared" si="4"/>
        <v>2</v>
      </c>
      <c r="E113" s="19">
        <v>11210</v>
      </c>
      <c r="F113" s="79">
        <f t="shared" si="2"/>
        <v>10</v>
      </c>
    </row>
    <row r="114" spans="1:6" x14ac:dyDescent="0.25">
      <c r="A114" s="79">
        <v>10111</v>
      </c>
      <c r="B114" s="79">
        <f t="shared" si="3"/>
        <v>2</v>
      </c>
      <c r="C114" s="79">
        <v>1</v>
      </c>
      <c r="D114" s="79">
        <f t="shared" si="4"/>
        <v>2</v>
      </c>
      <c r="E114" s="19">
        <v>11211</v>
      </c>
      <c r="F114" s="79">
        <f t="shared" si="2"/>
        <v>10</v>
      </c>
    </row>
    <row r="115" spans="1:6" x14ac:dyDescent="0.25">
      <c r="A115" s="79">
        <v>10112</v>
      </c>
      <c r="B115" s="79">
        <f t="shared" si="3"/>
        <v>2</v>
      </c>
      <c r="C115" s="79">
        <v>1</v>
      </c>
      <c r="D115" s="79">
        <f t="shared" si="4"/>
        <v>2</v>
      </c>
      <c r="E115" s="19">
        <v>11212</v>
      </c>
      <c r="F115" s="79">
        <f t="shared" si="2"/>
        <v>10</v>
      </c>
    </row>
    <row r="116" spans="1:6" x14ac:dyDescent="0.25">
      <c r="A116" s="79">
        <v>10113</v>
      </c>
      <c r="B116" s="79">
        <f t="shared" si="3"/>
        <v>2</v>
      </c>
      <c r="C116" s="79">
        <v>1</v>
      </c>
      <c r="D116" s="79">
        <f t="shared" si="4"/>
        <v>2</v>
      </c>
      <c r="E116" s="19">
        <v>11213</v>
      </c>
      <c r="F116" s="79">
        <f t="shared" si="2"/>
        <v>10</v>
      </c>
    </row>
    <row r="117" spans="1:6" x14ac:dyDescent="0.25">
      <c r="A117" s="79">
        <v>10114</v>
      </c>
      <c r="B117" s="79">
        <f t="shared" si="3"/>
        <v>2</v>
      </c>
      <c r="C117" s="79">
        <v>1</v>
      </c>
      <c r="D117" s="79">
        <f t="shared" si="4"/>
        <v>2</v>
      </c>
      <c r="E117" s="19">
        <v>11214</v>
      </c>
      <c r="F117" s="79">
        <f t="shared" si="2"/>
        <v>10</v>
      </c>
    </row>
    <row r="118" spans="1:6" x14ac:dyDescent="0.25">
      <c r="A118" s="79">
        <v>10115</v>
      </c>
      <c r="B118" s="79">
        <f t="shared" si="3"/>
        <v>2</v>
      </c>
      <c r="C118" s="79">
        <v>1</v>
      </c>
      <c r="D118" s="79">
        <f t="shared" si="4"/>
        <v>2</v>
      </c>
      <c r="E118" s="19">
        <v>11215</v>
      </c>
      <c r="F118" s="79">
        <f t="shared" si="2"/>
        <v>10</v>
      </c>
    </row>
    <row r="119" spans="1:6" x14ac:dyDescent="0.25">
      <c r="A119" s="79">
        <v>10116</v>
      </c>
      <c r="B119" s="79">
        <f t="shared" si="3"/>
        <v>2</v>
      </c>
      <c r="C119" s="79">
        <v>1</v>
      </c>
      <c r="D119" s="79">
        <f t="shared" si="4"/>
        <v>2</v>
      </c>
      <c r="E119" s="19">
        <v>11216</v>
      </c>
      <c r="F119" s="79">
        <f t="shared" si="2"/>
        <v>10</v>
      </c>
    </row>
    <row r="120" spans="1:6" x14ac:dyDescent="0.25">
      <c r="A120" s="79">
        <v>10117</v>
      </c>
      <c r="B120" s="79">
        <f t="shared" si="3"/>
        <v>2</v>
      </c>
      <c r="C120" s="79">
        <v>1</v>
      </c>
      <c r="D120" s="79">
        <f t="shared" si="4"/>
        <v>2</v>
      </c>
      <c r="E120" s="19">
        <v>11217</v>
      </c>
      <c r="F120" s="79">
        <f t="shared" si="2"/>
        <v>10</v>
      </c>
    </row>
    <row r="121" spans="1:6" x14ac:dyDescent="0.25">
      <c r="A121" s="79">
        <v>10118</v>
      </c>
      <c r="B121" s="79">
        <f t="shared" si="3"/>
        <v>2</v>
      </c>
      <c r="C121" s="79">
        <v>1</v>
      </c>
      <c r="D121" s="79">
        <f t="shared" si="4"/>
        <v>2</v>
      </c>
      <c r="E121" s="19">
        <v>11218</v>
      </c>
      <c r="F121" s="79">
        <f t="shared" si="2"/>
        <v>10</v>
      </c>
    </row>
    <row r="122" spans="1:6" x14ac:dyDescent="0.25">
      <c r="A122" s="79">
        <v>10119</v>
      </c>
      <c r="B122" s="79">
        <f t="shared" si="3"/>
        <v>2</v>
      </c>
      <c r="C122" s="79">
        <v>1</v>
      </c>
      <c r="D122" s="79">
        <f t="shared" si="4"/>
        <v>2</v>
      </c>
      <c r="E122" s="19">
        <v>11219</v>
      </c>
      <c r="F122" s="79">
        <f t="shared" si="2"/>
        <v>10</v>
      </c>
    </row>
    <row r="123" spans="1:6" x14ac:dyDescent="0.25">
      <c r="A123" s="79">
        <v>10120</v>
      </c>
      <c r="B123" s="79">
        <f t="shared" si="3"/>
        <v>2</v>
      </c>
      <c r="C123" s="79">
        <v>1</v>
      </c>
      <c r="D123" s="79">
        <f t="shared" si="4"/>
        <v>2</v>
      </c>
      <c r="E123" s="19">
        <v>11220</v>
      </c>
      <c r="F123" s="79">
        <f t="shared" si="2"/>
        <v>10</v>
      </c>
    </row>
    <row r="124" spans="1:6" x14ac:dyDescent="0.25">
      <c r="A124" s="79">
        <v>10121</v>
      </c>
      <c r="B124" s="79">
        <f t="shared" si="3"/>
        <v>2</v>
      </c>
      <c r="C124" s="79">
        <v>1</v>
      </c>
      <c r="D124" s="79">
        <f t="shared" si="4"/>
        <v>2</v>
      </c>
      <c r="E124" s="19">
        <v>11221</v>
      </c>
      <c r="F124" s="79">
        <f t="shared" si="2"/>
        <v>0</v>
      </c>
    </row>
    <row r="125" spans="1:6" x14ac:dyDescent="0.25">
      <c r="A125" s="79">
        <v>10122</v>
      </c>
      <c r="B125" s="79">
        <f t="shared" si="3"/>
        <v>2</v>
      </c>
      <c r="C125" s="79">
        <v>1</v>
      </c>
      <c r="D125" s="79">
        <f t="shared" si="4"/>
        <v>2</v>
      </c>
      <c r="E125" s="19">
        <v>11222</v>
      </c>
      <c r="F125" s="79">
        <f t="shared" si="2"/>
        <v>0</v>
      </c>
    </row>
    <row r="126" spans="1:6" x14ac:dyDescent="0.25">
      <c r="A126" s="79">
        <v>10123</v>
      </c>
      <c r="B126" s="79">
        <f t="shared" si="3"/>
        <v>2</v>
      </c>
      <c r="C126" s="79">
        <v>1</v>
      </c>
      <c r="D126" s="79">
        <f t="shared" si="4"/>
        <v>2</v>
      </c>
      <c r="E126" s="19">
        <v>11223</v>
      </c>
      <c r="F126" s="79">
        <f t="shared" si="2"/>
        <v>0</v>
      </c>
    </row>
    <row r="127" spans="1:6" x14ac:dyDescent="0.25">
      <c r="A127" s="79">
        <v>10124</v>
      </c>
      <c r="B127" s="79">
        <f t="shared" si="3"/>
        <v>2</v>
      </c>
      <c r="C127" s="79">
        <v>1</v>
      </c>
      <c r="D127" s="79">
        <f t="shared" si="4"/>
        <v>2</v>
      </c>
      <c r="E127" s="19">
        <v>11224</v>
      </c>
      <c r="F127" s="79">
        <f t="shared" si="2"/>
        <v>0</v>
      </c>
    </row>
    <row r="128" spans="1:6" x14ac:dyDescent="0.25">
      <c r="A128" s="79">
        <v>10125</v>
      </c>
      <c r="B128" s="79">
        <f t="shared" si="3"/>
        <v>2</v>
      </c>
      <c r="C128" s="79">
        <v>1</v>
      </c>
      <c r="D128" s="79">
        <f t="shared" si="4"/>
        <v>2</v>
      </c>
      <c r="E128" s="19">
        <v>11225</v>
      </c>
      <c r="F128" s="79">
        <f t="shared" si="2"/>
        <v>0</v>
      </c>
    </row>
    <row r="129" spans="1:6" x14ac:dyDescent="0.25">
      <c r="A129" s="79">
        <v>10126</v>
      </c>
      <c r="B129" s="79">
        <f t="shared" si="3"/>
        <v>2</v>
      </c>
      <c r="C129" s="79">
        <v>1</v>
      </c>
      <c r="D129" s="79">
        <f t="shared" si="4"/>
        <v>3</v>
      </c>
      <c r="E129" s="19">
        <v>11301</v>
      </c>
      <c r="F129" s="79">
        <f t="shared" si="2"/>
        <v>10</v>
      </c>
    </row>
    <row r="130" spans="1:6" x14ac:dyDescent="0.25">
      <c r="A130" s="79">
        <v>10127</v>
      </c>
      <c r="B130" s="79">
        <f t="shared" si="3"/>
        <v>2</v>
      </c>
      <c r="C130" s="79">
        <v>1</v>
      </c>
      <c r="D130" s="79">
        <f t="shared" si="4"/>
        <v>3</v>
      </c>
      <c r="E130" s="19">
        <v>11302</v>
      </c>
      <c r="F130" s="79">
        <f t="shared" si="2"/>
        <v>10</v>
      </c>
    </row>
    <row r="131" spans="1:6" x14ac:dyDescent="0.25">
      <c r="A131" s="79">
        <v>10128</v>
      </c>
      <c r="B131" s="79">
        <f t="shared" si="3"/>
        <v>2</v>
      </c>
      <c r="C131" s="79">
        <v>1</v>
      </c>
      <c r="D131" s="79">
        <f t="shared" si="4"/>
        <v>3</v>
      </c>
      <c r="E131" s="19">
        <v>11303</v>
      </c>
      <c r="F131" s="79">
        <f t="shared" si="2"/>
        <v>10</v>
      </c>
    </row>
    <row r="132" spans="1:6" x14ac:dyDescent="0.25">
      <c r="A132" s="79">
        <v>10129</v>
      </c>
      <c r="B132" s="79">
        <f t="shared" si="3"/>
        <v>2</v>
      </c>
      <c r="C132" s="79">
        <v>1</v>
      </c>
      <c r="D132" s="79">
        <f t="shared" si="4"/>
        <v>3</v>
      </c>
      <c r="E132" s="19">
        <v>11304</v>
      </c>
      <c r="F132" s="79">
        <f t="shared" si="2"/>
        <v>10</v>
      </c>
    </row>
    <row r="133" spans="1:6" x14ac:dyDescent="0.25">
      <c r="A133" s="79">
        <v>10130</v>
      </c>
      <c r="B133" s="79">
        <f t="shared" si="3"/>
        <v>2</v>
      </c>
      <c r="C133" s="79">
        <v>1</v>
      </c>
      <c r="D133" s="79">
        <f t="shared" si="4"/>
        <v>3</v>
      </c>
      <c r="E133" s="19">
        <v>11305</v>
      </c>
      <c r="F133" s="79">
        <f t="shared" ref="F133:F196" si="5">VLOOKUP(RIGHT(E133,2)*1,$J$4:$Q$29,B133+1,0)</f>
        <v>10</v>
      </c>
    </row>
    <row r="134" spans="1:6" x14ac:dyDescent="0.25">
      <c r="A134" s="79">
        <v>10131</v>
      </c>
      <c r="B134" s="79">
        <f t="shared" si="3"/>
        <v>2</v>
      </c>
      <c r="C134" s="79">
        <v>1</v>
      </c>
      <c r="D134" s="79">
        <f t="shared" si="4"/>
        <v>3</v>
      </c>
      <c r="E134" s="19">
        <v>11306</v>
      </c>
      <c r="F134" s="79">
        <f t="shared" si="5"/>
        <v>10</v>
      </c>
    </row>
    <row r="135" spans="1:6" x14ac:dyDescent="0.25">
      <c r="A135" s="79">
        <v>10132</v>
      </c>
      <c r="B135" s="79">
        <f t="shared" si="3"/>
        <v>2</v>
      </c>
      <c r="C135" s="79">
        <v>1</v>
      </c>
      <c r="D135" s="79">
        <f t="shared" si="4"/>
        <v>3</v>
      </c>
      <c r="E135" s="19">
        <v>11307</v>
      </c>
      <c r="F135" s="79">
        <f t="shared" si="5"/>
        <v>10</v>
      </c>
    </row>
    <row r="136" spans="1:6" x14ac:dyDescent="0.25">
      <c r="A136" s="79">
        <v>10133</v>
      </c>
      <c r="B136" s="79">
        <f t="shared" si="3"/>
        <v>2</v>
      </c>
      <c r="C136" s="79">
        <v>1</v>
      </c>
      <c r="D136" s="79">
        <f t="shared" si="4"/>
        <v>3</v>
      </c>
      <c r="E136" s="19">
        <v>11308</v>
      </c>
      <c r="F136" s="79">
        <f t="shared" si="5"/>
        <v>10</v>
      </c>
    </row>
    <row r="137" spans="1:6" x14ac:dyDescent="0.25">
      <c r="A137" s="79">
        <v>10134</v>
      </c>
      <c r="B137" s="79">
        <f t="shared" si="3"/>
        <v>2</v>
      </c>
      <c r="C137" s="79">
        <v>1</v>
      </c>
      <c r="D137" s="79">
        <f t="shared" si="4"/>
        <v>3</v>
      </c>
      <c r="E137" s="19">
        <v>11309</v>
      </c>
      <c r="F137" s="79">
        <f t="shared" si="5"/>
        <v>10</v>
      </c>
    </row>
    <row r="138" spans="1:6" x14ac:dyDescent="0.25">
      <c r="A138" s="79">
        <v>10135</v>
      </c>
      <c r="B138" s="79">
        <f t="shared" si="3"/>
        <v>2</v>
      </c>
      <c r="C138" s="79">
        <v>1</v>
      </c>
      <c r="D138" s="79">
        <f t="shared" si="4"/>
        <v>3</v>
      </c>
      <c r="E138" s="19">
        <v>11310</v>
      </c>
      <c r="F138" s="79">
        <f t="shared" si="5"/>
        <v>10</v>
      </c>
    </row>
    <row r="139" spans="1:6" x14ac:dyDescent="0.25">
      <c r="A139" s="79">
        <v>10136</v>
      </c>
      <c r="B139" s="79">
        <f t="shared" si="3"/>
        <v>2</v>
      </c>
      <c r="C139" s="79">
        <v>1</v>
      </c>
      <c r="D139" s="79">
        <f t="shared" si="4"/>
        <v>3</v>
      </c>
      <c r="E139" s="19">
        <v>11311</v>
      </c>
      <c r="F139" s="79">
        <f t="shared" si="5"/>
        <v>10</v>
      </c>
    </row>
    <row r="140" spans="1:6" x14ac:dyDescent="0.25">
      <c r="A140" s="79">
        <v>10137</v>
      </c>
      <c r="B140" s="79">
        <f t="shared" si="3"/>
        <v>2</v>
      </c>
      <c r="C140" s="79">
        <v>1</v>
      </c>
      <c r="D140" s="79">
        <f t="shared" si="4"/>
        <v>3</v>
      </c>
      <c r="E140" s="19">
        <v>11312</v>
      </c>
      <c r="F140" s="79">
        <f t="shared" si="5"/>
        <v>10</v>
      </c>
    </row>
    <row r="141" spans="1:6" x14ac:dyDescent="0.25">
      <c r="A141" s="79">
        <v>10138</v>
      </c>
      <c r="B141" s="79">
        <f t="shared" si="3"/>
        <v>2</v>
      </c>
      <c r="C141" s="79">
        <v>1</v>
      </c>
      <c r="D141" s="79">
        <f t="shared" si="4"/>
        <v>3</v>
      </c>
      <c r="E141" s="19">
        <v>11313</v>
      </c>
      <c r="F141" s="79">
        <f t="shared" si="5"/>
        <v>10</v>
      </c>
    </row>
    <row r="142" spans="1:6" x14ac:dyDescent="0.25">
      <c r="A142" s="79">
        <v>10139</v>
      </c>
      <c r="B142" s="79">
        <f t="shared" si="3"/>
        <v>2</v>
      </c>
      <c r="C142" s="79">
        <v>1</v>
      </c>
      <c r="D142" s="79">
        <f t="shared" si="4"/>
        <v>3</v>
      </c>
      <c r="E142" s="19">
        <v>11314</v>
      </c>
      <c r="F142" s="79">
        <f t="shared" si="5"/>
        <v>10</v>
      </c>
    </row>
    <row r="143" spans="1:6" x14ac:dyDescent="0.25">
      <c r="A143" s="79">
        <v>10140</v>
      </c>
      <c r="B143" s="79">
        <f t="shared" si="3"/>
        <v>2</v>
      </c>
      <c r="C143" s="79">
        <v>1</v>
      </c>
      <c r="D143" s="79">
        <f t="shared" si="4"/>
        <v>3</v>
      </c>
      <c r="E143" s="19">
        <v>11315</v>
      </c>
      <c r="F143" s="79">
        <f t="shared" si="5"/>
        <v>10</v>
      </c>
    </row>
    <row r="144" spans="1:6" x14ac:dyDescent="0.25">
      <c r="A144" s="79">
        <v>10141</v>
      </c>
      <c r="B144" s="79">
        <f t="shared" ref="B144:B207" si="6">B69+1</f>
        <v>2</v>
      </c>
      <c r="C144" s="79">
        <v>1</v>
      </c>
      <c r="D144" s="79">
        <f t="shared" si="4"/>
        <v>3</v>
      </c>
      <c r="E144" s="19">
        <v>11316</v>
      </c>
      <c r="F144" s="79">
        <f t="shared" si="5"/>
        <v>10</v>
      </c>
    </row>
    <row r="145" spans="1:6" x14ac:dyDescent="0.25">
      <c r="A145" s="79">
        <v>10142</v>
      </c>
      <c r="B145" s="79">
        <f t="shared" si="6"/>
        <v>2</v>
      </c>
      <c r="C145" s="79">
        <v>1</v>
      </c>
      <c r="D145" s="79">
        <f t="shared" si="4"/>
        <v>3</v>
      </c>
      <c r="E145" s="19">
        <v>11317</v>
      </c>
      <c r="F145" s="79">
        <f t="shared" si="5"/>
        <v>10</v>
      </c>
    </row>
    <row r="146" spans="1:6" x14ac:dyDescent="0.25">
      <c r="A146" s="79">
        <v>10143</v>
      </c>
      <c r="B146" s="79">
        <f t="shared" si="6"/>
        <v>2</v>
      </c>
      <c r="C146" s="79">
        <v>1</v>
      </c>
      <c r="D146" s="79">
        <f t="shared" si="4"/>
        <v>3</v>
      </c>
      <c r="E146" s="19">
        <v>11318</v>
      </c>
      <c r="F146" s="79">
        <f t="shared" si="5"/>
        <v>10</v>
      </c>
    </row>
    <row r="147" spans="1:6" x14ac:dyDescent="0.25">
      <c r="A147" s="79">
        <v>10144</v>
      </c>
      <c r="B147" s="79">
        <f t="shared" si="6"/>
        <v>2</v>
      </c>
      <c r="C147" s="79">
        <v>1</v>
      </c>
      <c r="D147" s="79">
        <f t="shared" si="4"/>
        <v>3</v>
      </c>
      <c r="E147" s="19">
        <v>11319</v>
      </c>
      <c r="F147" s="79">
        <f t="shared" si="5"/>
        <v>10</v>
      </c>
    </row>
    <row r="148" spans="1:6" x14ac:dyDescent="0.25">
      <c r="A148" s="79">
        <v>10145</v>
      </c>
      <c r="B148" s="79">
        <f t="shared" si="6"/>
        <v>2</v>
      </c>
      <c r="C148" s="79">
        <v>1</v>
      </c>
      <c r="D148" s="79">
        <f t="shared" si="4"/>
        <v>3</v>
      </c>
      <c r="E148" s="19">
        <v>11320</v>
      </c>
      <c r="F148" s="79">
        <f t="shared" si="5"/>
        <v>10</v>
      </c>
    </row>
    <row r="149" spans="1:6" x14ac:dyDescent="0.25">
      <c r="A149" s="79">
        <v>10146</v>
      </c>
      <c r="B149" s="79">
        <f t="shared" si="6"/>
        <v>2</v>
      </c>
      <c r="C149" s="79">
        <v>1</v>
      </c>
      <c r="D149" s="79">
        <f t="shared" si="4"/>
        <v>3</v>
      </c>
      <c r="E149" s="19">
        <v>11321</v>
      </c>
      <c r="F149" s="79">
        <f t="shared" si="5"/>
        <v>0</v>
      </c>
    </row>
    <row r="150" spans="1:6" x14ac:dyDescent="0.25">
      <c r="A150" s="79">
        <v>10147</v>
      </c>
      <c r="B150" s="79">
        <f t="shared" si="6"/>
        <v>2</v>
      </c>
      <c r="C150" s="79">
        <v>1</v>
      </c>
      <c r="D150" s="79">
        <f t="shared" si="4"/>
        <v>3</v>
      </c>
      <c r="E150" s="19">
        <v>11322</v>
      </c>
      <c r="F150" s="79">
        <f t="shared" si="5"/>
        <v>0</v>
      </c>
    </row>
    <row r="151" spans="1:6" x14ac:dyDescent="0.25">
      <c r="A151" s="79">
        <v>10148</v>
      </c>
      <c r="B151" s="79">
        <f t="shared" si="6"/>
        <v>2</v>
      </c>
      <c r="C151" s="79">
        <v>1</v>
      </c>
      <c r="D151" s="79">
        <f t="shared" si="4"/>
        <v>3</v>
      </c>
      <c r="E151" s="19">
        <v>11323</v>
      </c>
      <c r="F151" s="79">
        <f t="shared" si="5"/>
        <v>0</v>
      </c>
    </row>
    <row r="152" spans="1:6" x14ac:dyDescent="0.25">
      <c r="A152" s="79">
        <v>10149</v>
      </c>
      <c r="B152" s="79">
        <f t="shared" si="6"/>
        <v>2</v>
      </c>
      <c r="C152" s="79">
        <v>1</v>
      </c>
      <c r="D152" s="79">
        <f t="shared" si="4"/>
        <v>3</v>
      </c>
      <c r="E152" s="19">
        <v>11324</v>
      </c>
      <c r="F152" s="79">
        <f t="shared" si="5"/>
        <v>0</v>
      </c>
    </row>
    <row r="153" spans="1:6" x14ac:dyDescent="0.25">
      <c r="A153" s="79">
        <v>10150</v>
      </c>
      <c r="B153" s="79">
        <f t="shared" si="6"/>
        <v>2</v>
      </c>
      <c r="C153" s="79">
        <v>1</v>
      </c>
      <c r="D153" s="79">
        <f t="shared" si="4"/>
        <v>3</v>
      </c>
      <c r="E153" s="19">
        <v>11325</v>
      </c>
      <c r="F153" s="79">
        <f t="shared" si="5"/>
        <v>0</v>
      </c>
    </row>
    <row r="154" spans="1:6" x14ac:dyDescent="0.25">
      <c r="A154" s="79">
        <v>10151</v>
      </c>
      <c r="B154" s="79">
        <f t="shared" si="6"/>
        <v>3</v>
      </c>
      <c r="C154" s="79">
        <v>1</v>
      </c>
      <c r="D154" s="79">
        <v>1</v>
      </c>
      <c r="E154" s="19">
        <v>11101</v>
      </c>
      <c r="F154" s="79">
        <f t="shared" si="5"/>
        <v>0</v>
      </c>
    </row>
    <row r="155" spans="1:6" x14ac:dyDescent="0.25">
      <c r="A155" s="79">
        <v>10152</v>
      </c>
      <c r="B155" s="79">
        <f t="shared" si="6"/>
        <v>3</v>
      </c>
      <c r="C155" s="79">
        <v>1</v>
      </c>
      <c r="D155" s="79">
        <v>1</v>
      </c>
      <c r="E155" s="19">
        <v>11102</v>
      </c>
      <c r="F155" s="79">
        <f t="shared" si="5"/>
        <v>0</v>
      </c>
    </row>
    <row r="156" spans="1:6" x14ac:dyDescent="0.25">
      <c r="A156" s="79">
        <v>10153</v>
      </c>
      <c r="B156" s="79">
        <f t="shared" si="6"/>
        <v>3</v>
      </c>
      <c r="C156" s="79">
        <v>1</v>
      </c>
      <c r="D156" s="79">
        <v>1</v>
      </c>
      <c r="E156" s="19">
        <v>11103</v>
      </c>
      <c r="F156" s="79">
        <f t="shared" si="5"/>
        <v>0</v>
      </c>
    </row>
    <row r="157" spans="1:6" x14ac:dyDescent="0.25">
      <c r="A157" s="79">
        <v>10154</v>
      </c>
      <c r="B157" s="79">
        <f t="shared" si="6"/>
        <v>3</v>
      </c>
      <c r="C157" s="79">
        <v>1</v>
      </c>
      <c r="D157" s="79">
        <v>1</v>
      </c>
      <c r="E157" s="19">
        <v>11104</v>
      </c>
      <c r="F157" s="79">
        <f t="shared" si="5"/>
        <v>0</v>
      </c>
    </row>
    <row r="158" spans="1:6" x14ac:dyDescent="0.25">
      <c r="A158" s="79">
        <v>10155</v>
      </c>
      <c r="B158" s="79">
        <f t="shared" si="6"/>
        <v>3</v>
      </c>
      <c r="C158" s="79">
        <v>1</v>
      </c>
      <c r="D158" s="79">
        <v>1</v>
      </c>
      <c r="E158" s="19">
        <v>11105</v>
      </c>
      <c r="F158" s="79">
        <f t="shared" si="5"/>
        <v>0</v>
      </c>
    </row>
    <row r="159" spans="1:6" x14ac:dyDescent="0.25">
      <c r="A159" s="79">
        <v>10156</v>
      </c>
      <c r="B159" s="79">
        <f t="shared" si="6"/>
        <v>3</v>
      </c>
      <c r="C159" s="79">
        <v>1</v>
      </c>
      <c r="D159" s="79">
        <v>1</v>
      </c>
      <c r="E159" s="19">
        <v>11106</v>
      </c>
      <c r="F159" s="79">
        <f t="shared" si="5"/>
        <v>0</v>
      </c>
    </row>
    <row r="160" spans="1:6" x14ac:dyDescent="0.25">
      <c r="A160" s="79">
        <v>10157</v>
      </c>
      <c r="B160" s="79">
        <f t="shared" si="6"/>
        <v>3</v>
      </c>
      <c r="C160" s="79">
        <v>1</v>
      </c>
      <c r="D160" s="79">
        <v>1</v>
      </c>
      <c r="E160" s="19">
        <v>11107</v>
      </c>
      <c r="F160" s="79">
        <f t="shared" si="5"/>
        <v>0</v>
      </c>
    </row>
    <row r="161" spans="1:6" x14ac:dyDescent="0.25">
      <c r="A161" s="79">
        <v>10158</v>
      </c>
      <c r="B161" s="79">
        <f t="shared" si="6"/>
        <v>3</v>
      </c>
      <c r="C161" s="79">
        <v>1</v>
      </c>
      <c r="D161" s="79">
        <v>1</v>
      </c>
      <c r="E161" s="19">
        <v>11108</v>
      </c>
      <c r="F161" s="79">
        <f t="shared" si="5"/>
        <v>0</v>
      </c>
    </row>
    <row r="162" spans="1:6" x14ac:dyDescent="0.25">
      <c r="A162" s="79">
        <v>10159</v>
      </c>
      <c r="B162" s="79">
        <f t="shared" si="6"/>
        <v>3</v>
      </c>
      <c r="C162" s="79">
        <v>1</v>
      </c>
      <c r="D162" s="79">
        <v>1</v>
      </c>
      <c r="E162" s="19">
        <v>11109</v>
      </c>
      <c r="F162" s="79">
        <f t="shared" si="5"/>
        <v>0</v>
      </c>
    </row>
    <row r="163" spans="1:6" x14ac:dyDescent="0.25">
      <c r="A163" s="79">
        <v>10160</v>
      </c>
      <c r="B163" s="79">
        <f t="shared" si="6"/>
        <v>3</v>
      </c>
      <c r="C163" s="79">
        <v>1</v>
      </c>
      <c r="D163" s="79">
        <v>1</v>
      </c>
      <c r="E163" s="19">
        <v>11110</v>
      </c>
      <c r="F163" s="79">
        <f t="shared" si="5"/>
        <v>0</v>
      </c>
    </row>
    <row r="164" spans="1:6" x14ac:dyDescent="0.25">
      <c r="A164" s="79">
        <v>10161</v>
      </c>
      <c r="B164" s="79">
        <f t="shared" si="6"/>
        <v>3</v>
      </c>
      <c r="C164" s="79">
        <v>1</v>
      </c>
      <c r="D164" s="79">
        <v>1</v>
      </c>
      <c r="E164" s="19">
        <v>11111</v>
      </c>
      <c r="F164" s="79">
        <f t="shared" si="5"/>
        <v>10</v>
      </c>
    </row>
    <row r="165" spans="1:6" x14ac:dyDescent="0.25">
      <c r="A165" s="79">
        <v>10162</v>
      </c>
      <c r="B165" s="79">
        <f t="shared" si="6"/>
        <v>3</v>
      </c>
      <c r="C165" s="79">
        <v>1</v>
      </c>
      <c r="D165" s="79">
        <v>1</v>
      </c>
      <c r="E165" s="19">
        <v>11112</v>
      </c>
      <c r="F165" s="79">
        <f t="shared" si="5"/>
        <v>10</v>
      </c>
    </row>
    <row r="166" spans="1:6" x14ac:dyDescent="0.25">
      <c r="A166" s="79">
        <v>10163</v>
      </c>
      <c r="B166" s="79">
        <f t="shared" si="6"/>
        <v>3</v>
      </c>
      <c r="C166" s="79">
        <v>1</v>
      </c>
      <c r="D166" s="79">
        <v>1</v>
      </c>
      <c r="E166" s="19">
        <v>11113</v>
      </c>
      <c r="F166" s="79">
        <f t="shared" si="5"/>
        <v>10</v>
      </c>
    </row>
    <row r="167" spans="1:6" x14ac:dyDescent="0.25">
      <c r="A167" s="79">
        <v>10164</v>
      </c>
      <c r="B167" s="79">
        <f t="shared" si="6"/>
        <v>3</v>
      </c>
      <c r="C167" s="79">
        <v>1</v>
      </c>
      <c r="D167" s="79">
        <v>1</v>
      </c>
      <c r="E167" s="19">
        <v>11114</v>
      </c>
      <c r="F167" s="79">
        <f t="shared" si="5"/>
        <v>10</v>
      </c>
    </row>
    <row r="168" spans="1:6" x14ac:dyDescent="0.25">
      <c r="A168" s="79">
        <v>10165</v>
      </c>
      <c r="B168" s="79">
        <f t="shared" si="6"/>
        <v>3</v>
      </c>
      <c r="C168" s="79">
        <v>1</v>
      </c>
      <c r="D168" s="79">
        <v>1</v>
      </c>
      <c r="E168" s="19">
        <v>11115</v>
      </c>
      <c r="F168" s="79">
        <f t="shared" si="5"/>
        <v>10</v>
      </c>
    </row>
    <row r="169" spans="1:6" x14ac:dyDescent="0.25">
      <c r="A169" s="79">
        <v>10166</v>
      </c>
      <c r="B169" s="79">
        <f t="shared" si="6"/>
        <v>3</v>
      </c>
      <c r="C169" s="79">
        <v>1</v>
      </c>
      <c r="D169" s="79">
        <v>1</v>
      </c>
      <c r="E169" s="19">
        <v>11116</v>
      </c>
      <c r="F169" s="79">
        <f t="shared" si="5"/>
        <v>10</v>
      </c>
    </row>
    <row r="170" spans="1:6" x14ac:dyDescent="0.25">
      <c r="A170" s="79">
        <v>10167</v>
      </c>
      <c r="B170" s="79">
        <f t="shared" si="6"/>
        <v>3</v>
      </c>
      <c r="C170" s="79">
        <v>1</v>
      </c>
      <c r="D170" s="79">
        <v>1</v>
      </c>
      <c r="E170" s="19">
        <v>11117</v>
      </c>
      <c r="F170" s="79">
        <f t="shared" si="5"/>
        <v>10</v>
      </c>
    </row>
    <row r="171" spans="1:6" x14ac:dyDescent="0.25">
      <c r="A171" s="79">
        <v>10168</v>
      </c>
      <c r="B171" s="79">
        <f t="shared" si="6"/>
        <v>3</v>
      </c>
      <c r="C171" s="79">
        <v>1</v>
      </c>
      <c r="D171" s="79">
        <v>1</v>
      </c>
      <c r="E171" s="19">
        <v>11118</v>
      </c>
      <c r="F171" s="79">
        <f t="shared" si="5"/>
        <v>10</v>
      </c>
    </row>
    <row r="172" spans="1:6" x14ac:dyDescent="0.25">
      <c r="A172" s="79">
        <v>10169</v>
      </c>
      <c r="B172" s="79">
        <f t="shared" si="6"/>
        <v>3</v>
      </c>
      <c r="C172" s="79">
        <v>1</v>
      </c>
      <c r="D172" s="79">
        <v>1</v>
      </c>
      <c r="E172" s="19">
        <v>11119</v>
      </c>
      <c r="F172" s="79">
        <f t="shared" si="5"/>
        <v>10</v>
      </c>
    </row>
    <row r="173" spans="1:6" x14ac:dyDescent="0.25">
      <c r="A173" s="79">
        <v>10170</v>
      </c>
      <c r="B173" s="79">
        <f t="shared" si="6"/>
        <v>3</v>
      </c>
      <c r="C173" s="79">
        <v>1</v>
      </c>
      <c r="D173" s="79">
        <v>1</v>
      </c>
      <c r="E173" s="19">
        <v>11120</v>
      </c>
      <c r="F173" s="79">
        <f t="shared" si="5"/>
        <v>10</v>
      </c>
    </row>
    <row r="174" spans="1:6" x14ac:dyDescent="0.25">
      <c r="A174" s="79">
        <v>10171</v>
      </c>
      <c r="B174" s="79">
        <f t="shared" si="6"/>
        <v>3</v>
      </c>
      <c r="C174" s="79">
        <v>1</v>
      </c>
      <c r="D174" s="79">
        <v>1</v>
      </c>
      <c r="E174" s="19">
        <v>11121</v>
      </c>
      <c r="F174" s="79">
        <f t="shared" si="5"/>
        <v>10</v>
      </c>
    </row>
    <row r="175" spans="1:6" x14ac:dyDescent="0.25">
      <c r="A175" s="79">
        <v>10172</v>
      </c>
      <c r="B175" s="79">
        <f t="shared" si="6"/>
        <v>3</v>
      </c>
      <c r="C175" s="79">
        <v>1</v>
      </c>
      <c r="D175" s="79">
        <v>1</v>
      </c>
      <c r="E175" s="19">
        <v>11122</v>
      </c>
      <c r="F175" s="79">
        <f t="shared" si="5"/>
        <v>10</v>
      </c>
    </row>
    <row r="176" spans="1:6" x14ac:dyDescent="0.25">
      <c r="A176" s="79">
        <v>10173</v>
      </c>
      <c r="B176" s="79">
        <f t="shared" si="6"/>
        <v>3</v>
      </c>
      <c r="C176" s="79">
        <v>1</v>
      </c>
      <c r="D176" s="79">
        <v>1</v>
      </c>
      <c r="E176" s="19">
        <v>11123</v>
      </c>
      <c r="F176" s="79">
        <f t="shared" si="5"/>
        <v>10</v>
      </c>
    </row>
    <row r="177" spans="1:6" x14ac:dyDescent="0.25">
      <c r="A177" s="79">
        <v>10174</v>
      </c>
      <c r="B177" s="79">
        <f t="shared" si="6"/>
        <v>3</v>
      </c>
      <c r="C177" s="79">
        <v>1</v>
      </c>
      <c r="D177" s="79">
        <v>1</v>
      </c>
      <c r="E177" s="19">
        <v>11124</v>
      </c>
      <c r="F177" s="79">
        <f t="shared" si="5"/>
        <v>10</v>
      </c>
    </row>
    <row r="178" spans="1:6" x14ac:dyDescent="0.25">
      <c r="A178" s="79">
        <v>10175</v>
      </c>
      <c r="B178" s="79">
        <f t="shared" si="6"/>
        <v>3</v>
      </c>
      <c r="C178" s="79">
        <v>1</v>
      </c>
      <c r="D178" s="79">
        <v>1</v>
      </c>
      <c r="E178" s="19">
        <v>11125</v>
      </c>
      <c r="F178" s="79">
        <f t="shared" si="5"/>
        <v>10</v>
      </c>
    </row>
    <row r="179" spans="1:6" x14ac:dyDescent="0.25">
      <c r="A179" s="79">
        <v>10176</v>
      </c>
      <c r="B179" s="79">
        <f t="shared" si="6"/>
        <v>3</v>
      </c>
      <c r="C179" s="79">
        <v>1</v>
      </c>
      <c r="D179" s="79">
        <f>D154+1</f>
        <v>2</v>
      </c>
      <c r="E179" s="19">
        <v>11201</v>
      </c>
      <c r="F179" s="79">
        <f t="shared" si="5"/>
        <v>0</v>
      </c>
    </row>
    <row r="180" spans="1:6" x14ac:dyDescent="0.25">
      <c r="A180" s="79">
        <v>10177</v>
      </c>
      <c r="B180" s="79">
        <f t="shared" si="6"/>
        <v>3</v>
      </c>
      <c r="C180" s="79">
        <v>1</v>
      </c>
      <c r="D180" s="79">
        <f t="shared" ref="D180:D228" si="7">D155+1</f>
        <v>2</v>
      </c>
      <c r="E180" s="19">
        <v>11202</v>
      </c>
      <c r="F180" s="79">
        <f t="shared" si="5"/>
        <v>0</v>
      </c>
    </row>
    <row r="181" spans="1:6" x14ac:dyDescent="0.25">
      <c r="A181" s="79">
        <v>10178</v>
      </c>
      <c r="B181" s="79">
        <f t="shared" si="6"/>
        <v>3</v>
      </c>
      <c r="C181" s="79">
        <v>1</v>
      </c>
      <c r="D181" s="79">
        <f t="shared" si="7"/>
        <v>2</v>
      </c>
      <c r="E181" s="19">
        <v>11203</v>
      </c>
      <c r="F181" s="79">
        <f t="shared" si="5"/>
        <v>0</v>
      </c>
    </row>
    <row r="182" spans="1:6" x14ac:dyDescent="0.25">
      <c r="A182" s="79">
        <v>10179</v>
      </c>
      <c r="B182" s="79">
        <f t="shared" si="6"/>
        <v>3</v>
      </c>
      <c r="C182" s="79">
        <v>1</v>
      </c>
      <c r="D182" s="79">
        <f t="shared" si="7"/>
        <v>2</v>
      </c>
      <c r="E182" s="19">
        <v>11204</v>
      </c>
      <c r="F182" s="79">
        <f t="shared" si="5"/>
        <v>0</v>
      </c>
    </row>
    <row r="183" spans="1:6" x14ac:dyDescent="0.25">
      <c r="A183" s="79">
        <v>10180</v>
      </c>
      <c r="B183" s="79">
        <f t="shared" si="6"/>
        <v>3</v>
      </c>
      <c r="C183" s="79">
        <v>1</v>
      </c>
      <c r="D183" s="79">
        <f t="shared" si="7"/>
        <v>2</v>
      </c>
      <c r="E183" s="19">
        <v>11205</v>
      </c>
      <c r="F183" s="79">
        <f t="shared" si="5"/>
        <v>0</v>
      </c>
    </row>
    <row r="184" spans="1:6" x14ac:dyDescent="0.25">
      <c r="A184" s="79">
        <v>10181</v>
      </c>
      <c r="B184" s="79">
        <f t="shared" si="6"/>
        <v>3</v>
      </c>
      <c r="C184" s="79">
        <v>1</v>
      </c>
      <c r="D184" s="79">
        <f t="shared" si="7"/>
        <v>2</v>
      </c>
      <c r="E184" s="19">
        <v>11206</v>
      </c>
      <c r="F184" s="79">
        <f t="shared" si="5"/>
        <v>0</v>
      </c>
    </row>
    <row r="185" spans="1:6" x14ac:dyDescent="0.25">
      <c r="A185" s="79">
        <v>10182</v>
      </c>
      <c r="B185" s="79">
        <f t="shared" si="6"/>
        <v>3</v>
      </c>
      <c r="C185" s="79">
        <v>1</v>
      </c>
      <c r="D185" s="79">
        <f t="shared" si="7"/>
        <v>2</v>
      </c>
      <c r="E185" s="19">
        <v>11207</v>
      </c>
      <c r="F185" s="79">
        <f t="shared" si="5"/>
        <v>0</v>
      </c>
    </row>
    <row r="186" spans="1:6" x14ac:dyDescent="0.25">
      <c r="A186" s="79">
        <v>10183</v>
      </c>
      <c r="B186" s="79">
        <f t="shared" si="6"/>
        <v>3</v>
      </c>
      <c r="C186" s="79">
        <v>1</v>
      </c>
      <c r="D186" s="79">
        <f t="shared" si="7"/>
        <v>2</v>
      </c>
      <c r="E186" s="19">
        <v>11208</v>
      </c>
      <c r="F186" s="79">
        <f t="shared" si="5"/>
        <v>0</v>
      </c>
    </row>
    <row r="187" spans="1:6" x14ac:dyDescent="0.25">
      <c r="A187" s="79">
        <v>10184</v>
      </c>
      <c r="B187" s="79">
        <f t="shared" si="6"/>
        <v>3</v>
      </c>
      <c r="C187" s="79">
        <v>1</v>
      </c>
      <c r="D187" s="79">
        <f t="shared" si="7"/>
        <v>2</v>
      </c>
      <c r="E187" s="19">
        <v>11209</v>
      </c>
      <c r="F187" s="79">
        <f t="shared" si="5"/>
        <v>0</v>
      </c>
    </row>
    <row r="188" spans="1:6" x14ac:dyDescent="0.25">
      <c r="A188" s="79">
        <v>10185</v>
      </c>
      <c r="B188" s="79">
        <f t="shared" si="6"/>
        <v>3</v>
      </c>
      <c r="C188" s="79">
        <v>1</v>
      </c>
      <c r="D188" s="79">
        <f t="shared" si="7"/>
        <v>2</v>
      </c>
      <c r="E188" s="19">
        <v>11210</v>
      </c>
      <c r="F188" s="79">
        <f t="shared" si="5"/>
        <v>0</v>
      </c>
    </row>
    <row r="189" spans="1:6" x14ac:dyDescent="0.25">
      <c r="A189" s="79">
        <v>10186</v>
      </c>
      <c r="B189" s="79">
        <f t="shared" si="6"/>
        <v>3</v>
      </c>
      <c r="C189" s="79">
        <v>1</v>
      </c>
      <c r="D189" s="79">
        <f t="shared" si="7"/>
        <v>2</v>
      </c>
      <c r="E189" s="19">
        <v>11211</v>
      </c>
      <c r="F189" s="79">
        <f t="shared" si="5"/>
        <v>10</v>
      </c>
    </row>
    <row r="190" spans="1:6" x14ac:dyDescent="0.25">
      <c r="A190" s="79">
        <v>10187</v>
      </c>
      <c r="B190" s="79">
        <f t="shared" si="6"/>
        <v>3</v>
      </c>
      <c r="C190" s="79">
        <v>1</v>
      </c>
      <c r="D190" s="79">
        <f t="shared" si="7"/>
        <v>2</v>
      </c>
      <c r="E190" s="19">
        <v>11212</v>
      </c>
      <c r="F190" s="79">
        <f t="shared" si="5"/>
        <v>10</v>
      </c>
    </row>
    <row r="191" spans="1:6" x14ac:dyDescent="0.25">
      <c r="A191" s="79">
        <v>10188</v>
      </c>
      <c r="B191" s="79">
        <f t="shared" si="6"/>
        <v>3</v>
      </c>
      <c r="C191" s="79">
        <v>1</v>
      </c>
      <c r="D191" s="79">
        <f t="shared" si="7"/>
        <v>2</v>
      </c>
      <c r="E191" s="19">
        <v>11213</v>
      </c>
      <c r="F191" s="79">
        <f t="shared" si="5"/>
        <v>10</v>
      </c>
    </row>
    <row r="192" spans="1:6" x14ac:dyDescent="0.25">
      <c r="A192" s="79">
        <v>10189</v>
      </c>
      <c r="B192" s="79">
        <f t="shared" si="6"/>
        <v>3</v>
      </c>
      <c r="C192" s="79">
        <v>1</v>
      </c>
      <c r="D192" s="79">
        <f t="shared" si="7"/>
        <v>2</v>
      </c>
      <c r="E192" s="19">
        <v>11214</v>
      </c>
      <c r="F192" s="79">
        <f t="shared" si="5"/>
        <v>10</v>
      </c>
    </row>
    <row r="193" spans="1:6" x14ac:dyDescent="0.25">
      <c r="A193" s="79">
        <v>10190</v>
      </c>
      <c r="B193" s="79">
        <f t="shared" si="6"/>
        <v>3</v>
      </c>
      <c r="C193" s="79">
        <v>1</v>
      </c>
      <c r="D193" s="79">
        <f t="shared" si="7"/>
        <v>2</v>
      </c>
      <c r="E193" s="19">
        <v>11215</v>
      </c>
      <c r="F193" s="79">
        <f t="shared" si="5"/>
        <v>10</v>
      </c>
    </row>
    <row r="194" spans="1:6" x14ac:dyDescent="0.25">
      <c r="A194" s="79">
        <v>10191</v>
      </c>
      <c r="B194" s="79">
        <f t="shared" si="6"/>
        <v>3</v>
      </c>
      <c r="C194" s="79">
        <v>1</v>
      </c>
      <c r="D194" s="79">
        <f t="shared" si="7"/>
        <v>2</v>
      </c>
      <c r="E194" s="19">
        <v>11216</v>
      </c>
      <c r="F194" s="79">
        <f t="shared" si="5"/>
        <v>10</v>
      </c>
    </row>
    <row r="195" spans="1:6" x14ac:dyDescent="0.25">
      <c r="A195" s="79">
        <v>10192</v>
      </c>
      <c r="B195" s="79">
        <f t="shared" si="6"/>
        <v>3</v>
      </c>
      <c r="C195" s="79">
        <v>1</v>
      </c>
      <c r="D195" s="79">
        <f t="shared" si="7"/>
        <v>2</v>
      </c>
      <c r="E195" s="19">
        <v>11217</v>
      </c>
      <c r="F195" s="79">
        <f t="shared" si="5"/>
        <v>10</v>
      </c>
    </row>
    <row r="196" spans="1:6" x14ac:dyDescent="0.25">
      <c r="A196" s="79">
        <v>10193</v>
      </c>
      <c r="B196" s="79">
        <f t="shared" si="6"/>
        <v>3</v>
      </c>
      <c r="C196" s="79">
        <v>1</v>
      </c>
      <c r="D196" s="79">
        <f t="shared" si="7"/>
        <v>2</v>
      </c>
      <c r="E196" s="19">
        <v>11218</v>
      </c>
      <c r="F196" s="79">
        <f t="shared" si="5"/>
        <v>10</v>
      </c>
    </row>
    <row r="197" spans="1:6" x14ac:dyDescent="0.25">
      <c r="A197" s="79">
        <v>10194</v>
      </c>
      <c r="B197" s="79">
        <f t="shared" si="6"/>
        <v>3</v>
      </c>
      <c r="C197" s="79">
        <v>1</v>
      </c>
      <c r="D197" s="79">
        <f t="shared" si="7"/>
        <v>2</v>
      </c>
      <c r="E197" s="19">
        <v>11219</v>
      </c>
      <c r="F197" s="79">
        <f t="shared" ref="F197:F260" si="8">VLOOKUP(RIGHT(E197,2)*1,$J$4:$Q$29,B197+1,0)</f>
        <v>10</v>
      </c>
    </row>
    <row r="198" spans="1:6" x14ac:dyDescent="0.25">
      <c r="A198" s="79">
        <v>10195</v>
      </c>
      <c r="B198" s="79">
        <f t="shared" si="6"/>
        <v>3</v>
      </c>
      <c r="C198" s="79">
        <v>1</v>
      </c>
      <c r="D198" s="79">
        <f t="shared" si="7"/>
        <v>2</v>
      </c>
      <c r="E198" s="19">
        <v>11220</v>
      </c>
      <c r="F198" s="79">
        <f t="shared" si="8"/>
        <v>10</v>
      </c>
    </row>
    <row r="199" spans="1:6" x14ac:dyDescent="0.25">
      <c r="A199" s="79">
        <v>10196</v>
      </c>
      <c r="B199" s="79">
        <f t="shared" si="6"/>
        <v>3</v>
      </c>
      <c r="C199" s="79">
        <v>1</v>
      </c>
      <c r="D199" s="79">
        <f t="shared" si="7"/>
        <v>2</v>
      </c>
      <c r="E199" s="19">
        <v>11221</v>
      </c>
      <c r="F199" s="79">
        <f t="shared" si="8"/>
        <v>10</v>
      </c>
    </row>
    <row r="200" spans="1:6" x14ac:dyDescent="0.25">
      <c r="A200" s="79">
        <v>10197</v>
      </c>
      <c r="B200" s="79">
        <f t="shared" si="6"/>
        <v>3</v>
      </c>
      <c r="C200" s="79">
        <v>1</v>
      </c>
      <c r="D200" s="79">
        <f t="shared" si="7"/>
        <v>2</v>
      </c>
      <c r="E200" s="19">
        <v>11222</v>
      </c>
      <c r="F200" s="79">
        <f t="shared" si="8"/>
        <v>10</v>
      </c>
    </row>
    <row r="201" spans="1:6" x14ac:dyDescent="0.25">
      <c r="A201" s="79">
        <v>10198</v>
      </c>
      <c r="B201" s="79">
        <f t="shared" si="6"/>
        <v>3</v>
      </c>
      <c r="C201" s="79">
        <v>1</v>
      </c>
      <c r="D201" s="79">
        <f t="shared" si="7"/>
        <v>2</v>
      </c>
      <c r="E201" s="19">
        <v>11223</v>
      </c>
      <c r="F201" s="79">
        <f t="shared" si="8"/>
        <v>10</v>
      </c>
    </row>
    <row r="202" spans="1:6" x14ac:dyDescent="0.25">
      <c r="A202" s="79">
        <v>10199</v>
      </c>
      <c r="B202" s="79">
        <f t="shared" si="6"/>
        <v>3</v>
      </c>
      <c r="C202" s="79">
        <v>1</v>
      </c>
      <c r="D202" s="79">
        <f t="shared" si="7"/>
        <v>2</v>
      </c>
      <c r="E202" s="19">
        <v>11224</v>
      </c>
      <c r="F202" s="79">
        <f t="shared" si="8"/>
        <v>10</v>
      </c>
    </row>
    <row r="203" spans="1:6" x14ac:dyDescent="0.25">
      <c r="A203" s="79">
        <v>10200</v>
      </c>
      <c r="B203" s="79">
        <f t="shared" si="6"/>
        <v>3</v>
      </c>
      <c r="C203" s="79">
        <v>1</v>
      </c>
      <c r="D203" s="79">
        <f t="shared" si="7"/>
        <v>2</v>
      </c>
      <c r="E203" s="19">
        <v>11225</v>
      </c>
      <c r="F203" s="79">
        <f t="shared" si="8"/>
        <v>10</v>
      </c>
    </row>
    <row r="204" spans="1:6" x14ac:dyDescent="0.25">
      <c r="A204" s="79">
        <v>10201</v>
      </c>
      <c r="B204" s="79">
        <f t="shared" si="6"/>
        <v>3</v>
      </c>
      <c r="C204" s="79">
        <v>1</v>
      </c>
      <c r="D204" s="79">
        <f t="shared" si="7"/>
        <v>3</v>
      </c>
      <c r="E204" s="19">
        <v>11301</v>
      </c>
      <c r="F204" s="79">
        <f t="shared" si="8"/>
        <v>0</v>
      </c>
    </row>
    <row r="205" spans="1:6" x14ac:dyDescent="0.25">
      <c r="A205" s="79">
        <v>10202</v>
      </c>
      <c r="B205" s="79">
        <f t="shared" si="6"/>
        <v>3</v>
      </c>
      <c r="C205" s="79">
        <v>1</v>
      </c>
      <c r="D205" s="79">
        <f t="shared" si="7"/>
        <v>3</v>
      </c>
      <c r="E205" s="19">
        <v>11302</v>
      </c>
      <c r="F205" s="79">
        <f t="shared" si="8"/>
        <v>0</v>
      </c>
    </row>
    <row r="206" spans="1:6" x14ac:dyDescent="0.25">
      <c r="A206" s="79">
        <v>10203</v>
      </c>
      <c r="B206" s="79">
        <f t="shared" si="6"/>
        <v>3</v>
      </c>
      <c r="C206" s="79">
        <v>1</v>
      </c>
      <c r="D206" s="79">
        <f t="shared" si="7"/>
        <v>3</v>
      </c>
      <c r="E206" s="19">
        <v>11303</v>
      </c>
      <c r="F206" s="79">
        <f t="shared" si="8"/>
        <v>0</v>
      </c>
    </row>
    <row r="207" spans="1:6" x14ac:dyDescent="0.25">
      <c r="A207" s="79">
        <v>10204</v>
      </c>
      <c r="B207" s="79">
        <f t="shared" si="6"/>
        <v>3</v>
      </c>
      <c r="C207" s="79">
        <v>1</v>
      </c>
      <c r="D207" s="79">
        <f t="shared" si="7"/>
        <v>3</v>
      </c>
      <c r="E207" s="19">
        <v>11304</v>
      </c>
      <c r="F207" s="79">
        <f t="shared" si="8"/>
        <v>0</v>
      </c>
    </row>
    <row r="208" spans="1:6" x14ac:dyDescent="0.25">
      <c r="A208" s="79">
        <v>10205</v>
      </c>
      <c r="B208" s="79">
        <f t="shared" ref="B208:B271" si="9">B133+1</f>
        <v>3</v>
      </c>
      <c r="C208" s="79">
        <v>1</v>
      </c>
      <c r="D208" s="79">
        <f t="shared" si="7"/>
        <v>3</v>
      </c>
      <c r="E208" s="19">
        <v>11305</v>
      </c>
      <c r="F208" s="79">
        <f t="shared" si="8"/>
        <v>0</v>
      </c>
    </row>
    <row r="209" spans="1:6" x14ac:dyDescent="0.25">
      <c r="A209" s="79">
        <v>10206</v>
      </c>
      <c r="B209" s="79">
        <f t="shared" si="9"/>
        <v>3</v>
      </c>
      <c r="C209" s="79">
        <v>1</v>
      </c>
      <c r="D209" s="79">
        <f t="shared" si="7"/>
        <v>3</v>
      </c>
      <c r="E209" s="19">
        <v>11306</v>
      </c>
      <c r="F209" s="79">
        <f t="shared" si="8"/>
        <v>0</v>
      </c>
    </row>
    <row r="210" spans="1:6" x14ac:dyDescent="0.25">
      <c r="A210" s="79">
        <v>10207</v>
      </c>
      <c r="B210" s="79">
        <f t="shared" si="9"/>
        <v>3</v>
      </c>
      <c r="C210" s="79">
        <v>1</v>
      </c>
      <c r="D210" s="79">
        <f t="shared" si="7"/>
        <v>3</v>
      </c>
      <c r="E210" s="19">
        <v>11307</v>
      </c>
      <c r="F210" s="79">
        <f t="shared" si="8"/>
        <v>0</v>
      </c>
    </row>
    <row r="211" spans="1:6" x14ac:dyDescent="0.25">
      <c r="A211" s="79">
        <v>10208</v>
      </c>
      <c r="B211" s="79">
        <f t="shared" si="9"/>
        <v>3</v>
      </c>
      <c r="C211" s="79">
        <v>1</v>
      </c>
      <c r="D211" s="79">
        <f t="shared" si="7"/>
        <v>3</v>
      </c>
      <c r="E211" s="19">
        <v>11308</v>
      </c>
      <c r="F211" s="79">
        <f t="shared" si="8"/>
        <v>0</v>
      </c>
    </row>
    <row r="212" spans="1:6" x14ac:dyDescent="0.25">
      <c r="A212" s="79">
        <v>10209</v>
      </c>
      <c r="B212" s="79">
        <f t="shared" si="9"/>
        <v>3</v>
      </c>
      <c r="C212" s="79">
        <v>1</v>
      </c>
      <c r="D212" s="79">
        <f t="shared" si="7"/>
        <v>3</v>
      </c>
      <c r="E212" s="19">
        <v>11309</v>
      </c>
      <c r="F212" s="79">
        <f t="shared" si="8"/>
        <v>0</v>
      </c>
    </row>
    <row r="213" spans="1:6" x14ac:dyDescent="0.25">
      <c r="A213" s="79">
        <v>10210</v>
      </c>
      <c r="B213" s="79">
        <f t="shared" si="9"/>
        <v>3</v>
      </c>
      <c r="C213" s="79">
        <v>1</v>
      </c>
      <c r="D213" s="79">
        <f t="shared" si="7"/>
        <v>3</v>
      </c>
      <c r="E213" s="19">
        <v>11310</v>
      </c>
      <c r="F213" s="79">
        <f t="shared" si="8"/>
        <v>0</v>
      </c>
    </row>
    <row r="214" spans="1:6" x14ac:dyDescent="0.25">
      <c r="A214" s="79">
        <v>10211</v>
      </c>
      <c r="B214" s="79">
        <f t="shared" si="9"/>
        <v>3</v>
      </c>
      <c r="C214" s="79">
        <v>1</v>
      </c>
      <c r="D214" s="79">
        <f t="shared" si="7"/>
        <v>3</v>
      </c>
      <c r="E214" s="19">
        <v>11311</v>
      </c>
      <c r="F214" s="79">
        <f t="shared" si="8"/>
        <v>10</v>
      </c>
    </row>
    <row r="215" spans="1:6" x14ac:dyDescent="0.25">
      <c r="A215" s="79">
        <v>10212</v>
      </c>
      <c r="B215" s="79">
        <f t="shared" si="9"/>
        <v>3</v>
      </c>
      <c r="C215" s="79">
        <v>1</v>
      </c>
      <c r="D215" s="79">
        <f t="shared" si="7"/>
        <v>3</v>
      </c>
      <c r="E215" s="19">
        <v>11312</v>
      </c>
      <c r="F215" s="79">
        <f t="shared" si="8"/>
        <v>10</v>
      </c>
    </row>
    <row r="216" spans="1:6" x14ac:dyDescent="0.25">
      <c r="A216" s="79">
        <v>10213</v>
      </c>
      <c r="B216" s="79">
        <f t="shared" si="9"/>
        <v>3</v>
      </c>
      <c r="C216" s="79">
        <v>1</v>
      </c>
      <c r="D216" s="79">
        <f t="shared" si="7"/>
        <v>3</v>
      </c>
      <c r="E216" s="19">
        <v>11313</v>
      </c>
      <c r="F216" s="79">
        <f t="shared" si="8"/>
        <v>10</v>
      </c>
    </row>
    <row r="217" spans="1:6" x14ac:dyDescent="0.25">
      <c r="A217" s="79">
        <v>10214</v>
      </c>
      <c r="B217" s="79">
        <f t="shared" si="9"/>
        <v>3</v>
      </c>
      <c r="C217" s="79">
        <v>1</v>
      </c>
      <c r="D217" s="79">
        <f t="shared" si="7"/>
        <v>3</v>
      </c>
      <c r="E217" s="19">
        <v>11314</v>
      </c>
      <c r="F217" s="79">
        <f t="shared" si="8"/>
        <v>10</v>
      </c>
    </row>
    <row r="218" spans="1:6" x14ac:dyDescent="0.25">
      <c r="A218" s="79">
        <v>10215</v>
      </c>
      <c r="B218" s="79">
        <f t="shared" si="9"/>
        <v>3</v>
      </c>
      <c r="C218" s="79">
        <v>1</v>
      </c>
      <c r="D218" s="79">
        <f t="shared" si="7"/>
        <v>3</v>
      </c>
      <c r="E218" s="19">
        <v>11315</v>
      </c>
      <c r="F218" s="79">
        <f t="shared" si="8"/>
        <v>10</v>
      </c>
    </row>
    <row r="219" spans="1:6" x14ac:dyDescent="0.25">
      <c r="A219" s="79">
        <v>10216</v>
      </c>
      <c r="B219" s="79">
        <f t="shared" si="9"/>
        <v>3</v>
      </c>
      <c r="C219" s="79">
        <v>1</v>
      </c>
      <c r="D219" s="79">
        <f t="shared" si="7"/>
        <v>3</v>
      </c>
      <c r="E219" s="19">
        <v>11316</v>
      </c>
      <c r="F219" s="79">
        <f t="shared" si="8"/>
        <v>10</v>
      </c>
    </row>
    <row r="220" spans="1:6" x14ac:dyDescent="0.25">
      <c r="A220" s="79">
        <v>10217</v>
      </c>
      <c r="B220" s="79">
        <f t="shared" si="9"/>
        <v>3</v>
      </c>
      <c r="C220" s="79">
        <v>1</v>
      </c>
      <c r="D220" s="79">
        <f t="shared" si="7"/>
        <v>3</v>
      </c>
      <c r="E220" s="19">
        <v>11317</v>
      </c>
      <c r="F220" s="79">
        <f t="shared" si="8"/>
        <v>10</v>
      </c>
    </row>
    <row r="221" spans="1:6" x14ac:dyDescent="0.25">
      <c r="A221" s="79">
        <v>10218</v>
      </c>
      <c r="B221" s="79">
        <f t="shared" si="9"/>
        <v>3</v>
      </c>
      <c r="C221" s="79">
        <v>1</v>
      </c>
      <c r="D221" s="79">
        <f t="shared" si="7"/>
        <v>3</v>
      </c>
      <c r="E221" s="19">
        <v>11318</v>
      </c>
      <c r="F221" s="79">
        <f t="shared" si="8"/>
        <v>10</v>
      </c>
    </row>
    <row r="222" spans="1:6" x14ac:dyDescent="0.25">
      <c r="A222" s="79">
        <v>10219</v>
      </c>
      <c r="B222" s="79">
        <f t="shared" si="9"/>
        <v>3</v>
      </c>
      <c r="C222" s="79">
        <v>1</v>
      </c>
      <c r="D222" s="79">
        <f t="shared" si="7"/>
        <v>3</v>
      </c>
      <c r="E222" s="19">
        <v>11319</v>
      </c>
      <c r="F222" s="79">
        <f t="shared" si="8"/>
        <v>10</v>
      </c>
    </row>
    <row r="223" spans="1:6" x14ac:dyDescent="0.25">
      <c r="A223" s="79">
        <v>10220</v>
      </c>
      <c r="B223" s="79">
        <f t="shared" si="9"/>
        <v>3</v>
      </c>
      <c r="C223" s="79">
        <v>1</v>
      </c>
      <c r="D223" s="79">
        <f t="shared" si="7"/>
        <v>3</v>
      </c>
      <c r="E223" s="19">
        <v>11320</v>
      </c>
      <c r="F223" s="79">
        <f t="shared" si="8"/>
        <v>10</v>
      </c>
    </row>
    <row r="224" spans="1:6" x14ac:dyDescent="0.25">
      <c r="A224" s="79">
        <v>10221</v>
      </c>
      <c r="B224" s="79">
        <f t="shared" si="9"/>
        <v>3</v>
      </c>
      <c r="C224" s="79">
        <v>1</v>
      </c>
      <c r="D224" s="79">
        <f t="shared" si="7"/>
        <v>3</v>
      </c>
      <c r="E224" s="19">
        <v>11321</v>
      </c>
      <c r="F224" s="79">
        <f t="shared" si="8"/>
        <v>10</v>
      </c>
    </row>
    <row r="225" spans="1:6" x14ac:dyDescent="0.25">
      <c r="A225" s="79">
        <v>10222</v>
      </c>
      <c r="B225" s="79">
        <f t="shared" si="9"/>
        <v>3</v>
      </c>
      <c r="C225" s="79">
        <v>1</v>
      </c>
      <c r="D225" s="79">
        <f t="shared" si="7"/>
        <v>3</v>
      </c>
      <c r="E225" s="19">
        <v>11322</v>
      </c>
      <c r="F225" s="79">
        <f t="shared" si="8"/>
        <v>10</v>
      </c>
    </row>
    <row r="226" spans="1:6" x14ac:dyDescent="0.25">
      <c r="A226" s="79">
        <v>10223</v>
      </c>
      <c r="B226" s="79">
        <f t="shared" si="9"/>
        <v>3</v>
      </c>
      <c r="C226" s="79">
        <v>1</v>
      </c>
      <c r="D226" s="79">
        <f t="shared" si="7"/>
        <v>3</v>
      </c>
      <c r="E226" s="19">
        <v>11323</v>
      </c>
      <c r="F226" s="79">
        <f t="shared" si="8"/>
        <v>10</v>
      </c>
    </row>
    <row r="227" spans="1:6" x14ac:dyDescent="0.25">
      <c r="A227" s="79">
        <v>10224</v>
      </c>
      <c r="B227" s="79">
        <f t="shared" si="9"/>
        <v>3</v>
      </c>
      <c r="C227" s="79">
        <v>1</v>
      </c>
      <c r="D227" s="79">
        <f t="shared" si="7"/>
        <v>3</v>
      </c>
      <c r="E227" s="19">
        <v>11324</v>
      </c>
      <c r="F227" s="79">
        <f t="shared" si="8"/>
        <v>10</v>
      </c>
    </row>
    <row r="228" spans="1:6" x14ac:dyDescent="0.25">
      <c r="A228" s="79">
        <v>10225</v>
      </c>
      <c r="B228" s="79">
        <f t="shared" si="9"/>
        <v>3</v>
      </c>
      <c r="C228" s="79">
        <v>1</v>
      </c>
      <c r="D228" s="79">
        <f t="shared" si="7"/>
        <v>3</v>
      </c>
      <c r="E228" s="19">
        <v>11325</v>
      </c>
      <c r="F228" s="79">
        <f t="shared" si="8"/>
        <v>10</v>
      </c>
    </row>
    <row r="229" spans="1:6" x14ac:dyDescent="0.25">
      <c r="A229" s="79">
        <v>10226</v>
      </c>
      <c r="B229" s="79">
        <f t="shared" si="9"/>
        <v>4</v>
      </c>
      <c r="C229" s="79">
        <v>1</v>
      </c>
      <c r="D229" s="79">
        <v>1</v>
      </c>
      <c r="E229" s="19">
        <v>11101</v>
      </c>
      <c r="F229" s="79">
        <f t="shared" si="8"/>
        <v>0</v>
      </c>
    </row>
    <row r="230" spans="1:6" x14ac:dyDescent="0.25">
      <c r="A230" s="79">
        <v>10227</v>
      </c>
      <c r="B230" s="79">
        <f t="shared" si="9"/>
        <v>4</v>
      </c>
      <c r="C230" s="79">
        <v>1</v>
      </c>
      <c r="D230" s="79">
        <v>1</v>
      </c>
      <c r="E230" s="19">
        <v>11102</v>
      </c>
      <c r="F230" s="79">
        <f t="shared" si="8"/>
        <v>0</v>
      </c>
    </row>
    <row r="231" spans="1:6" x14ac:dyDescent="0.25">
      <c r="A231" s="79">
        <v>10228</v>
      </c>
      <c r="B231" s="79">
        <f t="shared" si="9"/>
        <v>4</v>
      </c>
      <c r="C231" s="79">
        <v>1</v>
      </c>
      <c r="D231" s="79">
        <v>1</v>
      </c>
      <c r="E231" s="19">
        <v>11103</v>
      </c>
      <c r="F231" s="79">
        <f t="shared" si="8"/>
        <v>0</v>
      </c>
    </row>
    <row r="232" spans="1:6" x14ac:dyDescent="0.25">
      <c r="A232" s="79">
        <v>10229</v>
      </c>
      <c r="B232" s="79">
        <f t="shared" si="9"/>
        <v>4</v>
      </c>
      <c r="C232" s="79">
        <v>1</v>
      </c>
      <c r="D232" s="79">
        <v>1</v>
      </c>
      <c r="E232" s="19">
        <v>11104</v>
      </c>
      <c r="F232" s="79">
        <f t="shared" si="8"/>
        <v>0</v>
      </c>
    </row>
    <row r="233" spans="1:6" x14ac:dyDescent="0.25">
      <c r="A233" s="79">
        <v>10230</v>
      </c>
      <c r="B233" s="79">
        <f t="shared" si="9"/>
        <v>4</v>
      </c>
      <c r="C233" s="79">
        <v>1</v>
      </c>
      <c r="D233" s="79">
        <v>1</v>
      </c>
      <c r="E233" s="19">
        <v>11105</v>
      </c>
      <c r="F233" s="79">
        <f t="shared" si="8"/>
        <v>0</v>
      </c>
    </row>
    <row r="234" spans="1:6" x14ac:dyDescent="0.25">
      <c r="A234" s="79">
        <v>10231</v>
      </c>
      <c r="B234" s="79">
        <f t="shared" si="9"/>
        <v>4</v>
      </c>
      <c r="C234" s="79">
        <v>1</v>
      </c>
      <c r="D234" s="79">
        <v>1</v>
      </c>
      <c r="E234" s="19">
        <v>11106</v>
      </c>
      <c r="F234" s="79">
        <f t="shared" si="8"/>
        <v>0</v>
      </c>
    </row>
    <row r="235" spans="1:6" x14ac:dyDescent="0.25">
      <c r="A235" s="79">
        <v>10232</v>
      </c>
      <c r="B235" s="79">
        <f t="shared" si="9"/>
        <v>4</v>
      </c>
      <c r="C235" s="79">
        <v>1</v>
      </c>
      <c r="D235" s="79">
        <v>1</v>
      </c>
      <c r="E235" s="19">
        <v>11107</v>
      </c>
      <c r="F235" s="79">
        <f t="shared" si="8"/>
        <v>0</v>
      </c>
    </row>
    <row r="236" spans="1:6" x14ac:dyDescent="0.25">
      <c r="A236" s="79">
        <v>10233</v>
      </c>
      <c r="B236" s="79">
        <f t="shared" si="9"/>
        <v>4</v>
      </c>
      <c r="C236" s="79">
        <v>1</v>
      </c>
      <c r="D236" s="79">
        <v>1</v>
      </c>
      <c r="E236" s="19">
        <v>11108</v>
      </c>
      <c r="F236" s="79">
        <f t="shared" si="8"/>
        <v>0</v>
      </c>
    </row>
    <row r="237" spans="1:6" x14ac:dyDescent="0.25">
      <c r="A237" s="79">
        <v>10234</v>
      </c>
      <c r="B237" s="79">
        <f t="shared" si="9"/>
        <v>4</v>
      </c>
      <c r="C237" s="79">
        <v>1</v>
      </c>
      <c r="D237" s="79">
        <v>1</v>
      </c>
      <c r="E237" s="19">
        <v>11109</v>
      </c>
      <c r="F237" s="79">
        <f t="shared" si="8"/>
        <v>0</v>
      </c>
    </row>
    <row r="238" spans="1:6" x14ac:dyDescent="0.25">
      <c r="A238" s="79">
        <v>10235</v>
      </c>
      <c r="B238" s="79">
        <f t="shared" si="9"/>
        <v>4</v>
      </c>
      <c r="C238" s="79">
        <v>1</v>
      </c>
      <c r="D238" s="79">
        <v>1</v>
      </c>
      <c r="E238" s="19">
        <v>11110</v>
      </c>
      <c r="F238" s="79">
        <f t="shared" si="8"/>
        <v>0</v>
      </c>
    </row>
    <row r="239" spans="1:6" x14ac:dyDescent="0.25">
      <c r="A239" s="79">
        <v>10236</v>
      </c>
      <c r="B239" s="79">
        <f t="shared" si="9"/>
        <v>4</v>
      </c>
      <c r="C239" s="79">
        <v>1</v>
      </c>
      <c r="D239" s="79">
        <v>1</v>
      </c>
      <c r="E239" s="19">
        <v>11111</v>
      </c>
      <c r="F239" s="79">
        <f t="shared" si="8"/>
        <v>0</v>
      </c>
    </row>
    <row r="240" spans="1:6" x14ac:dyDescent="0.25">
      <c r="A240" s="79">
        <v>10237</v>
      </c>
      <c r="B240" s="79">
        <f t="shared" si="9"/>
        <v>4</v>
      </c>
      <c r="C240" s="79">
        <v>1</v>
      </c>
      <c r="D240" s="79">
        <v>1</v>
      </c>
      <c r="E240" s="19">
        <v>11112</v>
      </c>
      <c r="F240" s="79">
        <f t="shared" si="8"/>
        <v>0</v>
      </c>
    </row>
    <row r="241" spans="1:6" x14ac:dyDescent="0.25">
      <c r="A241" s="79">
        <v>10238</v>
      </c>
      <c r="B241" s="79">
        <f t="shared" si="9"/>
        <v>4</v>
      </c>
      <c r="C241" s="79">
        <v>1</v>
      </c>
      <c r="D241" s="79">
        <v>1</v>
      </c>
      <c r="E241" s="19">
        <v>11113</v>
      </c>
      <c r="F241" s="79">
        <f t="shared" si="8"/>
        <v>0</v>
      </c>
    </row>
    <row r="242" spans="1:6" x14ac:dyDescent="0.25">
      <c r="A242" s="79">
        <v>10239</v>
      </c>
      <c r="B242" s="79">
        <f t="shared" si="9"/>
        <v>4</v>
      </c>
      <c r="C242" s="79">
        <v>1</v>
      </c>
      <c r="D242" s="79">
        <v>1</v>
      </c>
      <c r="E242" s="19">
        <v>11114</v>
      </c>
      <c r="F242" s="79">
        <f t="shared" si="8"/>
        <v>0</v>
      </c>
    </row>
    <row r="243" spans="1:6" x14ac:dyDescent="0.25">
      <c r="A243" s="79">
        <v>10240</v>
      </c>
      <c r="B243" s="79">
        <f t="shared" si="9"/>
        <v>4</v>
      </c>
      <c r="C243" s="79">
        <v>1</v>
      </c>
      <c r="D243" s="79">
        <v>1</v>
      </c>
      <c r="E243" s="19">
        <v>11115</v>
      </c>
      <c r="F243" s="79">
        <f t="shared" si="8"/>
        <v>0</v>
      </c>
    </row>
    <row r="244" spans="1:6" x14ac:dyDescent="0.25">
      <c r="A244" s="79">
        <v>10241</v>
      </c>
      <c r="B244" s="79">
        <f t="shared" si="9"/>
        <v>4</v>
      </c>
      <c r="C244" s="79">
        <v>1</v>
      </c>
      <c r="D244" s="79">
        <v>1</v>
      </c>
      <c r="E244" s="19">
        <v>11116</v>
      </c>
      <c r="F244" s="79">
        <f t="shared" si="8"/>
        <v>10</v>
      </c>
    </row>
    <row r="245" spans="1:6" x14ac:dyDescent="0.25">
      <c r="A245" s="79">
        <v>10242</v>
      </c>
      <c r="B245" s="79">
        <f t="shared" si="9"/>
        <v>4</v>
      </c>
      <c r="C245" s="79">
        <v>1</v>
      </c>
      <c r="D245" s="79">
        <v>1</v>
      </c>
      <c r="E245" s="19">
        <v>11117</v>
      </c>
      <c r="F245" s="79">
        <f t="shared" si="8"/>
        <v>10</v>
      </c>
    </row>
    <row r="246" spans="1:6" x14ac:dyDescent="0.25">
      <c r="A246" s="79">
        <v>10243</v>
      </c>
      <c r="B246" s="79">
        <f t="shared" si="9"/>
        <v>4</v>
      </c>
      <c r="C246" s="79">
        <v>1</v>
      </c>
      <c r="D246" s="79">
        <v>1</v>
      </c>
      <c r="E246" s="19">
        <v>11118</v>
      </c>
      <c r="F246" s="79">
        <f t="shared" si="8"/>
        <v>10</v>
      </c>
    </row>
    <row r="247" spans="1:6" x14ac:dyDescent="0.25">
      <c r="A247" s="79">
        <v>10244</v>
      </c>
      <c r="B247" s="79">
        <f t="shared" si="9"/>
        <v>4</v>
      </c>
      <c r="C247" s="79">
        <v>1</v>
      </c>
      <c r="D247" s="79">
        <v>1</v>
      </c>
      <c r="E247" s="19">
        <v>11119</v>
      </c>
      <c r="F247" s="79">
        <f t="shared" si="8"/>
        <v>10</v>
      </c>
    </row>
    <row r="248" spans="1:6" x14ac:dyDescent="0.25">
      <c r="A248" s="79">
        <v>10245</v>
      </c>
      <c r="B248" s="79">
        <f t="shared" si="9"/>
        <v>4</v>
      </c>
      <c r="C248" s="79">
        <v>1</v>
      </c>
      <c r="D248" s="79">
        <v>1</v>
      </c>
      <c r="E248" s="19">
        <v>11120</v>
      </c>
      <c r="F248" s="79">
        <f t="shared" si="8"/>
        <v>10</v>
      </c>
    </row>
    <row r="249" spans="1:6" x14ac:dyDescent="0.25">
      <c r="A249" s="79">
        <v>10246</v>
      </c>
      <c r="B249" s="79">
        <f t="shared" si="9"/>
        <v>4</v>
      </c>
      <c r="C249" s="79">
        <v>1</v>
      </c>
      <c r="D249" s="79">
        <v>1</v>
      </c>
      <c r="E249" s="19">
        <v>11121</v>
      </c>
      <c r="F249" s="79">
        <f t="shared" si="8"/>
        <v>10</v>
      </c>
    </row>
    <row r="250" spans="1:6" x14ac:dyDescent="0.25">
      <c r="A250" s="79">
        <v>10247</v>
      </c>
      <c r="B250" s="79">
        <f t="shared" si="9"/>
        <v>4</v>
      </c>
      <c r="C250" s="79">
        <v>1</v>
      </c>
      <c r="D250" s="79">
        <v>1</v>
      </c>
      <c r="E250" s="19">
        <v>11122</v>
      </c>
      <c r="F250" s="79">
        <f t="shared" si="8"/>
        <v>10</v>
      </c>
    </row>
    <row r="251" spans="1:6" x14ac:dyDescent="0.25">
      <c r="A251" s="79">
        <v>10248</v>
      </c>
      <c r="B251" s="79">
        <f t="shared" si="9"/>
        <v>4</v>
      </c>
      <c r="C251" s="79">
        <v>1</v>
      </c>
      <c r="D251" s="79">
        <v>1</v>
      </c>
      <c r="E251" s="19">
        <v>11123</v>
      </c>
      <c r="F251" s="79">
        <f t="shared" si="8"/>
        <v>10</v>
      </c>
    </row>
    <row r="252" spans="1:6" x14ac:dyDescent="0.25">
      <c r="A252" s="79">
        <v>10249</v>
      </c>
      <c r="B252" s="79">
        <f t="shared" si="9"/>
        <v>4</v>
      </c>
      <c r="C252" s="79">
        <v>1</v>
      </c>
      <c r="D252" s="79">
        <v>1</v>
      </c>
      <c r="E252" s="19">
        <v>11124</v>
      </c>
      <c r="F252" s="79">
        <f t="shared" si="8"/>
        <v>10</v>
      </c>
    </row>
    <row r="253" spans="1:6" x14ac:dyDescent="0.25">
      <c r="A253" s="79">
        <v>10250</v>
      </c>
      <c r="B253" s="79">
        <f t="shared" si="9"/>
        <v>4</v>
      </c>
      <c r="C253" s="79">
        <v>1</v>
      </c>
      <c r="D253" s="79">
        <v>1</v>
      </c>
      <c r="E253" s="19">
        <v>11125</v>
      </c>
      <c r="F253" s="79">
        <f t="shared" si="8"/>
        <v>10</v>
      </c>
    </row>
    <row r="254" spans="1:6" x14ac:dyDescent="0.25">
      <c r="A254" s="79">
        <v>10251</v>
      </c>
      <c r="B254" s="79">
        <f t="shared" si="9"/>
        <v>4</v>
      </c>
      <c r="C254" s="79">
        <v>1</v>
      </c>
      <c r="D254" s="79">
        <f>D229+1</f>
        <v>2</v>
      </c>
      <c r="E254" s="19">
        <v>11201</v>
      </c>
      <c r="F254" s="79">
        <f t="shared" si="8"/>
        <v>0</v>
      </c>
    </row>
    <row r="255" spans="1:6" x14ac:dyDescent="0.25">
      <c r="A255" s="79">
        <v>10252</v>
      </c>
      <c r="B255" s="79">
        <f t="shared" si="9"/>
        <v>4</v>
      </c>
      <c r="C255" s="79">
        <v>1</v>
      </c>
      <c r="D255" s="79">
        <f t="shared" ref="D255:D303" si="10">D230+1</f>
        <v>2</v>
      </c>
      <c r="E255" s="19">
        <v>11202</v>
      </c>
      <c r="F255" s="79">
        <f t="shared" si="8"/>
        <v>0</v>
      </c>
    </row>
    <row r="256" spans="1:6" x14ac:dyDescent="0.25">
      <c r="A256" s="79">
        <v>10253</v>
      </c>
      <c r="B256" s="79">
        <f t="shared" si="9"/>
        <v>4</v>
      </c>
      <c r="C256" s="79">
        <v>1</v>
      </c>
      <c r="D256" s="79">
        <f t="shared" si="10"/>
        <v>2</v>
      </c>
      <c r="E256" s="19">
        <v>11203</v>
      </c>
      <c r="F256" s="79">
        <f t="shared" si="8"/>
        <v>0</v>
      </c>
    </row>
    <row r="257" spans="1:6" x14ac:dyDescent="0.25">
      <c r="A257" s="79">
        <v>10254</v>
      </c>
      <c r="B257" s="79">
        <f t="shared" si="9"/>
        <v>4</v>
      </c>
      <c r="C257" s="79">
        <v>1</v>
      </c>
      <c r="D257" s="79">
        <f t="shared" si="10"/>
        <v>2</v>
      </c>
      <c r="E257" s="19">
        <v>11204</v>
      </c>
      <c r="F257" s="79">
        <f t="shared" si="8"/>
        <v>0</v>
      </c>
    </row>
    <row r="258" spans="1:6" x14ac:dyDescent="0.25">
      <c r="A258" s="79">
        <v>10255</v>
      </c>
      <c r="B258" s="79">
        <f t="shared" si="9"/>
        <v>4</v>
      </c>
      <c r="C258" s="79">
        <v>1</v>
      </c>
      <c r="D258" s="79">
        <f t="shared" si="10"/>
        <v>2</v>
      </c>
      <c r="E258" s="19">
        <v>11205</v>
      </c>
      <c r="F258" s="79">
        <f t="shared" si="8"/>
        <v>0</v>
      </c>
    </row>
    <row r="259" spans="1:6" x14ac:dyDescent="0.25">
      <c r="A259" s="79">
        <v>10256</v>
      </c>
      <c r="B259" s="79">
        <f t="shared" si="9"/>
        <v>4</v>
      </c>
      <c r="C259" s="79">
        <v>1</v>
      </c>
      <c r="D259" s="79">
        <f t="shared" si="10"/>
        <v>2</v>
      </c>
      <c r="E259" s="19">
        <v>11206</v>
      </c>
      <c r="F259" s="79">
        <f t="shared" si="8"/>
        <v>0</v>
      </c>
    </row>
    <row r="260" spans="1:6" x14ac:dyDescent="0.25">
      <c r="A260" s="79">
        <v>10257</v>
      </c>
      <c r="B260" s="79">
        <f t="shared" si="9"/>
        <v>4</v>
      </c>
      <c r="C260" s="79">
        <v>1</v>
      </c>
      <c r="D260" s="79">
        <f t="shared" si="10"/>
        <v>2</v>
      </c>
      <c r="E260" s="19">
        <v>11207</v>
      </c>
      <c r="F260" s="79">
        <f t="shared" si="8"/>
        <v>0</v>
      </c>
    </row>
    <row r="261" spans="1:6" x14ac:dyDescent="0.25">
      <c r="A261" s="79">
        <v>10258</v>
      </c>
      <c r="B261" s="79">
        <f t="shared" si="9"/>
        <v>4</v>
      </c>
      <c r="C261" s="79">
        <v>1</v>
      </c>
      <c r="D261" s="79">
        <f t="shared" si="10"/>
        <v>2</v>
      </c>
      <c r="E261" s="19">
        <v>11208</v>
      </c>
      <c r="F261" s="79">
        <f t="shared" ref="F261:F324" si="11">VLOOKUP(RIGHT(E261,2)*1,$J$4:$Q$29,B261+1,0)</f>
        <v>0</v>
      </c>
    </row>
    <row r="262" spans="1:6" x14ac:dyDescent="0.25">
      <c r="A262" s="79">
        <v>10259</v>
      </c>
      <c r="B262" s="79">
        <f t="shared" si="9"/>
        <v>4</v>
      </c>
      <c r="C262" s="79">
        <v>1</v>
      </c>
      <c r="D262" s="79">
        <f t="shared" si="10"/>
        <v>2</v>
      </c>
      <c r="E262" s="19">
        <v>11209</v>
      </c>
      <c r="F262" s="79">
        <f t="shared" si="11"/>
        <v>0</v>
      </c>
    </row>
    <row r="263" spans="1:6" x14ac:dyDescent="0.25">
      <c r="A263" s="79">
        <v>10260</v>
      </c>
      <c r="B263" s="79">
        <f t="shared" si="9"/>
        <v>4</v>
      </c>
      <c r="C263" s="79">
        <v>1</v>
      </c>
      <c r="D263" s="79">
        <f t="shared" si="10"/>
        <v>2</v>
      </c>
      <c r="E263" s="19">
        <v>11210</v>
      </c>
      <c r="F263" s="79">
        <f t="shared" si="11"/>
        <v>0</v>
      </c>
    </row>
    <row r="264" spans="1:6" x14ac:dyDescent="0.25">
      <c r="A264" s="79">
        <v>10261</v>
      </c>
      <c r="B264" s="79">
        <f t="shared" si="9"/>
        <v>4</v>
      </c>
      <c r="C264" s="79">
        <v>1</v>
      </c>
      <c r="D264" s="79">
        <f t="shared" si="10"/>
        <v>2</v>
      </c>
      <c r="E264" s="19">
        <v>11211</v>
      </c>
      <c r="F264" s="79">
        <f t="shared" si="11"/>
        <v>0</v>
      </c>
    </row>
    <row r="265" spans="1:6" x14ac:dyDescent="0.25">
      <c r="A265" s="79">
        <v>10262</v>
      </c>
      <c r="B265" s="79">
        <f t="shared" si="9"/>
        <v>4</v>
      </c>
      <c r="C265" s="79">
        <v>1</v>
      </c>
      <c r="D265" s="79">
        <f t="shared" si="10"/>
        <v>2</v>
      </c>
      <c r="E265" s="19">
        <v>11212</v>
      </c>
      <c r="F265" s="79">
        <f t="shared" si="11"/>
        <v>0</v>
      </c>
    </row>
    <row r="266" spans="1:6" x14ac:dyDescent="0.25">
      <c r="A266" s="79">
        <v>10263</v>
      </c>
      <c r="B266" s="79">
        <f t="shared" si="9"/>
        <v>4</v>
      </c>
      <c r="C266" s="79">
        <v>1</v>
      </c>
      <c r="D266" s="79">
        <f t="shared" si="10"/>
        <v>2</v>
      </c>
      <c r="E266" s="19">
        <v>11213</v>
      </c>
      <c r="F266" s="79">
        <f t="shared" si="11"/>
        <v>0</v>
      </c>
    </row>
    <row r="267" spans="1:6" x14ac:dyDescent="0.25">
      <c r="A267" s="79">
        <v>10264</v>
      </c>
      <c r="B267" s="79">
        <f t="shared" si="9"/>
        <v>4</v>
      </c>
      <c r="C267" s="79">
        <v>1</v>
      </c>
      <c r="D267" s="79">
        <f t="shared" si="10"/>
        <v>2</v>
      </c>
      <c r="E267" s="19">
        <v>11214</v>
      </c>
      <c r="F267" s="79">
        <f t="shared" si="11"/>
        <v>0</v>
      </c>
    </row>
    <row r="268" spans="1:6" x14ac:dyDescent="0.25">
      <c r="A268" s="79">
        <v>10265</v>
      </c>
      <c r="B268" s="79">
        <f t="shared" si="9"/>
        <v>4</v>
      </c>
      <c r="C268" s="79">
        <v>1</v>
      </c>
      <c r="D268" s="79">
        <f t="shared" si="10"/>
        <v>2</v>
      </c>
      <c r="E268" s="19">
        <v>11215</v>
      </c>
      <c r="F268" s="79">
        <f t="shared" si="11"/>
        <v>0</v>
      </c>
    </row>
    <row r="269" spans="1:6" x14ac:dyDescent="0.25">
      <c r="A269" s="79">
        <v>10266</v>
      </c>
      <c r="B269" s="79">
        <f t="shared" si="9"/>
        <v>4</v>
      </c>
      <c r="C269" s="79">
        <v>1</v>
      </c>
      <c r="D269" s="79">
        <f t="shared" si="10"/>
        <v>2</v>
      </c>
      <c r="E269" s="19">
        <v>11216</v>
      </c>
      <c r="F269" s="79">
        <f t="shared" si="11"/>
        <v>10</v>
      </c>
    </row>
    <row r="270" spans="1:6" x14ac:dyDescent="0.25">
      <c r="A270" s="79">
        <v>10267</v>
      </c>
      <c r="B270" s="79">
        <f t="shared" si="9"/>
        <v>4</v>
      </c>
      <c r="C270" s="79">
        <v>1</v>
      </c>
      <c r="D270" s="79">
        <f t="shared" si="10"/>
        <v>2</v>
      </c>
      <c r="E270" s="19">
        <v>11217</v>
      </c>
      <c r="F270" s="79">
        <f t="shared" si="11"/>
        <v>10</v>
      </c>
    </row>
    <row r="271" spans="1:6" x14ac:dyDescent="0.25">
      <c r="A271" s="79">
        <v>10268</v>
      </c>
      <c r="B271" s="79">
        <f t="shared" si="9"/>
        <v>4</v>
      </c>
      <c r="C271" s="79">
        <v>1</v>
      </c>
      <c r="D271" s="79">
        <f t="shared" si="10"/>
        <v>2</v>
      </c>
      <c r="E271" s="19">
        <v>11218</v>
      </c>
      <c r="F271" s="79">
        <f t="shared" si="11"/>
        <v>10</v>
      </c>
    </row>
    <row r="272" spans="1:6" x14ac:dyDescent="0.25">
      <c r="A272" s="79">
        <v>10269</v>
      </c>
      <c r="B272" s="79">
        <f t="shared" ref="B272:B335" si="12">B197+1</f>
        <v>4</v>
      </c>
      <c r="C272" s="79">
        <v>1</v>
      </c>
      <c r="D272" s="79">
        <f t="shared" si="10"/>
        <v>2</v>
      </c>
      <c r="E272" s="19">
        <v>11219</v>
      </c>
      <c r="F272" s="79">
        <f t="shared" si="11"/>
        <v>10</v>
      </c>
    </row>
    <row r="273" spans="1:6" x14ac:dyDescent="0.25">
      <c r="A273" s="79">
        <v>10270</v>
      </c>
      <c r="B273" s="79">
        <f t="shared" si="12"/>
        <v>4</v>
      </c>
      <c r="C273" s="79">
        <v>1</v>
      </c>
      <c r="D273" s="79">
        <f t="shared" si="10"/>
        <v>2</v>
      </c>
      <c r="E273" s="19">
        <v>11220</v>
      </c>
      <c r="F273" s="79">
        <f t="shared" si="11"/>
        <v>10</v>
      </c>
    </row>
    <row r="274" spans="1:6" x14ac:dyDescent="0.25">
      <c r="A274" s="79">
        <v>10271</v>
      </c>
      <c r="B274" s="79">
        <f t="shared" si="12"/>
        <v>4</v>
      </c>
      <c r="C274" s="79">
        <v>1</v>
      </c>
      <c r="D274" s="79">
        <f t="shared" si="10"/>
        <v>2</v>
      </c>
      <c r="E274" s="19">
        <v>11221</v>
      </c>
      <c r="F274" s="79">
        <f t="shared" si="11"/>
        <v>10</v>
      </c>
    </row>
    <row r="275" spans="1:6" x14ac:dyDescent="0.25">
      <c r="A275" s="79">
        <v>10272</v>
      </c>
      <c r="B275" s="79">
        <f t="shared" si="12"/>
        <v>4</v>
      </c>
      <c r="C275" s="79">
        <v>1</v>
      </c>
      <c r="D275" s="79">
        <f t="shared" si="10"/>
        <v>2</v>
      </c>
      <c r="E275" s="19">
        <v>11222</v>
      </c>
      <c r="F275" s="79">
        <f t="shared" si="11"/>
        <v>10</v>
      </c>
    </row>
    <row r="276" spans="1:6" x14ac:dyDescent="0.25">
      <c r="A276" s="79">
        <v>10273</v>
      </c>
      <c r="B276" s="79">
        <f t="shared" si="12"/>
        <v>4</v>
      </c>
      <c r="C276" s="79">
        <v>1</v>
      </c>
      <c r="D276" s="79">
        <f t="shared" si="10"/>
        <v>2</v>
      </c>
      <c r="E276" s="19">
        <v>11223</v>
      </c>
      <c r="F276" s="79">
        <f t="shared" si="11"/>
        <v>10</v>
      </c>
    </row>
    <row r="277" spans="1:6" x14ac:dyDescent="0.25">
      <c r="A277" s="79">
        <v>10274</v>
      </c>
      <c r="B277" s="79">
        <f t="shared" si="12"/>
        <v>4</v>
      </c>
      <c r="C277" s="79">
        <v>1</v>
      </c>
      <c r="D277" s="79">
        <f t="shared" si="10"/>
        <v>2</v>
      </c>
      <c r="E277" s="19">
        <v>11224</v>
      </c>
      <c r="F277" s="79">
        <f t="shared" si="11"/>
        <v>10</v>
      </c>
    </row>
    <row r="278" spans="1:6" x14ac:dyDescent="0.25">
      <c r="A278" s="79">
        <v>10275</v>
      </c>
      <c r="B278" s="79">
        <f t="shared" si="12"/>
        <v>4</v>
      </c>
      <c r="C278" s="79">
        <v>1</v>
      </c>
      <c r="D278" s="79">
        <f t="shared" si="10"/>
        <v>2</v>
      </c>
      <c r="E278" s="19">
        <v>11225</v>
      </c>
      <c r="F278" s="79">
        <f t="shared" si="11"/>
        <v>10</v>
      </c>
    </row>
    <row r="279" spans="1:6" x14ac:dyDescent="0.25">
      <c r="A279" s="79">
        <v>10276</v>
      </c>
      <c r="B279" s="79">
        <f t="shared" si="12"/>
        <v>4</v>
      </c>
      <c r="C279" s="79">
        <v>1</v>
      </c>
      <c r="D279" s="79">
        <f t="shared" si="10"/>
        <v>3</v>
      </c>
      <c r="E279" s="19">
        <v>11301</v>
      </c>
      <c r="F279" s="79">
        <f t="shared" si="11"/>
        <v>0</v>
      </c>
    </row>
    <row r="280" spans="1:6" x14ac:dyDescent="0.25">
      <c r="A280" s="79">
        <v>10277</v>
      </c>
      <c r="B280" s="79">
        <f t="shared" si="12"/>
        <v>4</v>
      </c>
      <c r="C280" s="79">
        <v>1</v>
      </c>
      <c r="D280" s="79">
        <f t="shared" si="10"/>
        <v>3</v>
      </c>
      <c r="E280" s="19">
        <v>11302</v>
      </c>
      <c r="F280" s="79">
        <f t="shared" si="11"/>
        <v>0</v>
      </c>
    </row>
    <row r="281" spans="1:6" x14ac:dyDescent="0.25">
      <c r="A281" s="79">
        <v>10278</v>
      </c>
      <c r="B281" s="79">
        <f t="shared" si="12"/>
        <v>4</v>
      </c>
      <c r="C281" s="79">
        <v>1</v>
      </c>
      <c r="D281" s="79">
        <f t="shared" si="10"/>
        <v>3</v>
      </c>
      <c r="E281" s="19">
        <v>11303</v>
      </c>
      <c r="F281" s="79">
        <f t="shared" si="11"/>
        <v>0</v>
      </c>
    </row>
    <row r="282" spans="1:6" x14ac:dyDescent="0.25">
      <c r="A282" s="79">
        <v>10279</v>
      </c>
      <c r="B282" s="79">
        <f t="shared" si="12"/>
        <v>4</v>
      </c>
      <c r="C282" s="79">
        <v>1</v>
      </c>
      <c r="D282" s="79">
        <f t="shared" si="10"/>
        <v>3</v>
      </c>
      <c r="E282" s="19">
        <v>11304</v>
      </c>
      <c r="F282" s="79">
        <f t="shared" si="11"/>
        <v>0</v>
      </c>
    </row>
    <row r="283" spans="1:6" x14ac:dyDescent="0.25">
      <c r="A283" s="79">
        <v>10280</v>
      </c>
      <c r="B283" s="79">
        <f t="shared" si="12"/>
        <v>4</v>
      </c>
      <c r="C283" s="79">
        <v>1</v>
      </c>
      <c r="D283" s="79">
        <f t="shared" si="10"/>
        <v>3</v>
      </c>
      <c r="E283" s="19">
        <v>11305</v>
      </c>
      <c r="F283" s="79">
        <f t="shared" si="11"/>
        <v>0</v>
      </c>
    </row>
    <row r="284" spans="1:6" x14ac:dyDescent="0.25">
      <c r="A284" s="79">
        <v>10281</v>
      </c>
      <c r="B284" s="79">
        <f t="shared" si="12"/>
        <v>4</v>
      </c>
      <c r="C284" s="79">
        <v>1</v>
      </c>
      <c r="D284" s="79">
        <f t="shared" si="10"/>
        <v>3</v>
      </c>
      <c r="E284" s="19">
        <v>11306</v>
      </c>
      <c r="F284" s="79">
        <f t="shared" si="11"/>
        <v>0</v>
      </c>
    </row>
    <row r="285" spans="1:6" x14ac:dyDescent="0.25">
      <c r="A285" s="79">
        <v>10282</v>
      </c>
      <c r="B285" s="79">
        <f t="shared" si="12"/>
        <v>4</v>
      </c>
      <c r="C285" s="79">
        <v>1</v>
      </c>
      <c r="D285" s="79">
        <f t="shared" si="10"/>
        <v>3</v>
      </c>
      <c r="E285" s="19">
        <v>11307</v>
      </c>
      <c r="F285" s="79">
        <f t="shared" si="11"/>
        <v>0</v>
      </c>
    </row>
    <row r="286" spans="1:6" x14ac:dyDescent="0.25">
      <c r="A286" s="79">
        <v>10283</v>
      </c>
      <c r="B286" s="79">
        <f t="shared" si="12"/>
        <v>4</v>
      </c>
      <c r="C286" s="79">
        <v>1</v>
      </c>
      <c r="D286" s="79">
        <f t="shared" si="10"/>
        <v>3</v>
      </c>
      <c r="E286" s="19">
        <v>11308</v>
      </c>
      <c r="F286" s="79">
        <f t="shared" si="11"/>
        <v>0</v>
      </c>
    </row>
    <row r="287" spans="1:6" x14ac:dyDescent="0.25">
      <c r="A287" s="79">
        <v>10284</v>
      </c>
      <c r="B287" s="79">
        <f t="shared" si="12"/>
        <v>4</v>
      </c>
      <c r="C287" s="79">
        <v>1</v>
      </c>
      <c r="D287" s="79">
        <f t="shared" si="10"/>
        <v>3</v>
      </c>
      <c r="E287" s="19">
        <v>11309</v>
      </c>
      <c r="F287" s="79">
        <f t="shared" si="11"/>
        <v>0</v>
      </c>
    </row>
    <row r="288" spans="1:6" x14ac:dyDescent="0.25">
      <c r="A288" s="79">
        <v>10285</v>
      </c>
      <c r="B288" s="79">
        <f t="shared" si="12"/>
        <v>4</v>
      </c>
      <c r="C288" s="79">
        <v>1</v>
      </c>
      <c r="D288" s="79">
        <f t="shared" si="10"/>
        <v>3</v>
      </c>
      <c r="E288" s="19">
        <v>11310</v>
      </c>
      <c r="F288" s="79">
        <f t="shared" si="11"/>
        <v>0</v>
      </c>
    </row>
    <row r="289" spans="1:6" x14ac:dyDescent="0.25">
      <c r="A289" s="79">
        <v>10286</v>
      </c>
      <c r="B289" s="79">
        <f t="shared" si="12"/>
        <v>4</v>
      </c>
      <c r="C289" s="79">
        <v>1</v>
      </c>
      <c r="D289" s="79">
        <f t="shared" si="10"/>
        <v>3</v>
      </c>
      <c r="E289" s="19">
        <v>11311</v>
      </c>
      <c r="F289" s="79">
        <f t="shared" si="11"/>
        <v>0</v>
      </c>
    </row>
    <row r="290" spans="1:6" x14ac:dyDescent="0.25">
      <c r="A290" s="79">
        <v>10287</v>
      </c>
      <c r="B290" s="79">
        <f t="shared" si="12"/>
        <v>4</v>
      </c>
      <c r="C290" s="79">
        <v>1</v>
      </c>
      <c r="D290" s="79">
        <f t="shared" si="10"/>
        <v>3</v>
      </c>
      <c r="E290" s="19">
        <v>11312</v>
      </c>
      <c r="F290" s="79">
        <f t="shared" si="11"/>
        <v>0</v>
      </c>
    </row>
    <row r="291" spans="1:6" x14ac:dyDescent="0.25">
      <c r="A291" s="79">
        <v>10288</v>
      </c>
      <c r="B291" s="79">
        <f t="shared" si="12"/>
        <v>4</v>
      </c>
      <c r="C291" s="79">
        <v>1</v>
      </c>
      <c r="D291" s="79">
        <f t="shared" si="10"/>
        <v>3</v>
      </c>
      <c r="E291" s="19">
        <v>11313</v>
      </c>
      <c r="F291" s="79">
        <f t="shared" si="11"/>
        <v>0</v>
      </c>
    </row>
    <row r="292" spans="1:6" x14ac:dyDescent="0.25">
      <c r="A292" s="79">
        <v>10289</v>
      </c>
      <c r="B292" s="79">
        <f t="shared" si="12"/>
        <v>4</v>
      </c>
      <c r="C292" s="79">
        <v>1</v>
      </c>
      <c r="D292" s="79">
        <f t="shared" si="10"/>
        <v>3</v>
      </c>
      <c r="E292" s="19">
        <v>11314</v>
      </c>
      <c r="F292" s="79">
        <f t="shared" si="11"/>
        <v>0</v>
      </c>
    </row>
    <row r="293" spans="1:6" x14ac:dyDescent="0.25">
      <c r="A293" s="79">
        <v>10290</v>
      </c>
      <c r="B293" s="79">
        <f t="shared" si="12"/>
        <v>4</v>
      </c>
      <c r="C293" s="79">
        <v>1</v>
      </c>
      <c r="D293" s="79">
        <f t="shared" si="10"/>
        <v>3</v>
      </c>
      <c r="E293" s="19">
        <v>11315</v>
      </c>
      <c r="F293" s="79">
        <f t="shared" si="11"/>
        <v>0</v>
      </c>
    </row>
    <row r="294" spans="1:6" x14ac:dyDescent="0.25">
      <c r="A294" s="79">
        <v>10291</v>
      </c>
      <c r="B294" s="79">
        <f t="shared" si="12"/>
        <v>4</v>
      </c>
      <c r="C294" s="79">
        <v>1</v>
      </c>
      <c r="D294" s="79">
        <f t="shared" si="10"/>
        <v>3</v>
      </c>
      <c r="E294" s="19">
        <v>11316</v>
      </c>
      <c r="F294" s="79">
        <f t="shared" si="11"/>
        <v>10</v>
      </c>
    </row>
    <row r="295" spans="1:6" x14ac:dyDescent="0.25">
      <c r="A295" s="79">
        <v>10292</v>
      </c>
      <c r="B295" s="79">
        <f t="shared" si="12"/>
        <v>4</v>
      </c>
      <c r="C295" s="79">
        <v>1</v>
      </c>
      <c r="D295" s="79">
        <f t="shared" si="10"/>
        <v>3</v>
      </c>
      <c r="E295" s="19">
        <v>11317</v>
      </c>
      <c r="F295" s="79">
        <f t="shared" si="11"/>
        <v>10</v>
      </c>
    </row>
    <row r="296" spans="1:6" x14ac:dyDescent="0.25">
      <c r="A296" s="79">
        <v>10293</v>
      </c>
      <c r="B296" s="79">
        <f t="shared" si="12"/>
        <v>4</v>
      </c>
      <c r="C296" s="79">
        <v>1</v>
      </c>
      <c r="D296" s="79">
        <f t="shared" si="10"/>
        <v>3</v>
      </c>
      <c r="E296" s="19">
        <v>11318</v>
      </c>
      <c r="F296" s="79">
        <f t="shared" si="11"/>
        <v>10</v>
      </c>
    </row>
    <row r="297" spans="1:6" x14ac:dyDescent="0.25">
      <c r="A297" s="79">
        <v>10294</v>
      </c>
      <c r="B297" s="79">
        <f t="shared" si="12"/>
        <v>4</v>
      </c>
      <c r="C297" s="79">
        <v>1</v>
      </c>
      <c r="D297" s="79">
        <f t="shared" si="10"/>
        <v>3</v>
      </c>
      <c r="E297" s="19">
        <v>11319</v>
      </c>
      <c r="F297" s="79">
        <f t="shared" si="11"/>
        <v>10</v>
      </c>
    </row>
    <row r="298" spans="1:6" x14ac:dyDescent="0.25">
      <c r="A298" s="79">
        <v>10295</v>
      </c>
      <c r="B298" s="79">
        <f t="shared" si="12"/>
        <v>4</v>
      </c>
      <c r="C298" s="79">
        <v>1</v>
      </c>
      <c r="D298" s="79">
        <f t="shared" si="10"/>
        <v>3</v>
      </c>
      <c r="E298" s="19">
        <v>11320</v>
      </c>
      <c r="F298" s="79">
        <f t="shared" si="11"/>
        <v>10</v>
      </c>
    </row>
    <row r="299" spans="1:6" x14ac:dyDescent="0.25">
      <c r="A299" s="79">
        <v>10296</v>
      </c>
      <c r="B299" s="79">
        <f t="shared" si="12"/>
        <v>4</v>
      </c>
      <c r="C299" s="79">
        <v>1</v>
      </c>
      <c r="D299" s="79">
        <f t="shared" si="10"/>
        <v>3</v>
      </c>
      <c r="E299" s="19">
        <v>11321</v>
      </c>
      <c r="F299" s="79">
        <f t="shared" si="11"/>
        <v>10</v>
      </c>
    </row>
    <row r="300" spans="1:6" x14ac:dyDescent="0.25">
      <c r="A300" s="79">
        <v>10297</v>
      </c>
      <c r="B300" s="79">
        <f t="shared" si="12"/>
        <v>4</v>
      </c>
      <c r="C300" s="79">
        <v>1</v>
      </c>
      <c r="D300" s="79">
        <f t="shared" si="10"/>
        <v>3</v>
      </c>
      <c r="E300" s="19">
        <v>11322</v>
      </c>
      <c r="F300" s="79">
        <f t="shared" si="11"/>
        <v>10</v>
      </c>
    </row>
    <row r="301" spans="1:6" x14ac:dyDescent="0.25">
      <c r="A301" s="79">
        <v>10298</v>
      </c>
      <c r="B301" s="79">
        <f t="shared" si="12"/>
        <v>4</v>
      </c>
      <c r="C301" s="79">
        <v>1</v>
      </c>
      <c r="D301" s="79">
        <f t="shared" si="10"/>
        <v>3</v>
      </c>
      <c r="E301" s="19">
        <v>11323</v>
      </c>
      <c r="F301" s="79">
        <f t="shared" si="11"/>
        <v>10</v>
      </c>
    </row>
    <row r="302" spans="1:6" x14ac:dyDescent="0.25">
      <c r="A302" s="79">
        <v>10299</v>
      </c>
      <c r="B302" s="79">
        <f t="shared" si="12"/>
        <v>4</v>
      </c>
      <c r="C302" s="79">
        <v>1</v>
      </c>
      <c r="D302" s="79">
        <f t="shared" si="10"/>
        <v>3</v>
      </c>
      <c r="E302" s="19">
        <v>11324</v>
      </c>
      <c r="F302" s="79">
        <f t="shared" si="11"/>
        <v>10</v>
      </c>
    </row>
    <row r="303" spans="1:6" x14ac:dyDescent="0.25">
      <c r="A303" s="79">
        <v>10300</v>
      </c>
      <c r="B303" s="79">
        <f t="shared" si="12"/>
        <v>4</v>
      </c>
      <c r="C303" s="79">
        <v>1</v>
      </c>
      <c r="D303" s="79">
        <f t="shared" si="10"/>
        <v>3</v>
      </c>
      <c r="E303" s="19">
        <v>11325</v>
      </c>
      <c r="F303" s="79">
        <f t="shared" si="11"/>
        <v>10</v>
      </c>
    </row>
    <row r="304" spans="1:6" x14ac:dyDescent="0.25">
      <c r="A304" s="79">
        <v>10301</v>
      </c>
      <c r="B304" s="79">
        <f t="shared" si="12"/>
        <v>5</v>
      </c>
      <c r="C304" s="79">
        <v>1</v>
      </c>
      <c r="D304" s="79">
        <v>1</v>
      </c>
      <c r="E304" s="19">
        <v>11101</v>
      </c>
      <c r="F304" s="79">
        <f t="shared" si="11"/>
        <v>0</v>
      </c>
    </row>
    <row r="305" spans="1:6" x14ac:dyDescent="0.25">
      <c r="A305" s="79">
        <v>10302</v>
      </c>
      <c r="B305" s="79">
        <f t="shared" si="12"/>
        <v>5</v>
      </c>
      <c r="C305" s="79">
        <v>1</v>
      </c>
      <c r="D305" s="79">
        <v>1</v>
      </c>
      <c r="E305" s="19">
        <v>11102</v>
      </c>
      <c r="F305" s="79">
        <f t="shared" si="11"/>
        <v>0</v>
      </c>
    </row>
    <row r="306" spans="1:6" x14ac:dyDescent="0.25">
      <c r="A306" s="79">
        <v>10303</v>
      </c>
      <c r="B306" s="79">
        <f t="shared" si="12"/>
        <v>5</v>
      </c>
      <c r="C306" s="79">
        <v>1</v>
      </c>
      <c r="D306" s="79">
        <v>1</v>
      </c>
      <c r="E306" s="19">
        <v>11103</v>
      </c>
      <c r="F306" s="79">
        <f t="shared" si="11"/>
        <v>0</v>
      </c>
    </row>
    <row r="307" spans="1:6" x14ac:dyDescent="0.25">
      <c r="A307" s="79">
        <v>10304</v>
      </c>
      <c r="B307" s="79">
        <f t="shared" si="12"/>
        <v>5</v>
      </c>
      <c r="C307" s="79">
        <v>1</v>
      </c>
      <c r="D307" s="79">
        <v>1</v>
      </c>
      <c r="E307" s="19">
        <v>11104</v>
      </c>
      <c r="F307" s="79">
        <f t="shared" si="11"/>
        <v>0</v>
      </c>
    </row>
    <row r="308" spans="1:6" x14ac:dyDescent="0.25">
      <c r="A308" s="79">
        <v>10305</v>
      </c>
      <c r="B308" s="79">
        <f t="shared" si="12"/>
        <v>5</v>
      </c>
      <c r="C308" s="79">
        <v>1</v>
      </c>
      <c r="D308" s="79">
        <v>1</v>
      </c>
      <c r="E308" s="19">
        <v>11105</v>
      </c>
      <c r="F308" s="79">
        <f t="shared" si="11"/>
        <v>0</v>
      </c>
    </row>
    <row r="309" spans="1:6" x14ac:dyDescent="0.25">
      <c r="A309" s="79">
        <v>10306</v>
      </c>
      <c r="B309" s="79">
        <f t="shared" si="12"/>
        <v>5</v>
      </c>
      <c r="C309" s="79">
        <v>1</v>
      </c>
      <c r="D309" s="79">
        <v>1</v>
      </c>
      <c r="E309" s="19">
        <v>11106</v>
      </c>
      <c r="F309" s="79">
        <f t="shared" si="11"/>
        <v>0</v>
      </c>
    </row>
    <row r="310" spans="1:6" x14ac:dyDescent="0.25">
      <c r="A310" s="79">
        <v>10307</v>
      </c>
      <c r="B310" s="79">
        <f t="shared" si="12"/>
        <v>5</v>
      </c>
      <c r="C310" s="79">
        <v>1</v>
      </c>
      <c r="D310" s="79">
        <v>1</v>
      </c>
      <c r="E310" s="19">
        <v>11107</v>
      </c>
      <c r="F310" s="79">
        <f t="shared" si="11"/>
        <v>0</v>
      </c>
    </row>
    <row r="311" spans="1:6" x14ac:dyDescent="0.25">
      <c r="A311" s="79">
        <v>10308</v>
      </c>
      <c r="B311" s="79">
        <f t="shared" si="12"/>
        <v>5</v>
      </c>
      <c r="C311" s="79">
        <v>1</v>
      </c>
      <c r="D311" s="79">
        <v>1</v>
      </c>
      <c r="E311" s="19">
        <v>11108</v>
      </c>
      <c r="F311" s="79">
        <f t="shared" si="11"/>
        <v>0</v>
      </c>
    </row>
    <row r="312" spans="1:6" x14ac:dyDescent="0.25">
      <c r="A312" s="79">
        <v>10309</v>
      </c>
      <c r="B312" s="79">
        <f t="shared" si="12"/>
        <v>5</v>
      </c>
      <c r="C312" s="79">
        <v>1</v>
      </c>
      <c r="D312" s="79">
        <v>1</v>
      </c>
      <c r="E312" s="19">
        <v>11109</v>
      </c>
      <c r="F312" s="79">
        <f t="shared" si="11"/>
        <v>0</v>
      </c>
    </row>
    <row r="313" spans="1:6" x14ac:dyDescent="0.25">
      <c r="A313" s="79">
        <v>10310</v>
      </c>
      <c r="B313" s="79">
        <f t="shared" si="12"/>
        <v>5</v>
      </c>
      <c r="C313" s="79">
        <v>1</v>
      </c>
      <c r="D313" s="79">
        <v>1</v>
      </c>
      <c r="E313" s="19">
        <v>11110</v>
      </c>
      <c r="F313" s="79">
        <f t="shared" si="11"/>
        <v>0</v>
      </c>
    </row>
    <row r="314" spans="1:6" x14ac:dyDescent="0.25">
      <c r="A314" s="79">
        <v>10311</v>
      </c>
      <c r="B314" s="79">
        <f t="shared" si="12"/>
        <v>5</v>
      </c>
      <c r="C314" s="79">
        <v>1</v>
      </c>
      <c r="D314" s="79">
        <v>1</v>
      </c>
      <c r="E314" s="19">
        <v>11111</v>
      </c>
      <c r="F314" s="79">
        <f t="shared" si="11"/>
        <v>0</v>
      </c>
    </row>
    <row r="315" spans="1:6" x14ac:dyDescent="0.25">
      <c r="A315" s="79">
        <v>10312</v>
      </c>
      <c r="B315" s="79">
        <f t="shared" si="12"/>
        <v>5</v>
      </c>
      <c r="C315" s="79">
        <v>1</v>
      </c>
      <c r="D315" s="79">
        <v>1</v>
      </c>
      <c r="E315" s="19">
        <v>11112</v>
      </c>
      <c r="F315" s="79">
        <f t="shared" si="11"/>
        <v>0</v>
      </c>
    </row>
    <row r="316" spans="1:6" x14ac:dyDescent="0.25">
      <c r="A316" s="79">
        <v>10313</v>
      </c>
      <c r="B316" s="79">
        <f t="shared" si="12"/>
        <v>5</v>
      </c>
      <c r="C316" s="79">
        <v>1</v>
      </c>
      <c r="D316" s="79">
        <v>1</v>
      </c>
      <c r="E316" s="19">
        <v>11113</v>
      </c>
      <c r="F316" s="79">
        <f t="shared" si="11"/>
        <v>0</v>
      </c>
    </row>
    <row r="317" spans="1:6" x14ac:dyDescent="0.25">
      <c r="A317" s="79">
        <v>10314</v>
      </c>
      <c r="B317" s="79">
        <f t="shared" si="12"/>
        <v>5</v>
      </c>
      <c r="C317" s="79">
        <v>1</v>
      </c>
      <c r="D317" s="79">
        <v>1</v>
      </c>
      <c r="E317" s="19">
        <v>11114</v>
      </c>
      <c r="F317" s="79">
        <f t="shared" si="11"/>
        <v>0</v>
      </c>
    </row>
    <row r="318" spans="1:6" x14ac:dyDescent="0.25">
      <c r="A318" s="79">
        <v>10315</v>
      </c>
      <c r="B318" s="79">
        <f t="shared" si="12"/>
        <v>5</v>
      </c>
      <c r="C318" s="79">
        <v>1</v>
      </c>
      <c r="D318" s="79">
        <v>1</v>
      </c>
      <c r="E318" s="19">
        <v>11115</v>
      </c>
      <c r="F318" s="79">
        <f t="shared" si="11"/>
        <v>0</v>
      </c>
    </row>
    <row r="319" spans="1:6" x14ac:dyDescent="0.25">
      <c r="A319" s="79">
        <v>10316</v>
      </c>
      <c r="B319" s="79">
        <f t="shared" si="12"/>
        <v>5</v>
      </c>
      <c r="C319" s="79">
        <v>1</v>
      </c>
      <c r="D319" s="79">
        <v>1</v>
      </c>
      <c r="E319" s="19">
        <v>11116</v>
      </c>
      <c r="F319" s="79">
        <f t="shared" si="11"/>
        <v>10</v>
      </c>
    </row>
    <row r="320" spans="1:6" x14ac:dyDescent="0.25">
      <c r="A320" s="79">
        <v>10317</v>
      </c>
      <c r="B320" s="79">
        <f t="shared" si="12"/>
        <v>5</v>
      </c>
      <c r="C320" s="79">
        <v>1</v>
      </c>
      <c r="D320" s="79">
        <v>1</v>
      </c>
      <c r="E320" s="19">
        <v>11117</v>
      </c>
      <c r="F320" s="79">
        <f t="shared" si="11"/>
        <v>10</v>
      </c>
    </row>
    <row r="321" spans="1:6" x14ac:dyDescent="0.25">
      <c r="A321" s="79">
        <v>10318</v>
      </c>
      <c r="B321" s="79">
        <f t="shared" si="12"/>
        <v>5</v>
      </c>
      <c r="C321" s="79">
        <v>1</v>
      </c>
      <c r="D321" s="79">
        <v>1</v>
      </c>
      <c r="E321" s="19">
        <v>11118</v>
      </c>
      <c r="F321" s="79">
        <f t="shared" si="11"/>
        <v>10</v>
      </c>
    </row>
    <row r="322" spans="1:6" x14ac:dyDescent="0.25">
      <c r="A322" s="79">
        <v>10319</v>
      </c>
      <c r="B322" s="79">
        <f t="shared" si="12"/>
        <v>5</v>
      </c>
      <c r="C322" s="79">
        <v>1</v>
      </c>
      <c r="D322" s="79">
        <v>1</v>
      </c>
      <c r="E322" s="19">
        <v>11119</v>
      </c>
      <c r="F322" s="79">
        <f t="shared" si="11"/>
        <v>10</v>
      </c>
    </row>
    <row r="323" spans="1:6" x14ac:dyDescent="0.25">
      <c r="A323" s="79">
        <v>10320</v>
      </c>
      <c r="B323" s="79">
        <f t="shared" si="12"/>
        <v>5</v>
      </c>
      <c r="C323" s="79">
        <v>1</v>
      </c>
      <c r="D323" s="79">
        <v>1</v>
      </c>
      <c r="E323" s="19">
        <v>11120</v>
      </c>
      <c r="F323" s="79">
        <f t="shared" si="11"/>
        <v>10</v>
      </c>
    </row>
    <row r="324" spans="1:6" x14ac:dyDescent="0.25">
      <c r="A324" s="79">
        <v>10321</v>
      </c>
      <c r="B324" s="79">
        <f t="shared" si="12"/>
        <v>5</v>
      </c>
      <c r="C324" s="79">
        <v>1</v>
      </c>
      <c r="D324" s="79">
        <v>1</v>
      </c>
      <c r="E324" s="19">
        <v>11121</v>
      </c>
      <c r="F324" s="79">
        <f t="shared" si="11"/>
        <v>10</v>
      </c>
    </row>
    <row r="325" spans="1:6" x14ac:dyDescent="0.25">
      <c r="A325" s="79">
        <v>10322</v>
      </c>
      <c r="B325" s="79">
        <f t="shared" si="12"/>
        <v>5</v>
      </c>
      <c r="C325" s="79">
        <v>1</v>
      </c>
      <c r="D325" s="79">
        <v>1</v>
      </c>
      <c r="E325" s="19">
        <v>11122</v>
      </c>
      <c r="F325" s="79">
        <f t="shared" ref="F325:F388" si="13">VLOOKUP(RIGHT(E325,2)*1,$J$4:$Q$29,B325+1,0)</f>
        <v>10</v>
      </c>
    </row>
    <row r="326" spans="1:6" x14ac:dyDescent="0.25">
      <c r="A326" s="79">
        <v>10323</v>
      </c>
      <c r="B326" s="79">
        <f t="shared" si="12"/>
        <v>5</v>
      </c>
      <c r="C326" s="79">
        <v>1</v>
      </c>
      <c r="D326" s="79">
        <v>1</v>
      </c>
      <c r="E326" s="19">
        <v>11123</v>
      </c>
      <c r="F326" s="79">
        <f t="shared" si="13"/>
        <v>10</v>
      </c>
    </row>
    <row r="327" spans="1:6" x14ac:dyDescent="0.25">
      <c r="A327" s="79">
        <v>10324</v>
      </c>
      <c r="B327" s="79">
        <f t="shared" si="12"/>
        <v>5</v>
      </c>
      <c r="C327" s="79">
        <v>1</v>
      </c>
      <c r="D327" s="79">
        <v>1</v>
      </c>
      <c r="E327" s="19">
        <v>11124</v>
      </c>
      <c r="F327" s="79">
        <f t="shared" si="13"/>
        <v>10</v>
      </c>
    </row>
    <row r="328" spans="1:6" x14ac:dyDescent="0.25">
      <c r="A328" s="79">
        <v>10325</v>
      </c>
      <c r="B328" s="79">
        <f t="shared" si="12"/>
        <v>5</v>
      </c>
      <c r="C328" s="79">
        <v>1</v>
      </c>
      <c r="D328" s="79">
        <v>1</v>
      </c>
      <c r="E328" s="19">
        <v>11125</v>
      </c>
      <c r="F328" s="79">
        <f t="shared" si="13"/>
        <v>10</v>
      </c>
    </row>
    <row r="329" spans="1:6" x14ac:dyDescent="0.25">
      <c r="A329" s="79">
        <v>10326</v>
      </c>
      <c r="B329" s="79">
        <f t="shared" si="12"/>
        <v>5</v>
      </c>
      <c r="C329" s="79">
        <v>1</v>
      </c>
      <c r="D329" s="79">
        <f>D304+1</f>
        <v>2</v>
      </c>
      <c r="E329" s="19">
        <v>11201</v>
      </c>
      <c r="F329" s="79">
        <f t="shared" si="13"/>
        <v>0</v>
      </c>
    </row>
    <row r="330" spans="1:6" x14ac:dyDescent="0.25">
      <c r="A330" s="79">
        <v>10327</v>
      </c>
      <c r="B330" s="79">
        <f t="shared" si="12"/>
        <v>5</v>
      </c>
      <c r="C330" s="79">
        <v>1</v>
      </c>
      <c r="D330" s="79">
        <f t="shared" ref="D330:D378" si="14">D305+1</f>
        <v>2</v>
      </c>
      <c r="E330" s="19">
        <v>11202</v>
      </c>
      <c r="F330" s="79">
        <f t="shared" si="13"/>
        <v>0</v>
      </c>
    </row>
    <row r="331" spans="1:6" x14ac:dyDescent="0.25">
      <c r="A331" s="79">
        <v>10328</v>
      </c>
      <c r="B331" s="79">
        <f t="shared" si="12"/>
        <v>5</v>
      </c>
      <c r="C331" s="79">
        <v>1</v>
      </c>
      <c r="D331" s="79">
        <f t="shared" si="14"/>
        <v>2</v>
      </c>
      <c r="E331" s="19">
        <v>11203</v>
      </c>
      <c r="F331" s="79">
        <f t="shared" si="13"/>
        <v>0</v>
      </c>
    </row>
    <row r="332" spans="1:6" x14ac:dyDescent="0.25">
      <c r="A332" s="79">
        <v>10329</v>
      </c>
      <c r="B332" s="79">
        <f t="shared" si="12"/>
        <v>5</v>
      </c>
      <c r="C332" s="79">
        <v>1</v>
      </c>
      <c r="D332" s="79">
        <f t="shared" si="14"/>
        <v>2</v>
      </c>
      <c r="E332" s="19">
        <v>11204</v>
      </c>
      <c r="F332" s="79">
        <f t="shared" si="13"/>
        <v>0</v>
      </c>
    </row>
    <row r="333" spans="1:6" x14ac:dyDescent="0.25">
      <c r="A333" s="79">
        <v>10330</v>
      </c>
      <c r="B333" s="79">
        <f t="shared" si="12"/>
        <v>5</v>
      </c>
      <c r="C333" s="79">
        <v>1</v>
      </c>
      <c r="D333" s="79">
        <f t="shared" si="14"/>
        <v>2</v>
      </c>
      <c r="E333" s="19">
        <v>11205</v>
      </c>
      <c r="F333" s="79">
        <f t="shared" si="13"/>
        <v>0</v>
      </c>
    </row>
    <row r="334" spans="1:6" x14ac:dyDescent="0.25">
      <c r="A334" s="79">
        <v>10331</v>
      </c>
      <c r="B334" s="79">
        <f t="shared" si="12"/>
        <v>5</v>
      </c>
      <c r="C334" s="79">
        <v>1</v>
      </c>
      <c r="D334" s="79">
        <f t="shared" si="14"/>
        <v>2</v>
      </c>
      <c r="E334" s="19">
        <v>11206</v>
      </c>
      <c r="F334" s="79">
        <f t="shared" si="13"/>
        <v>0</v>
      </c>
    </row>
    <row r="335" spans="1:6" x14ac:dyDescent="0.25">
      <c r="A335" s="79">
        <v>10332</v>
      </c>
      <c r="B335" s="79">
        <f t="shared" si="12"/>
        <v>5</v>
      </c>
      <c r="C335" s="79">
        <v>1</v>
      </c>
      <c r="D335" s="79">
        <f t="shared" si="14"/>
        <v>2</v>
      </c>
      <c r="E335" s="19">
        <v>11207</v>
      </c>
      <c r="F335" s="79">
        <f t="shared" si="13"/>
        <v>0</v>
      </c>
    </row>
    <row r="336" spans="1:6" x14ac:dyDescent="0.25">
      <c r="A336" s="79">
        <v>10333</v>
      </c>
      <c r="B336" s="79">
        <f t="shared" ref="B336:B399" si="15">B261+1</f>
        <v>5</v>
      </c>
      <c r="C336" s="79">
        <v>1</v>
      </c>
      <c r="D336" s="79">
        <f t="shared" si="14"/>
        <v>2</v>
      </c>
      <c r="E336" s="19">
        <v>11208</v>
      </c>
      <c r="F336" s="79">
        <f t="shared" si="13"/>
        <v>0</v>
      </c>
    </row>
    <row r="337" spans="1:6" x14ac:dyDescent="0.25">
      <c r="A337" s="79">
        <v>10334</v>
      </c>
      <c r="B337" s="79">
        <f t="shared" si="15"/>
        <v>5</v>
      </c>
      <c r="C337" s="79">
        <v>1</v>
      </c>
      <c r="D337" s="79">
        <f t="shared" si="14"/>
        <v>2</v>
      </c>
      <c r="E337" s="19">
        <v>11209</v>
      </c>
      <c r="F337" s="79">
        <f t="shared" si="13"/>
        <v>0</v>
      </c>
    </row>
    <row r="338" spans="1:6" x14ac:dyDescent="0.25">
      <c r="A338" s="79">
        <v>10335</v>
      </c>
      <c r="B338" s="79">
        <f t="shared" si="15"/>
        <v>5</v>
      </c>
      <c r="C338" s="79">
        <v>1</v>
      </c>
      <c r="D338" s="79">
        <f t="shared" si="14"/>
        <v>2</v>
      </c>
      <c r="E338" s="19">
        <v>11210</v>
      </c>
      <c r="F338" s="79">
        <f t="shared" si="13"/>
        <v>0</v>
      </c>
    </row>
    <row r="339" spans="1:6" x14ac:dyDescent="0.25">
      <c r="A339" s="79">
        <v>10336</v>
      </c>
      <c r="B339" s="79">
        <f t="shared" si="15"/>
        <v>5</v>
      </c>
      <c r="C339" s="79">
        <v>1</v>
      </c>
      <c r="D339" s="79">
        <f t="shared" si="14"/>
        <v>2</v>
      </c>
      <c r="E339" s="19">
        <v>11211</v>
      </c>
      <c r="F339" s="79">
        <f t="shared" si="13"/>
        <v>0</v>
      </c>
    </row>
    <row r="340" spans="1:6" x14ac:dyDescent="0.25">
      <c r="A340" s="79">
        <v>10337</v>
      </c>
      <c r="B340" s="79">
        <f t="shared" si="15"/>
        <v>5</v>
      </c>
      <c r="C340" s="79">
        <v>1</v>
      </c>
      <c r="D340" s="79">
        <f t="shared" si="14"/>
        <v>2</v>
      </c>
      <c r="E340" s="19">
        <v>11212</v>
      </c>
      <c r="F340" s="79">
        <f t="shared" si="13"/>
        <v>0</v>
      </c>
    </row>
    <row r="341" spans="1:6" x14ac:dyDescent="0.25">
      <c r="A341" s="79">
        <v>10338</v>
      </c>
      <c r="B341" s="79">
        <f t="shared" si="15"/>
        <v>5</v>
      </c>
      <c r="C341" s="79">
        <v>1</v>
      </c>
      <c r="D341" s="79">
        <f t="shared" si="14"/>
        <v>2</v>
      </c>
      <c r="E341" s="19">
        <v>11213</v>
      </c>
      <c r="F341" s="79">
        <f t="shared" si="13"/>
        <v>0</v>
      </c>
    </row>
    <row r="342" spans="1:6" x14ac:dyDescent="0.25">
      <c r="A342" s="79">
        <v>10339</v>
      </c>
      <c r="B342" s="79">
        <f t="shared" si="15"/>
        <v>5</v>
      </c>
      <c r="C342" s="79">
        <v>1</v>
      </c>
      <c r="D342" s="79">
        <f t="shared" si="14"/>
        <v>2</v>
      </c>
      <c r="E342" s="19">
        <v>11214</v>
      </c>
      <c r="F342" s="79">
        <f t="shared" si="13"/>
        <v>0</v>
      </c>
    </row>
    <row r="343" spans="1:6" x14ac:dyDescent="0.25">
      <c r="A343" s="79">
        <v>10340</v>
      </c>
      <c r="B343" s="79">
        <f t="shared" si="15"/>
        <v>5</v>
      </c>
      <c r="C343" s="79">
        <v>1</v>
      </c>
      <c r="D343" s="79">
        <f t="shared" si="14"/>
        <v>2</v>
      </c>
      <c r="E343" s="19">
        <v>11215</v>
      </c>
      <c r="F343" s="79">
        <f t="shared" si="13"/>
        <v>0</v>
      </c>
    </row>
    <row r="344" spans="1:6" x14ac:dyDescent="0.25">
      <c r="A344" s="79">
        <v>10341</v>
      </c>
      <c r="B344" s="79">
        <f t="shared" si="15"/>
        <v>5</v>
      </c>
      <c r="C344" s="79">
        <v>1</v>
      </c>
      <c r="D344" s="79">
        <f t="shared" si="14"/>
        <v>2</v>
      </c>
      <c r="E344" s="19">
        <v>11216</v>
      </c>
      <c r="F344" s="79">
        <f t="shared" si="13"/>
        <v>10</v>
      </c>
    </row>
    <row r="345" spans="1:6" x14ac:dyDescent="0.25">
      <c r="A345" s="79">
        <v>10342</v>
      </c>
      <c r="B345" s="79">
        <f t="shared" si="15"/>
        <v>5</v>
      </c>
      <c r="C345" s="79">
        <v>1</v>
      </c>
      <c r="D345" s="79">
        <f t="shared" si="14"/>
        <v>2</v>
      </c>
      <c r="E345" s="19">
        <v>11217</v>
      </c>
      <c r="F345" s="79">
        <f t="shared" si="13"/>
        <v>10</v>
      </c>
    </row>
    <row r="346" spans="1:6" x14ac:dyDescent="0.25">
      <c r="A346" s="79">
        <v>10343</v>
      </c>
      <c r="B346" s="79">
        <f t="shared" si="15"/>
        <v>5</v>
      </c>
      <c r="C346" s="79">
        <v>1</v>
      </c>
      <c r="D346" s="79">
        <f t="shared" si="14"/>
        <v>2</v>
      </c>
      <c r="E346" s="19">
        <v>11218</v>
      </c>
      <c r="F346" s="79">
        <f t="shared" si="13"/>
        <v>10</v>
      </c>
    </row>
    <row r="347" spans="1:6" x14ac:dyDescent="0.25">
      <c r="A347" s="79">
        <v>10344</v>
      </c>
      <c r="B347" s="79">
        <f t="shared" si="15"/>
        <v>5</v>
      </c>
      <c r="C347" s="79">
        <v>1</v>
      </c>
      <c r="D347" s="79">
        <f t="shared" si="14"/>
        <v>2</v>
      </c>
      <c r="E347" s="19">
        <v>11219</v>
      </c>
      <c r="F347" s="79">
        <f t="shared" si="13"/>
        <v>10</v>
      </c>
    </row>
    <row r="348" spans="1:6" x14ac:dyDescent="0.25">
      <c r="A348" s="79">
        <v>10345</v>
      </c>
      <c r="B348" s="79">
        <f t="shared" si="15"/>
        <v>5</v>
      </c>
      <c r="C348" s="79">
        <v>1</v>
      </c>
      <c r="D348" s="79">
        <f t="shared" si="14"/>
        <v>2</v>
      </c>
      <c r="E348" s="19">
        <v>11220</v>
      </c>
      <c r="F348" s="79">
        <f t="shared" si="13"/>
        <v>10</v>
      </c>
    </row>
    <row r="349" spans="1:6" x14ac:dyDescent="0.25">
      <c r="A349" s="79">
        <v>10346</v>
      </c>
      <c r="B349" s="79">
        <f t="shared" si="15"/>
        <v>5</v>
      </c>
      <c r="C349" s="79">
        <v>1</v>
      </c>
      <c r="D349" s="79">
        <f t="shared" si="14"/>
        <v>2</v>
      </c>
      <c r="E349" s="19">
        <v>11221</v>
      </c>
      <c r="F349" s="79">
        <f t="shared" si="13"/>
        <v>10</v>
      </c>
    </row>
    <row r="350" spans="1:6" x14ac:dyDescent="0.25">
      <c r="A350" s="79">
        <v>10347</v>
      </c>
      <c r="B350" s="79">
        <f t="shared" si="15"/>
        <v>5</v>
      </c>
      <c r="C350" s="79">
        <v>1</v>
      </c>
      <c r="D350" s="79">
        <f t="shared" si="14"/>
        <v>2</v>
      </c>
      <c r="E350" s="19">
        <v>11222</v>
      </c>
      <c r="F350" s="79">
        <f t="shared" si="13"/>
        <v>10</v>
      </c>
    </row>
    <row r="351" spans="1:6" x14ac:dyDescent="0.25">
      <c r="A351" s="79">
        <v>10348</v>
      </c>
      <c r="B351" s="79">
        <f t="shared" si="15"/>
        <v>5</v>
      </c>
      <c r="C351" s="79">
        <v>1</v>
      </c>
      <c r="D351" s="79">
        <f t="shared" si="14"/>
        <v>2</v>
      </c>
      <c r="E351" s="19">
        <v>11223</v>
      </c>
      <c r="F351" s="79">
        <f t="shared" si="13"/>
        <v>10</v>
      </c>
    </row>
    <row r="352" spans="1:6" x14ac:dyDescent="0.25">
      <c r="A352" s="79">
        <v>10349</v>
      </c>
      <c r="B352" s="79">
        <f t="shared" si="15"/>
        <v>5</v>
      </c>
      <c r="C352" s="79">
        <v>1</v>
      </c>
      <c r="D352" s="79">
        <f t="shared" si="14"/>
        <v>2</v>
      </c>
      <c r="E352" s="19">
        <v>11224</v>
      </c>
      <c r="F352" s="79">
        <f t="shared" si="13"/>
        <v>10</v>
      </c>
    </row>
    <row r="353" spans="1:6" x14ac:dyDescent="0.25">
      <c r="A353" s="79">
        <v>10350</v>
      </c>
      <c r="B353" s="79">
        <f t="shared" si="15"/>
        <v>5</v>
      </c>
      <c r="C353" s="79">
        <v>1</v>
      </c>
      <c r="D353" s="79">
        <f t="shared" si="14"/>
        <v>2</v>
      </c>
      <c r="E353" s="19">
        <v>11225</v>
      </c>
      <c r="F353" s="79">
        <f t="shared" si="13"/>
        <v>10</v>
      </c>
    </row>
    <row r="354" spans="1:6" x14ac:dyDescent="0.25">
      <c r="A354" s="79">
        <v>10351</v>
      </c>
      <c r="B354" s="79">
        <f t="shared" si="15"/>
        <v>5</v>
      </c>
      <c r="C354" s="79">
        <v>1</v>
      </c>
      <c r="D354" s="79">
        <f t="shared" si="14"/>
        <v>3</v>
      </c>
      <c r="E354" s="19">
        <v>11301</v>
      </c>
      <c r="F354" s="79">
        <f t="shared" si="13"/>
        <v>0</v>
      </c>
    </row>
    <row r="355" spans="1:6" x14ac:dyDescent="0.25">
      <c r="A355" s="79">
        <v>10352</v>
      </c>
      <c r="B355" s="79">
        <f t="shared" si="15"/>
        <v>5</v>
      </c>
      <c r="C355" s="79">
        <v>1</v>
      </c>
      <c r="D355" s="79">
        <f t="shared" si="14"/>
        <v>3</v>
      </c>
      <c r="E355" s="19">
        <v>11302</v>
      </c>
      <c r="F355" s="79">
        <f t="shared" si="13"/>
        <v>0</v>
      </c>
    </row>
    <row r="356" spans="1:6" x14ac:dyDescent="0.25">
      <c r="A356" s="79">
        <v>10353</v>
      </c>
      <c r="B356" s="79">
        <f t="shared" si="15"/>
        <v>5</v>
      </c>
      <c r="C356" s="79">
        <v>1</v>
      </c>
      <c r="D356" s="79">
        <f t="shared" si="14"/>
        <v>3</v>
      </c>
      <c r="E356" s="19">
        <v>11303</v>
      </c>
      <c r="F356" s="79">
        <f t="shared" si="13"/>
        <v>0</v>
      </c>
    </row>
    <row r="357" spans="1:6" x14ac:dyDescent="0.25">
      <c r="A357" s="79">
        <v>10354</v>
      </c>
      <c r="B357" s="79">
        <f t="shared" si="15"/>
        <v>5</v>
      </c>
      <c r="C357" s="79">
        <v>1</v>
      </c>
      <c r="D357" s="79">
        <f t="shared" si="14"/>
        <v>3</v>
      </c>
      <c r="E357" s="19">
        <v>11304</v>
      </c>
      <c r="F357" s="79">
        <f t="shared" si="13"/>
        <v>0</v>
      </c>
    </row>
    <row r="358" spans="1:6" x14ac:dyDescent="0.25">
      <c r="A358" s="79">
        <v>10355</v>
      </c>
      <c r="B358" s="79">
        <f t="shared" si="15"/>
        <v>5</v>
      </c>
      <c r="C358" s="79">
        <v>1</v>
      </c>
      <c r="D358" s="79">
        <f t="shared" si="14"/>
        <v>3</v>
      </c>
      <c r="E358" s="19">
        <v>11305</v>
      </c>
      <c r="F358" s="79">
        <f t="shared" si="13"/>
        <v>0</v>
      </c>
    </row>
    <row r="359" spans="1:6" x14ac:dyDescent="0.25">
      <c r="A359" s="79">
        <v>10356</v>
      </c>
      <c r="B359" s="79">
        <f t="shared" si="15"/>
        <v>5</v>
      </c>
      <c r="C359" s="79">
        <v>1</v>
      </c>
      <c r="D359" s="79">
        <f t="shared" si="14"/>
        <v>3</v>
      </c>
      <c r="E359" s="19">
        <v>11306</v>
      </c>
      <c r="F359" s="79">
        <f t="shared" si="13"/>
        <v>0</v>
      </c>
    </row>
    <row r="360" spans="1:6" x14ac:dyDescent="0.25">
      <c r="A360" s="79">
        <v>10357</v>
      </c>
      <c r="B360" s="79">
        <f t="shared" si="15"/>
        <v>5</v>
      </c>
      <c r="C360" s="79">
        <v>1</v>
      </c>
      <c r="D360" s="79">
        <f t="shared" si="14"/>
        <v>3</v>
      </c>
      <c r="E360" s="19">
        <v>11307</v>
      </c>
      <c r="F360" s="79">
        <f t="shared" si="13"/>
        <v>0</v>
      </c>
    </row>
    <row r="361" spans="1:6" x14ac:dyDescent="0.25">
      <c r="A361" s="79">
        <v>10358</v>
      </c>
      <c r="B361" s="79">
        <f t="shared" si="15"/>
        <v>5</v>
      </c>
      <c r="C361" s="79">
        <v>1</v>
      </c>
      <c r="D361" s="79">
        <f t="shared" si="14"/>
        <v>3</v>
      </c>
      <c r="E361" s="19">
        <v>11308</v>
      </c>
      <c r="F361" s="79">
        <f t="shared" si="13"/>
        <v>0</v>
      </c>
    </row>
    <row r="362" spans="1:6" x14ac:dyDescent="0.25">
      <c r="A362" s="79">
        <v>10359</v>
      </c>
      <c r="B362" s="79">
        <f t="shared" si="15"/>
        <v>5</v>
      </c>
      <c r="C362" s="79">
        <v>1</v>
      </c>
      <c r="D362" s="79">
        <f t="shared" si="14"/>
        <v>3</v>
      </c>
      <c r="E362" s="19">
        <v>11309</v>
      </c>
      <c r="F362" s="79">
        <f t="shared" si="13"/>
        <v>0</v>
      </c>
    </row>
    <row r="363" spans="1:6" x14ac:dyDescent="0.25">
      <c r="A363" s="79">
        <v>10360</v>
      </c>
      <c r="B363" s="79">
        <f t="shared" si="15"/>
        <v>5</v>
      </c>
      <c r="C363" s="79">
        <v>1</v>
      </c>
      <c r="D363" s="79">
        <f t="shared" si="14"/>
        <v>3</v>
      </c>
      <c r="E363" s="19">
        <v>11310</v>
      </c>
      <c r="F363" s="79">
        <f t="shared" si="13"/>
        <v>0</v>
      </c>
    </row>
    <row r="364" spans="1:6" x14ac:dyDescent="0.25">
      <c r="A364" s="79">
        <v>10361</v>
      </c>
      <c r="B364" s="79">
        <f t="shared" si="15"/>
        <v>5</v>
      </c>
      <c r="C364" s="79">
        <v>1</v>
      </c>
      <c r="D364" s="79">
        <f t="shared" si="14"/>
        <v>3</v>
      </c>
      <c r="E364" s="19">
        <v>11311</v>
      </c>
      <c r="F364" s="79">
        <f t="shared" si="13"/>
        <v>0</v>
      </c>
    </row>
    <row r="365" spans="1:6" x14ac:dyDescent="0.25">
      <c r="A365" s="79">
        <v>10362</v>
      </c>
      <c r="B365" s="79">
        <f t="shared" si="15"/>
        <v>5</v>
      </c>
      <c r="C365" s="79">
        <v>1</v>
      </c>
      <c r="D365" s="79">
        <f t="shared" si="14"/>
        <v>3</v>
      </c>
      <c r="E365" s="19">
        <v>11312</v>
      </c>
      <c r="F365" s="79">
        <f t="shared" si="13"/>
        <v>0</v>
      </c>
    </row>
    <row r="366" spans="1:6" x14ac:dyDescent="0.25">
      <c r="A366" s="79">
        <v>10363</v>
      </c>
      <c r="B366" s="79">
        <f t="shared" si="15"/>
        <v>5</v>
      </c>
      <c r="C366" s="79">
        <v>1</v>
      </c>
      <c r="D366" s="79">
        <f t="shared" si="14"/>
        <v>3</v>
      </c>
      <c r="E366" s="19">
        <v>11313</v>
      </c>
      <c r="F366" s="79">
        <f t="shared" si="13"/>
        <v>0</v>
      </c>
    </row>
    <row r="367" spans="1:6" x14ac:dyDescent="0.25">
      <c r="A367" s="79">
        <v>10364</v>
      </c>
      <c r="B367" s="79">
        <f t="shared" si="15"/>
        <v>5</v>
      </c>
      <c r="C367" s="79">
        <v>1</v>
      </c>
      <c r="D367" s="79">
        <f t="shared" si="14"/>
        <v>3</v>
      </c>
      <c r="E367" s="19">
        <v>11314</v>
      </c>
      <c r="F367" s="79">
        <f t="shared" si="13"/>
        <v>0</v>
      </c>
    </row>
    <row r="368" spans="1:6" x14ac:dyDescent="0.25">
      <c r="A368" s="79">
        <v>10365</v>
      </c>
      <c r="B368" s="79">
        <f t="shared" si="15"/>
        <v>5</v>
      </c>
      <c r="C368" s="79">
        <v>1</v>
      </c>
      <c r="D368" s="79">
        <f t="shared" si="14"/>
        <v>3</v>
      </c>
      <c r="E368" s="19">
        <v>11315</v>
      </c>
      <c r="F368" s="79">
        <f t="shared" si="13"/>
        <v>0</v>
      </c>
    </row>
    <row r="369" spans="1:6" x14ac:dyDescent="0.25">
      <c r="A369" s="79">
        <v>10366</v>
      </c>
      <c r="B369" s="79">
        <f t="shared" si="15"/>
        <v>5</v>
      </c>
      <c r="C369" s="79">
        <v>1</v>
      </c>
      <c r="D369" s="79">
        <f t="shared" si="14"/>
        <v>3</v>
      </c>
      <c r="E369" s="19">
        <v>11316</v>
      </c>
      <c r="F369" s="79">
        <f t="shared" si="13"/>
        <v>10</v>
      </c>
    </row>
    <row r="370" spans="1:6" x14ac:dyDescent="0.25">
      <c r="A370" s="79">
        <v>10367</v>
      </c>
      <c r="B370" s="79">
        <f t="shared" si="15"/>
        <v>5</v>
      </c>
      <c r="C370" s="79">
        <v>1</v>
      </c>
      <c r="D370" s="79">
        <f t="shared" si="14"/>
        <v>3</v>
      </c>
      <c r="E370" s="19">
        <v>11317</v>
      </c>
      <c r="F370" s="79">
        <f t="shared" si="13"/>
        <v>10</v>
      </c>
    </row>
    <row r="371" spans="1:6" x14ac:dyDescent="0.25">
      <c r="A371" s="79">
        <v>10368</v>
      </c>
      <c r="B371" s="79">
        <f t="shared" si="15"/>
        <v>5</v>
      </c>
      <c r="C371" s="79">
        <v>1</v>
      </c>
      <c r="D371" s="79">
        <f t="shared" si="14"/>
        <v>3</v>
      </c>
      <c r="E371" s="19">
        <v>11318</v>
      </c>
      <c r="F371" s="79">
        <f t="shared" si="13"/>
        <v>10</v>
      </c>
    </row>
    <row r="372" spans="1:6" x14ac:dyDescent="0.25">
      <c r="A372" s="79">
        <v>10369</v>
      </c>
      <c r="B372" s="79">
        <f t="shared" si="15"/>
        <v>5</v>
      </c>
      <c r="C372" s="79">
        <v>1</v>
      </c>
      <c r="D372" s="79">
        <f t="shared" si="14"/>
        <v>3</v>
      </c>
      <c r="E372" s="19">
        <v>11319</v>
      </c>
      <c r="F372" s="79">
        <f t="shared" si="13"/>
        <v>10</v>
      </c>
    </row>
    <row r="373" spans="1:6" x14ac:dyDescent="0.25">
      <c r="A373" s="79">
        <v>10370</v>
      </c>
      <c r="B373" s="79">
        <f t="shared" si="15"/>
        <v>5</v>
      </c>
      <c r="C373" s="79">
        <v>1</v>
      </c>
      <c r="D373" s="79">
        <f t="shared" si="14"/>
        <v>3</v>
      </c>
      <c r="E373" s="19">
        <v>11320</v>
      </c>
      <c r="F373" s="79">
        <f t="shared" si="13"/>
        <v>10</v>
      </c>
    </row>
    <row r="374" spans="1:6" x14ac:dyDescent="0.25">
      <c r="A374" s="79">
        <v>10371</v>
      </c>
      <c r="B374" s="79">
        <f t="shared" si="15"/>
        <v>5</v>
      </c>
      <c r="C374" s="79">
        <v>1</v>
      </c>
      <c r="D374" s="79">
        <f t="shared" si="14"/>
        <v>3</v>
      </c>
      <c r="E374" s="19">
        <v>11321</v>
      </c>
      <c r="F374" s="79">
        <f t="shared" si="13"/>
        <v>10</v>
      </c>
    </row>
    <row r="375" spans="1:6" x14ac:dyDescent="0.25">
      <c r="A375" s="79">
        <v>10372</v>
      </c>
      <c r="B375" s="79">
        <f t="shared" si="15"/>
        <v>5</v>
      </c>
      <c r="C375" s="79">
        <v>1</v>
      </c>
      <c r="D375" s="79">
        <f t="shared" si="14"/>
        <v>3</v>
      </c>
      <c r="E375" s="19">
        <v>11322</v>
      </c>
      <c r="F375" s="79">
        <f t="shared" si="13"/>
        <v>10</v>
      </c>
    </row>
    <row r="376" spans="1:6" x14ac:dyDescent="0.25">
      <c r="A376" s="79">
        <v>10373</v>
      </c>
      <c r="B376" s="79">
        <f t="shared" si="15"/>
        <v>5</v>
      </c>
      <c r="C376" s="79">
        <v>1</v>
      </c>
      <c r="D376" s="79">
        <f t="shared" si="14"/>
        <v>3</v>
      </c>
      <c r="E376" s="19">
        <v>11323</v>
      </c>
      <c r="F376" s="79">
        <f t="shared" si="13"/>
        <v>10</v>
      </c>
    </row>
    <row r="377" spans="1:6" x14ac:dyDescent="0.25">
      <c r="A377" s="79">
        <v>10374</v>
      </c>
      <c r="B377" s="79">
        <f t="shared" si="15"/>
        <v>5</v>
      </c>
      <c r="C377" s="79">
        <v>1</v>
      </c>
      <c r="D377" s="79">
        <f t="shared" si="14"/>
        <v>3</v>
      </c>
      <c r="E377" s="19">
        <v>11324</v>
      </c>
      <c r="F377" s="79">
        <f t="shared" si="13"/>
        <v>10</v>
      </c>
    </row>
    <row r="378" spans="1:6" x14ac:dyDescent="0.25">
      <c r="A378" s="79">
        <v>10375</v>
      </c>
      <c r="B378" s="79">
        <f t="shared" si="15"/>
        <v>5</v>
      </c>
      <c r="C378" s="79">
        <v>1</v>
      </c>
      <c r="D378" s="79">
        <f t="shared" si="14"/>
        <v>3</v>
      </c>
      <c r="E378" s="19">
        <v>11325</v>
      </c>
      <c r="F378" s="79">
        <f t="shared" si="13"/>
        <v>10</v>
      </c>
    </row>
    <row r="379" spans="1:6" x14ac:dyDescent="0.25">
      <c r="A379" s="79">
        <v>10376</v>
      </c>
      <c r="B379" s="79">
        <f t="shared" si="15"/>
        <v>6</v>
      </c>
      <c r="C379" s="79">
        <v>1</v>
      </c>
      <c r="D379" s="79">
        <v>1</v>
      </c>
      <c r="E379" s="19">
        <v>11101</v>
      </c>
      <c r="F379" s="79">
        <f t="shared" si="13"/>
        <v>0</v>
      </c>
    </row>
    <row r="380" spans="1:6" x14ac:dyDescent="0.25">
      <c r="A380" s="79">
        <v>10377</v>
      </c>
      <c r="B380" s="79">
        <f t="shared" si="15"/>
        <v>6</v>
      </c>
      <c r="C380" s="79">
        <v>1</v>
      </c>
      <c r="D380" s="79">
        <v>1</v>
      </c>
      <c r="E380" s="19">
        <v>11102</v>
      </c>
      <c r="F380" s="79">
        <f t="shared" si="13"/>
        <v>0</v>
      </c>
    </row>
    <row r="381" spans="1:6" x14ac:dyDescent="0.25">
      <c r="A381" s="79">
        <v>10378</v>
      </c>
      <c r="B381" s="79">
        <f t="shared" si="15"/>
        <v>6</v>
      </c>
      <c r="C381" s="79">
        <v>1</v>
      </c>
      <c r="D381" s="79">
        <v>1</v>
      </c>
      <c r="E381" s="19">
        <v>11103</v>
      </c>
      <c r="F381" s="79">
        <f t="shared" si="13"/>
        <v>0</v>
      </c>
    </row>
    <row r="382" spans="1:6" x14ac:dyDescent="0.25">
      <c r="A382" s="79">
        <v>10379</v>
      </c>
      <c r="B382" s="79">
        <f t="shared" si="15"/>
        <v>6</v>
      </c>
      <c r="C382" s="79">
        <v>1</v>
      </c>
      <c r="D382" s="79">
        <v>1</v>
      </c>
      <c r="E382" s="19">
        <v>11104</v>
      </c>
      <c r="F382" s="79">
        <f t="shared" si="13"/>
        <v>0</v>
      </c>
    </row>
    <row r="383" spans="1:6" x14ac:dyDescent="0.25">
      <c r="A383" s="79">
        <v>10380</v>
      </c>
      <c r="B383" s="79">
        <f t="shared" si="15"/>
        <v>6</v>
      </c>
      <c r="C383" s="79">
        <v>1</v>
      </c>
      <c r="D383" s="79">
        <v>1</v>
      </c>
      <c r="E383" s="19">
        <v>11105</v>
      </c>
      <c r="F383" s="79">
        <f t="shared" si="13"/>
        <v>0</v>
      </c>
    </row>
    <row r="384" spans="1:6" x14ac:dyDescent="0.25">
      <c r="A384" s="79">
        <v>10381</v>
      </c>
      <c r="B384" s="79">
        <f t="shared" si="15"/>
        <v>6</v>
      </c>
      <c r="C384" s="79">
        <v>1</v>
      </c>
      <c r="D384" s="79">
        <v>1</v>
      </c>
      <c r="E384" s="19">
        <v>11106</v>
      </c>
      <c r="F384" s="79">
        <f t="shared" si="13"/>
        <v>0</v>
      </c>
    </row>
    <row r="385" spans="1:6" x14ac:dyDescent="0.25">
      <c r="A385" s="79">
        <v>10382</v>
      </c>
      <c r="B385" s="79">
        <f t="shared" si="15"/>
        <v>6</v>
      </c>
      <c r="C385" s="79">
        <v>1</v>
      </c>
      <c r="D385" s="79">
        <v>1</v>
      </c>
      <c r="E385" s="19">
        <v>11107</v>
      </c>
      <c r="F385" s="79">
        <f t="shared" si="13"/>
        <v>0</v>
      </c>
    </row>
    <row r="386" spans="1:6" x14ac:dyDescent="0.25">
      <c r="A386" s="79">
        <v>10383</v>
      </c>
      <c r="B386" s="79">
        <f t="shared" si="15"/>
        <v>6</v>
      </c>
      <c r="C386" s="79">
        <v>1</v>
      </c>
      <c r="D386" s="79">
        <v>1</v>
      </c>
      <c r="E386" s="19">
        <v>11108</v>
      </c>
      <c r="F386" s="79">
        <f t="shared" si="13"/>
        <v>0</v>
      </c>
    </row>
    <row r="387" spans="1:6" x14ac:dyDescent="0.25">
      <c r="A387" s="79">
        <v>10384</v>
      </c>
      <c r="B387" s="79">
        <f t="shared" si="15"/>
        <v>6</v>
      </c>
      <c r="C387" s="79">
        <v>1</v>
      </c>
      <c r="D387" s="79">
        <v>1</v>
      </c>
      <c r="E387" s="19">
        <v>11109</v>
      </c>
      <c r="F387" s="79">
        <f t="shared" si="13"/>
        <v>0</v>
      </c>
    </row>
    <row r="388" spans="1:6" x14ac:dyDescent="0.25">
      <c r="A388" s="79">
        <v>10385</v>
      </c>
      <c r="B388" s="79">
        <f t="shared" si="15"/>
        <v>6</v>
      </c>
      <c r="C388" s="79">
        <v>1</v>
      </c>
      <c r="D388" s="79">
        <v>1</v>
      </c>
      <c r="E388" s="19">
        <v>11110</v>
      </c>
      <c r="F388" s="79">
        <f t="shared" si="13"/>
        <v>0</v>
      </c>
    </row>
    <row r="389" spans="1:6" x14ac:dyDescent="0.25">
      <c r="A389" s="79">
        <v>10386</v>
      </c>
      <c r="B389" s="79">
        <f t="shared" si="15"/>
        <v>6</v>
      </c>
      <c r="C389" s="79">
        <v>1</v>
      </c>
      <c r="D389" s="79">
        <v>1</v>
      </c>
      <c r="E389" s="19">
        <v>11111</v>
      </c>
      <c r="F389" s="79">
        <f t="shared" ref="F389:F452" si="16">VLOOKUP(RIGHT(E389,2)*1,$J$4:$Q$29,B389+1,0)</f>
        <v>0</v>
      </c>
    </row>
    <row r="390" spans="1:6" x14ac:dyDescent="0.25">
      <c r="A390" s="79">
        <v>10387</v>
      </c>
      <c r="B390" s="79">
        <f t="shared" si="15"/>
        <v>6</v>
      </c>
      <c r="C390" s="79">
        <v>1</v>
      </c>
      <c r="D390" s="79">
        <v>1</v>
      </c>
      <c r="E390" s="19">
        <v>11112</v>
      </c>
      <c r="F390" s="79">
        <f t="shared" si="16"/>
        <v>0</v>
      </c>
    </row>
    <row r="391" spans="1:6" x14ac:dyDescent="0.25">
      <c r="A391" s="79">
        <v>10388</v>
      </c>
      <c r="B391" s="79">
        <f t="shared" si="15"/>
        <v>6</v>
      </c>
      <c r="C391" s="79">
        <v>1</v>
      </c>
      <c r="D391" s="79">
        <v>1</v>
      </c>
      <c r="E391" s="19">
        <v>11113</v>
      </c>
      <c r="F391" s="79">
        <f t="shared" si="16"/>
        <v>0</v>
      </c>
    </row>
    <row r="392" spans="1:6" x14ac:dyDescent="0.25">
      <c r="A392" s="79">
        <v>10389</v>
      </c>
      <c r="B392" s="79">
        <f t="shared" si="15"/>
        <v>6</v>
      </c>
      <c r="C392" s="79">
        <v>1</v>
      </c>
      <c r="D392" s="79">
        <v>1</v>
      </c>
      <c r="E392" s="19">
        <v>11114</v>
      </c>
      <c r="F392" s="79">
        <f t="shared" si="16"/>
        <v>0</v>
      </c>
    </row>
    <row r="393" spans="1:6" x14ac:dyDescent="0.25">
      <c r="A393" s="79">
        <v>10390</v>
      </c>
      <c r="B393" s="79">
        <f t="shared" si="15"/>
        <v>6</v>
      </c>
      <c r="C393" s="79">
        <v>1</v>
      </c>
      <c r="D393" s="79">
        <v>1</v>
      </c>
      <c r="E393" s="19">
        <v>11115</v>
      </c>
      <c r="F393" s="79">
        <f t="shared" si="16"/>
        <v>0</v>
      </c>
    </row>
    <row r="394" spans="1:6" x14ac:dyDescent="0.25">
      <c r="A394" s="79">
        <v>10391</v>
      </c>
      <c r="B394" s="79">
        <f t="shared" si="15"/>
        <v>6</v>
      </c>
      <c r="C394" s="79">
        <v>1</v>
      </c>
      <c r="D394" s="79">
        <v>1</v>
      </c>
      <c r="E394" s="19">
        <v>11116</v>
      </c>
      <c r="F394" s="79">
        <f t="shared" si="16"/>
        <v>10</v>
      </c>
    </row>
    <row r="395" spans="1:6" x14ac:dyDescent="0.25">
      <c r="A395" s="79">
        <v>10392</v>
      </c>
      <c r="B395" s="79">
        <f t="shared" si="15"/>
        <v>6</v>
      </c>
      <c r="C395" s="79">
        <v>1</v>
      </c>
      <c r="D395" s="79">
        <v>1</v>
      </c>
      <c r="E395" s="19">
        <v>11117</v>
      </c>
      <c r="F395" s="79">
        <f t="shared" si="16"/>
        <v>10</v>
      </c>
    </row>
    <row r="396" spans="1:6" x14ac:dyDescent="0.25">
      <c r="A396" s="79">
        <v>10393</v>
      </c>
      <c r="B396" s="79">
        <f t="shared" si="15"/>
        <v>6</v>
      </c>
      <c r="C396" s="79">
        <v>1</v>
      </c>
      <c r="D396" s="79">
        <v>1</v>
      </c>
      <c r="E396" s="19">
        <v>11118</v>
      </c>
      <c r="F396" s="79">
        <f t="shared" si="16"/>
        <v>10</v>
      </c>
    </row>
    <row r="397" spans="1:6" x14ac:dyDescent="0.25">
      <c r="A397" s="79">
        <v>10394</v>
      </c>
      <c r="B397" s="79">
        <f t="shared" si="15"/>
        <v>6</v>
      </c>
      <c r="C397" s="79">
        <v>1</v>
      </c>
      <c r="D397" s="79">
        <v>1</v>
      </c>
      <c r="E397" s="19">
        <v>11119</v>
      </c>
      <c r="F397" s="79">
        <f t="shared" si="16"/>
        <v>10</v>
      </c>
    </row>
    <row r="398" spans="1:6" x14ac:dyDescent="0.25">
      <c r="A398" s="79">
        <v>10395</v>
      </c>
      <c r="B398" s="79">
        <f t="shared" si="15"/>
        <v>6</v>
      </c>
      <c r="C398" s="79">
        <v>1</v>
      </c>
      <c r="D398" s="79">
        <v>1</v>
      </c>
      <c r="E398" s="19">
        <v>11120</v>
      </c>
      <c r="F398" s="79">
        <f t="shared" si="16"/>
        <v>10</v>
      </c>
    </row>
    <row r="399" spans="1:6" x14ac:dyDescent="0.25">
      <c r="A399" s="79">
        <v>10396</v>
      </c>
      <c r="B399" s="79">
        <f t="shared" si="15"/>
        <v>6</v>
      </c>
      <c r="C399" s="79">
        <v>1</v>
      </c>
      <c r="D399" s="79">
        <v>1</v>
      </c>
      <c r="E399" s="19">
        <v>11121</v>
      </c>
      <c r="F399" s="79">
        <f t="shared" si="16"/>
        <v>10</v>
      </c>
    </row>
    <row r="400" spans="1:6" x14ac:dyDescent="0.25">
      <c r="A400" s="79">
        <v>10397</v>
      </c>
      <c r="B400" s="79">
        <f t="shared" ref="B400:B463" si="17">B325+1</f>
        <v>6</v>
      </c>
      <c r="C400" s="79">
        <v>1</v>
      </c>
      <c r="D400" s="79">
        <v>1</v>
      </c>
      <c r="E400" s="19">
        <v>11122</v>
      </c>
      <c r="F400" s="79">
        <f t="shared" si="16"/>
        <v>10</v>
      </c>
    </row>
    <row r="401" spans="1:6" x14ac:dyDescent="0.25">
      <c r="A401" s="79">
        <v>10398</v>
      </c>
      <c r="B401" s="79">
        <f t="shared" si="17"/>
        <v>6</v>
      </c>
      <c r="C401" s="79">
        <v>1</v>
      </c>
      <c r="D401" s="79">
        <v>1</v>
      </c>
      <c r="E401" s="19">
        <v>11123</v>
      </c>
      <c r="F401" s="79">
        <f t="shared" si="16"/>
        <v>10</v>
      </c>
    </row>
    <row r="402" spans="1:6" x14ac:dyDescent="0.25">
      <c r="A402" s="79">
        <v>10399</v>
      </c>
      <c r="B402" s="79">
        <f t="shared" si="17"/>
        <v>6</v>
      </c>
      <c r="C402" s="79">
        <v>1</v>
      </c>
      <c r="D402" s="79">
        <v>1</v>
      </c>
      <c r="E402" s="19">
        <v>11124</v>
      </c>
      <c r="F402" s="79">
        <f t="shared" si="16"/>
        <v>10</v>
      </c>
    </row>
    <row r="403" spans="1:6" x14ac:dyDescent="0.25">
      <c r="A403" s="79">
        <v>10400</v>
      </c>
      <c r="B403" s="79">
        <f t="shared" si="17"/>
        <v>6</v>
      </c>
      <c r="C403" s="79">
        <v>1</v>
      </c>
      <c r="D403" s="79">
        <v>1</v>
      </c>
      <c r="E403" s="19">
        <v>11125</v>
      </c>
      <c r="F403" s="79">
        <f t="shared" si="16"/>
        <v>10</v>
      </c>
    </row>
    <row r="404" spans="1:6" x14ac:dyDescent="0.25">
      <c r="A404" s="79">
        <v>10401</v>
      </c>
      <c r="B404" s="79">
        <f t="shared" si="17"/>
        <v>6</v>
      </c>
      <c r="C404" s="79">
        <v>1</v>
      </c>
      <c r="D404" s="79">
        <f>D379+1</f>
        <v>2</v>
      </c>
      <c r="E404" s="19">
        <v>11201</v>
      </c>
      <c r="F404" s="79">
        <f t="shared" si="16"/>
        <v>0</v>
      </c>
    </row>
    <row r="405" spans="1:6" x14ac:dyDescent="0.25">
      <c r="A405" s="79">
        <v>10402</v>
      </c>
      <c r="B405" s="79">
        <f t="shared" si="17"/>
        <v>6</v>
      </c>
      <c r="C405" s="79">
        <v>1</v>
      </c>
      <c r="D405" s="79">
        <f t="shared" ref="D405:D453" si="18">D380+1</f>
        <v>2</v>
      </c>
      <c r="E405" s="19">
        <v>11202</v>
      </c>
      <c r="F405" s="79">
        <f t="shared" si="16"/>
        <v>0</v>
      </c>
    </row>
    <row r="406" spans="1:6" x14ac:dyDescent="0.25">
      <c r="A406" s="79">
        <v>10403</v>
      </c>
      <c r="B406" s="79">
        <f t="shared" si="17"/>
        <v>6</v>
      </c>
      <c r="C406" s="79">
        <v>1</v>
      </c>
      <c r="D406" s="79">
        <f t="shared" si="18"/>
        <v>2</v>
      </c>
      <c r="E406" s="19">
        <v>11203</v>
      </c>
      <c r="F406" s="79">
        <f t="shared" si="16"/>
        <v>0</v>
      </c>
    </row>
    <row r="407" spans="1:6" x14ac:dyDescent="0.25">
      <c r="A407" s="79">
        <v>10404</v>
      </c>
      <c r="B407" s="79">
        <f t="shared" si="17"/>
        <v>6</v>
      </c>
      <c r="C407" s="79">
        <v>1</v>
      </c>
      <c r="D407" s="79">
        <f t="shared" si="18"/>
        <v>2</v>
      </c>
      <c r="E407" s="19">
        <v>11204</v>
      </c>
      <c r="F407" s="79">
        <f t="shared" si="16"/>
        <v>0</v>
      </c>
    </row>
    <row r="408" spans="1:6" x14ac:dyDescent="0.25">
      <c r="A408" s="79">
        <v>10405</v>
      </c>
      <c r="B408" s="79">
        <f t="shared" si="17"/>
        <v>6</v>
      </c>
      <c r="C408" s="79">
        <v>1</v>
      </c>
      <c r="D408" s="79">
        <f t="shared" si="18"/>
        <v>2</v>
      </c>
      <c r="E408" s="19">
        <v>11205</v>
      </c>
      <c r="F408" s="79">
        <f t="shared" si="16"/>
        <v>0</v>
      </c>
    </row>
    <row r="409" spans="1:6" x14ac:dyDescent="0.25">
      <c r="A409" s="79">
        <v>10406</v>
      </c>
      <c r="B409" s="79">
        <f t="shared" si="17"/>
        <v>6</v>
      </c>
      <c r="C409" s="79">
        <v>1</v>
      </c>
      <c r="D409" s="79">
        <f t="shared" si="18"/>
        <v>2</v>
      </c>
      <c r="E409" s="19">
        <v>11206</v>
      </c>
      <c r="F409" s="79">
        <f t="shared" si="16"/>
        <v>0</v>
      </c>
    </row>
    <row r="410" spans="1:6" x14ac:dyDescent="0.25">
      <c r="A410" s="79">
        <v>10407</v>
      </c>
      <c r="B410" s="79">
        <f t="shared" si="17"/>
        <v>6</v>
      </c>
      <c r="C410" s="79">
        <v>1</v>
      </c>
      <c r="D410" s="79">
        <f t="shared" si="18"/>
        <v>2</v>
      </c>
      <c r="E410" s="19">
        <v>11207</v>
      </c>
      <c r="F410" s="79">
        <f t="shared" si="16"/>
        <v>0</v>
      </c>
    </row>
    <row r="411" spans="1:6" x14ac:dyDescent="0.25">
      <c r="A411" s="79">
        <v>10408</v>
      </c>
      <c r="B411" s="79">
        <f t="shared" si="17"/>
        <v>6</v>
      </c>
      <c r="C411" s="79">
        <v>1</v>
      </c>
      <c r="D411" s="79">
        <f t="shared" si="18"/>
        <v>2</v>
      </c>
      <c r="E411" s="19">
        <v>11208</v>
      </c>
      <c r="F411" s="79">
        <f t="shared" si="16"/>
        <v>0</v>
      </c>
    </row>
    <row r="412" spans="1:6" x14ac:dyDescent="0.25">
      <c r="A412" s="79">
        <v>10409</v>
      </c>
      <c r="B412" s="79">
        <f t="shared" si="17"/>
        <v>6</v>
      </c>
      <c r="C412" s="79">
        <v>1</v>
      </c>
      <c r="D412" s="79">
        <f t="shared" si="18"/>
        <v>2</v>
      </c>
      <c r="E412" s="19">
        <v>11209</v>
      </c>
      <c r="F412" s="79">
        <f t="shared" si="16"/>
        <v>0</v>
      </c>
    </row>
    <row r="413" spans="1:6" x14ac:dyDescent="0.25">
      <c r="A413" s="79">
        <v>10410</v>
      </c>
      <c r="B413" s="79">
        <f t="shared" si="17"/>
        <v>6</v>
      </c>
      <c r="C413" s="79">
        <v>1</v>
      </c>
      <c r="D413" s="79">
        <f t="shared" si="18"/>
        <v>2</v>
      </c>
      <c r="E413" s="19">
        <v>11210</v>
      </c>
      <c r="F413" s="79">
        <f t="shared" si="16"/>
        <v>0</v>
      </c>
    </row>
    <row r="414" spans="1:6" x14ac:dyDescent="0.25">
      <c r="A414" s="79">
        <v>10411</v>
      </c>
      <c r="B414" s="79">
        <f t="shared" si="17"/>
        <v>6</v>
      </c>
      <c r="C414" s="79">
        <v>1</v>
      </c>
      <c r="D414" s="79">
        <f t="shared" si="18"/>
        <v>2</v>
      </c>
      <c r="E414" s="19">
        <v>11211</v>
      </c>
      <c r="F414" s="79">
        <f t="shared" si="16"/>
        <v>0</v>
      </c>
    </row>
    <row r="415" spans="1:6" x14ac:dyDescent="0.25">
      <c r="A415" s="79">
        <v>10412</v>
      </c>
      <c r="B415" s="79">
        <f t="shared" si="17"/>
        <v>6</v>
      </c>
      <c r="C415" s="79">
        <v>1</v>
      </c>
      <c r="D415" s="79">
        <f t="shared" si="18"/>
        <v>2</v>
      </c>
      <c r="E415" s="19">
        <v>11212</v>
      </c>
      <c r="F415" s="79">
        <f t="shared" si="16"/>
        <v>0</v>
      </c>
    </row>
    <row r="416" spans="1:6" x14ac:dyDescent="0.25">
      <c r="A416" s="79">
        <v>10413</v>
      </c>
      <c r="B416" s="79">
        <f t="shared" si="17"/>
        <v>6</v>
      </c>
      <c r="C416" s="79">
        <v>1</v>
      </c>
      <c r="D416" s="79">
        <f t="shared" si="18"/>
        <v>2</v>
      </c>
      <c r="E416" s="19">
        <v>11213</v>
      </c>
      <c r="F416" s="79">
        <f t="shared" si="16"/>
        <v>0</v>
      </c>
    </row>
    <row r="417" spans="1:6" x14ac:dyDescent="0.25">
      <c r="A417" s="79">
        <v>10414</v>
      </c>
      <c r="B417" s="79">
        <f t="shared" si="17"/>
        <v>6</v>
      </c>
      <c r="C417" s="79">
        <v>1</v>
      </c>
      <c r="D417" s="79">
        <f t="shared" si="18"/>
        <v>2</v>
      </c>
      <c r="E417" s="19">
        <v>11214</v>
      </c>
      <c r="F417" s="79">
        <f t="shared" si="16"/>
        <v>0</v>
      </c>
    </row>
    <row r="418" spans="1:6" x14ac:dyDescent="0.25">
      <c r="A418" s="79">
        <v>10415</v>
      </c>
      <c r="B418" s="79">
        <f t="shared" si="17"/>
        <v>6</v>
      </c>
      <c r="C418" s="79">
        <v>1</v>
      </c>
      <c r="D418" s="79">
        <f t="shared" si="18"/>
        <v>2</v>
      </c>
      <c r="E418" s="19">
        <v>11215</v>
      </c>
      <c r="F418" s="79">
        <f t="shared" si="16"/>
        <v>0</v>
      </c>
    </row>
    <row r="419" spans="1:6" x14ac:dyDescent="0.25">
      <c r="A419" s="79">
        <v>10416</v>
      </c>
      <c r="B419" s="79">
        <f t="shared" si="17"/>
        <v>6</v>
      </c>
      <c r="C419" s="79">
        <v>1</v>
      </c>
      <c r="D419" s="79">
        <f t="shared" si="18"/>
        <v>2</v>
      </c>
      <c r="E419" s="19">
        <v>11216</v>
      </c>
      <c r="F419" s="79">
        <f t="shared" si="16"/>
        <v>10</v>
      </c>
    </row>
    <row r="420" spans="1:6" x14ac:dyDescent="0.25">
      <c r="A420" s="79">
        <v>10417</v>
      </c>
      <c r="B420" s="79">
        <f t="shared" si="17"/>
        <v>6</v>
      </c>
      <c r="C420" s="79">
        <v>1</v>
      </c>
      <c r="D420" s="79">
        <f t="shared" si="18"/>
        <v>2</v>
      </c>
      <c r="E420" s="19">
        <v>11217</v>
      </c>
      <c r="F420" s="79">
        <f t="shared" si="16"/>
        <v>10</v>
      </c>
    </row>
    <row r="421" spans="1:6" x14ac:dyDescent="0.25">
      <c r="A421" s="79">
        <v>10418</v>
      </c>
      <c r="B421" s="79">
        <f t="shared" si="17"/>
        <v>6</v>
      </c>
      <c r="C421" s="79">
        <v>1</v>
      </c>
      <c r="D421" s="79">
        <f t="shared" si="18"/>
        <v>2</v>
      </c>
      <c r="E421" s="19">
        <v>11218</v>
      </c>
      <c r="F421" s="79">
        <f t="shared" si="16"/>
        <v>10</v>
      </c>
    </row>
    <row r="422" spans="1:6" x14ac:dyDescent="0.25">
      <c r="A422" s="79">
        <v>10419</v>
      </c>
      <c r="B422" s="79">
        <f t="shared" si="17"/>
        <v>6</v>
      </c>
      <c r="C422" s="79">
        <v>1</v>
      </c>
      <c r="D422" s="79">
        <f t="shared" si="18"/>
        <v>2</v>
      </c>
      <c r="E422" s="19">
        <v>11219</v>
      </c>
      <c r="F422" s="79">
        <f t="shared" si="16"/>
        <v>10</v>
      </c>
    </row>
    <row r="423" spans="1:6" x14ac:dyDescent="0.25">
      <c r="A423" s="79">
        <v>10420</v>
      </c>
      <c r="B423" s="79">
        <f t="shared" si="17"/>
        <v>6</v>
      </c>
      <c r="C423" s="79">
        <v>1</v>
      </c>
      <c r="D423" s="79">
        <f t="shared" si="18"/>
        <v>2</v>
      </c>
      <c r="E423" s="19">
        <v>11220</v>
      </c>
      <c r="F423" s="79">
        <f t="shared" si="16"/>
        <v>10</v>
      </c>
    </row>
    <row r="424" spans="1:6" x14ac:dyDescent="0.25">
      <c r="A424" s="79">
        <v>10421</v>
      </c>
      <c r="B424" s="79">
        <f t="shared" si="17"/>
        <v>6</v>
      </c>
      <c r="C424" s="79">
        <v>1</v>
      </c>
      <c r="D424" s="79">
        <f t="shared" si="18"/>
        <v>2</v>
      </c>
      <c r="E424" s="19">
        <v>11221</v>
      </c>
      <c r="F424" s="79">
        <f t="shared" si="16"/>
        <v>10</v>
      </c>
    </row>
    <row r="425" spans="1:6" x14ac:dyDescent="0.25">
      <c r="A425" s="79">
        <v>10422</v>
      </c>
      <c r="B425" s="79">
        <f t="shared" si="17"/>
        <v>6</v>
      </c>
      <c r="C425" s="79">
        <v>1</v>
      </c>
      <c r="D425" s="79">
        <f t="shared" si="18"/>
        <v>2</v>
      </c>
      <c r="E425" s="19">
        <v>11222</v>
      </c>
      <c r="F425" s="79">
        <f t="shared" si="16"/>
        <v>10</v>
      </c>
    </row>
    <row r="426" spans="1:6" x14ac:dyDescent="0.25">
      <c r="A426" s="79">
        <v>10423</v>
      </c>
      <c r="B426" s="79">
        <f t="shared" si="17"/>
        <v>6</v>
      </c>
      <c r="C426" s="79">
        <v>1</v>
      </c>
      <c r="D426" s="79">
        <f t="shared" si="18"/>
        <v>2</v>
      </c>
      <c r="E426" s="19">
        <v>11223</v>
      </c>
      <c r="F426" s="79">
        <f t="shared" si="16"/>
        <v>10</v>
      </c>
    </row>
    <row r="427" spans="1:6" x14ac:dyDescent="0.25">
      <c r="A427" s="79">
        <v>10424</v>
      </c>
      <c r="B427" s="79">
        <f t="shared" si="17"/>
        <v>6</v>
      </c>
      <c r="C427" s="79">
        <v>1</v>
      </c>
      <c r="D427" s="79">
        <f t="shared" si="18"/>
        <v>2</v>
      </c>
      <c r="E427" s="19">
        <v>11224</v>
      </c>
      <c r="F427" s="79">
        <f t="shared" si="16"/>
        <v>10</v>
      </c>
    </row>
    <row r="428" spans="1:6" x14ac:dyDescent="0.25">
      <c r="A428" s="79">
        <v>10425</v>
      </c>
      <c r="B428" s="79">
        <f t="shared" si="17"/>
        <v>6</v>
      </c>
      <c r="C428" s="79">
        <v>1</v>
      </c>
      <c r="D428" s="79">
        <f t="shared" si="18"/>
        <v>2</v>
      </c>
      <c r="E428" s="19">
        <v>11225</v>
      </c>
      <c r="F428" s="79">
        <f t="shared" si="16"/>
        <v>10</v>
      </c>
    </row>
    <row r="429" spans="1:6" x14ac:dyDescent="0.25">
      <c r="A429" s="79">
        <v>10426</v>
      </c>
      <c r="B429" s="79">
        <f t="shared" si="17"/>
        <v>6</v>
      </c>
      <c r="C429" s="79">
        <v>1</v>
      </c>
      <c r="D429" s="79">
        <f t="shared" si="18"/>
        <v>3</v>
      </c>
      <c r="E429" s="19">
        <v>11301</v>
      </c>
      <c r="F429" s="79">
        <f t="shared" si="16"/>
        <v>0</v>
      </c>
    </row>
    <row r="430" spans="1:6" x14ac:dyDescent="0.25">
      <c r="A430" s="79">
        <v>10427</v>
      </c>
      <c r="B430" s="79">
        <f t="shared" si="17"/>
        <v>6</v>
      </c>
      <c r="C430" s="79">
        <v>1</v>
      </c>
      <c r="D430" s="79">
        <f t="shared" si="18"/>
        <v>3</v>
      </c>
      <c r="E430" s="19">
        <v>11302</v>
      </c>
      <c r="F430" s="79">
        <f t="shared" si="16"/>
        <v>0</v>
      </c>
    </row>
    <row r="431" spans="1:6" x14ac:dyDescent="0.25">
      <c r="A431" s="79">
        <v>10428</v>
      </c>
      <c r="B431" s="79">
        <f t="shared" si="17"/>
        <v>6</v>
      </c>
      <c r="C431" s="79">
        <v>1</v>
      </c>
      <c r="D431" s="79">
        <f t="shared" si="18"/>
        <v>3</v>
      </c>
      <c r="E431" s="19">
        <v>11303</v>
      </c>
      <c r="F431" s="79">
        <f t="shared" si="16"/>
        <v>0</v>
      </c>
    </row>
    <row r="432" spans="1:6" x14ac:dyDescent="0.25">
      <c r="A432" s="79">
        <v>10429</v>
      </c>
      <c r="B432" s="79">
        <f t="shared" si="17"/>
        <v>6</v>
      </c>
      <c r="C432" s="79">
        <v>1</v>
      </c>
      <c r="D432" s="79">
        <f t="shared" si="18"/>
        <v>3</v>
      </c>
      <c r="E432" s="19">
        <v>11304</v>
      </c>
      <c r="F432" s="79">
        <f t="shared" si="16"/>
        <v>0</v>
      </c>
    </row>
    <row r="433" spans="1:6" x14ac:dyDescent="0.25">
      <c r="A433" s="79">
        <v>10430</v>
      </c>
      <c r="B433" s="79">
        <f t="shared" si="17"/>
        <v>6</v>
      </c>
      <c r="C433" s="79">
        <v>1</v>
      </c>
      <c r="D433" s="79">
        <f t="shared" si="18"/>
        <v>3</v>
      </c>
      <c r="E433" s="19">
        <v>11305</v>
      </c>
      <c r="F433" s="79">
        <f t="shared" si="16"/>
        <v>0</v>
      </c>
    </row>
    <row r="434" spans="1:6" x14ac:dyDescent="0.25">
      <c r="A434" s="79">
        <v>10431</v>
      </c>
      <c r="B434" s="79">
        <f t="shared" si="17"/>
        <v>6</v>
      </c>
      <c r="C434" s="79">
        <v>1</v>
      </c>
      <c r="D434" s="79">
        <f t="shared" si="18"/>
        <v>3</v>
      </c>
      <c r="E434" s="19">
        <v>11306</v>
      </c>
      <c r="F434" s="79">
        <f t="shared" si="16"/>
        <v>0</v>
      </c>
    </row>
    <row r="435" spans="1:6" x14ac:dyDescent="0.25">
      <c r="A435" s="79">
        <v>10432</v>
      </c>
      <c r="B435" s="79">
        <f t="shared" si="17"/>
        <v>6</v>
      </c>
      <c r="C435" s="79">
        <v>1</v>
      </c>
      <c r="D435" s="79">
        <f t="shared" si="18"/>
        <v>3</v>
      </c>
      <c r="E435" s="19">
        <v>11307</v>
      </c>
      <c r="F435" s="79">
        <f t="shared" si="16"/>
        <v>0</v>
      </c>
    </row>
    <row r="436" spans="1:6" x14ac:dyDescent="0.25">
      <c r="A436" s="79">
        <v>10433</v>
      </c>
      <c r="B436" s="79">
        <f t="shared" si="17"/>
        <v>6</v>
      </c>
      <c r="C436" s="79">
        <v>1</v>
      </c>
      <c r="D436" s="79">
        <f t="shared" si="18"/>
        <v>3</v>
      </c>
      <c r="E436" s="19">
        <v>11308</v>
      </c>
      <c r="F436" s="79">
        <f t="shared" si="16"/>
        <v>0</v>
      </c>
    </row>
    <row r="437" spans="1:6" x14ac:dyDescent="0.25">
      <c r="A437" s="79">
        <v>10434</v>
      </c>
      <c r="B437" s="79">
        <f t="shared" si="17"/>
        <v>6</v>
      </c>
      <c r="C437" s="79">
        <v>1</v>
      </c>
      <c r="D437" s="79">
        <f t="shared" si="18"/>
        <v>3</v>
      </c>
      <c r="E437" s="19">
        <v>11309</v>
      </c>
      <c r="F437" s="79">
        <f t="shared" si="16"/>
        <v>0</v>
      </c>
    </row>
    <row r="438" spans="1:6" x14ac:dyDescent="0.25">
      <c r="A438" s="79">
        <v>10435</v>
      </c>
      <c r="B438" s="79">
        <f t="shared" si="17"/>
        <v>6</v>
      </c>
      <c r="C438" s="79">
        <v>1</v>
      </c>
      <c r="D438" s="79">
        <f t="shared" si="18"/>
        <v>3</v>
      </c>
      <c r="E438" s="19">
        <v>11310</v>
      </c>
      <c r="F438" s="79">
        <f t="shared" si="16"/>
        <v>0</v>
      </c>
    </row>
    <row r="439" spans="1:6" x14ac:dyDescent="0.25">
      <c r="A439" s="79">
        <v>10436</v>
      </c>
      <c r="B439" s="79">
        <f t="shared" si="17"/>
        <v>6</v>
      </c>
      <c r="C439" s="79">
        <v>1</v>
      </c>
      <c r="D439" s="79">
        <f t="shared" si="18"/>
        <v>3</v>
      </c>
      <c r="E439" s="19">
        <v>11311</v>
      </c>
      <c r="F439" s="79">
        <f t="shared" si="16"/>
        <v>0</v>
      </c>
    </row>
    <row r="440" spans="1:6" x14ac:dyDescent="0.25">
      <c r="A440" s="79">
        <v>10437</v>
      </c>
      <c r="B440" s="79">
        <f t="shared" si="17"/>
        <v>6</v>
      </c>
      <c r="C440" s="79">
        <v>1</v>
      </c>
      <c r="D440" s="79">
        <f t="shared" si="18"/>
        <v>3</v>
      </c>
      <c r="E440" s="19">
        <v>11312</v>
      </c>
      <c r="F440" s="79">
        <f t="shared" si="16"/>
        <v>0</v>
      </c>
    </row>
    <row r="441" spans="1:6" x14ac:dyDescent="0.25">
      <c r="A441" s="79">
        <v>10438</v>
      </c>
      <c r="B441" s="79">
        <f t="shared" si="17"/>
        <v>6</v>
      </c>
      <c r="C441" s="79">
        <v>1</v>
      </c>
      <c r="D441" s="79">
        <f t="shared" si="18"/>
        <v>3</v>
      </c>
      <c r="E441" s="19">
        <v>11313</v>
      </c>
      <c r="F441" s="79">
        <f t="shared" si="16"/>
        <v>0</v>
      </c>
    </row>
    <row r="442" spans="1:6" x14ac:dyDescent="0.25">
      <c r="A442" s="79">
        <v>10439</v>
      </c>
      <c r="B442" s="79">
        <f t="shared" si="17"/>
        <v>6</v>
      </c>
      <c r="C442" s="79">
        <v>1</v>
      </c>
      <c r="D442" s="79">
        <f t="shared" si="18"/>
        <v>3</v>
      </c>
      <c r="E442" s="19">
        <v>11314</v>
      </c>
      <c r="F442" s="79">
        <f t="shared" si="16"/>
        <v>0</v>
      </c>
    </row>
    <row r="443" spans="1:6" x14ac:dyDescent="0.25">
      <c r="A443" s="79">
        <v>10440</v>
      </c>
      <c r="B443" s="79">
        <f t="shared" si="17"/>
        <v>6</v>
      </c>
      <c r="C443" s="79">
        <v>1</v>
      </c>
      <c r="D443" s="79">
        <f t="shared" si="18"/>
        <v>3</v>
      </c>
      <c r="E443" s="19">
        <v>11315</v>
      </c>
      <c r="F443" s="79">
        <f t="shared" si="16"/>
        <v>0</v>
      </c>
    </row>
    <row r="444" spans="1:6" x14ac:dyDescent="0.25">
      <c r="A444" s="79">
        <v>10441</v>
      </c>
      <c r="B444" s="79">
        <f t="shared" si="17"/>
        <v>6</v>
      </c>
      <c r="C444" s="79">
        <v>1</v>
      </c>
      <c r="D444" s="79">
        <f t="shared" si="18"/>
        <v>3</v>
      </c>
      <c r="E444" s="19">
        <v>11316</v>
      </c>
      <c r="F444" s="79">
        <f t="shared" si="16"/>
        <v>10</v>
      </c>
    </row>
    <row r="445" spans="1:6" x14ac:dyDescent="0.25">
      <c r="A445" s="79">
        <v>10442</v>
      </c>
      <c r="B445" s="79">
        <f t="shared" si="17"/>
        <v>6</v>
      </c>
      <c r="C445" s="79">
        <v>1</v>
      </c>
      <c r="D445" s="79">
        <f t="shared" si="18"/>
        <v>3</v>
      </c>
      <c r="E445" s="19">
        <v>11317</v>
      </c>
      <c r="F445" s="79">
        <f t="shared" si="16"/>
        <v>10</v>
      </c>
    </row>
    <row r="446" spans="1:6" x14ac:dyDescent="0.25">
      <c r="A446" s="79">
        <v>10443</v>
      </c>
      <c r="B446" s="79">
        <f t="shared" si="17"/>
        <v>6</v>
      </c>
      <c r="C446" s="79">
        <v>1</v>
      </c>
      <c r="D446" s="79">
        <f t="shared" si="18"/>
        <v>3</v>
      </c>
      <c r="E446" s="19">
        <v>11318</v>
      </c>
      <c r="F446" s="79">
        <f t="shared" si="16"/>
        <v>10</v>
      </c>
    </row>
    <row r="447" spans="1:6" x14ac:dyDescent="0.25">
      <c r="A447" s="79">
        <v>10444</v>
      </c>
      <c r="B447" s="79">
        <f t="shared" si="17"/>
        <v>6</v>
      </c>
      <c r="C447" s="79">
        <v>1</v>
      </c>
      <c r="D447" s="79">
        <f t="shared" si="18"/>
        <v>3</v>
      </c>
      <c r="E447" s="19">
        <v>11319</v>
      </c>
      <c r="F447" s="79">
        <f t="shared" si="16"/>
        <v>10</v>
      </c>
    </row>
    <row r="448" spans="1:6" x14ac:dyDescent="0.25">
      <c r="A448" s="79">
        <v>10445</v>
      </c>
      <c r="B448" s="79">
        <f t="shared" si="17"/>
        <v>6</v>
      </c>
      <c r="C448" s="79">
        <v>1</v>
      </c>
      <c r="D448" s="79">
        <f t="shared" si="18"/>
        <v>3</v>
      </c>
      <c r="E448" s="19">
        <v>11320</v>
      </c>
      <c r="F448" s="79">
        <f t="shared" si="16"/>
        <v>10</v>
      </c>
    </row>
    <row r="449" spans="1:6" x14ac:dyDescent="0.25">
      <c r="A449" s="79">
        <v>10446</v>
      </c>
      <c r="B449" s="79">
        <f t="shared" si="17"/>
        <v>6</v>
      </c>
      <c r="C449" s="79">
        <v>1</v>
      </c>
      <c r="D449" s="79">
        <f t="shared" si="18"/>
        <v>3</v>
      </c>
      <c r="E449" s="19">
        <v>11321</v>
      </c>
      <c r="F449" s="79">
        <f t="shared" si="16"/>
        <v>10</v>
      </c>
    </row>
    <row r="450" spans="1:6" x14ac:dyDescent="0.25">
      <c r="A450" s="79">
        <v>10447</v>
      </c>
      <c r="B450" s="79">
        <f t="shared" si="17"/>
        <v>6</v>
      </c>
      <c r="C450" s="79">
        <v>1</v>
      </c>
      <c r="D450" s="79">
        <f t="shared" si="18"/>
        <v>3</v>
      </c>
      <c r="E450" s="19">
        <v>11322</v>
      </c>
      <c r="F450" s="79">
        <f t="shared" si="16"/>
        <v>10</v>
      </c>
    </row>
    <row r="451" spans="1:6" x14ac:dyDescent="0.25">
      <c r="A451" s="79">
        <v>10448</v>
      </c>
      <c r="B451" s="79">
        <f t="shared" si="17"/>
        <v>6</v>
      </c>
      <c r="C451" s="79">
        <v>1</v>
      </c>
      <c r="D451" s="79">
        <f t="shared" si="18"/>
        <v>3</v>
      </c>
      <c r="E451" s="19">
        <v>11323</v>
      </c>
      <c r="F451" s="79">
        <f t="shared" si="16"/>
        <v>10</v>
      </c>
    </row>
    <row r="452" spans="1:6" x14ac:dyDescent="0.25">
      <c r="A452" s="79">
        <v>10449</v>
      </c>
      <c r="B452" s="79">
        <f t="shared" si="17"/>
        <v>6</v>
      </c>
      <c r="C452" s="79">
        <v>1</v>
      </c>
      <c r="D452" s="79">
        <f t="shared" si="18"/>
        <v>3</v>
      </c>
      <c r="E452" s="19">
        <v>11324</v>
      </c>
      <c r="F452" s="79">
        <f t="shared" si="16"/>
        <v>10</v>
      </c>
    </row>
    <row r="453" spans="1:6" x14ac:dyDescent="0.25">
      <c r="A453" s="79">
        <v>10450</v>
      </c>
      <c r="B453" s="79">
        <f t="shared" si="17"/>
        <v>6</v>
      </c>
      <c r="C453" s="79">
        <v>1</v>
      </c>
      <c r="D453" s="79">
        <f t="shared" si="18"/>
        <v>3</v>
      </c>
      <c r="E453" s="19">
        <v>11325</v>
      </c>
      <c r="F453" s="79">
        <f t="shared" ref="F453:F516" si="19">VLOOKUP(RIGHT(E453,2)*1,$J$4:$Q$29,B453+1,0)</f>
        <v>10</v>
      </c>
    </row>
    <row r="454" spans="1:6" x14ac:dyDescent="0.25">
      <c r="A454" s="79">
        <v>10451</v>
      </c>
      <c r="B454" s="79">
        <f t="shared" si="17"/>
        <v>7</v>
      </c>
      <c r="C454" s="79">
        <v>1</v>
      </c>
      <c r="D454" s="79">
        <v>1</v>
      </c>
      <c r="E454" s="19">
        <v>11101</v>
      </c>
      <c r="F454" s="79">
        <f t="shared" si="19"/>
        <v>0</v>
      </c>
    </row>
    <row r="455" spans="1:6" x14ac:dyDescent="0.25">
      <c r="A455" s="79">
        <v>10452</v>
      </c>
      <c r="B455" s="79">
        <f t="shared" si="17"/>
        <v>7</v>
      </c>
      <c r="C455" s="79">
        <v>1</v>
      </c>
      <c r="D455" s="79">
        <v>1</v>
      </c>
      <c r="E455" s="19">
        <v>11102</v>
      </c>
      <c r="F455" s="79">
        <f t="shared" si="19"/>
        <v>0</v>
      </c>
    </row>
    <row r="456" spans="1:6" x14ac:dyDescent="0.25">
      <c r="A456" s="79">
        <v>10453</v>
      </c>
      <c r="B456" s="79">
        <f t="shared" si="17"/>
        <v>7</v>
      </c>
      <c r="C456" s="79">
        <v>1</v>
      </c>
      <c r="D456" s="79">
        <v>1</v>
      </c>
      <c r="E456" s="19">
        <v>11103</v>
      </c>
      <c r="F456" s="79">
        <f t="shared" si="19"/>
        <v>0</v>
      </c>
    </row>
    <row r="457" spans="1:6" x14ac:dyDescent="0.25">
      <c r="A457" s="79">
        <v>10454</v>
      </c>
      <c r="B457" s="79">
        <f t="shared" si="17"/>
        <v>7</v>
      </c>
      <c r="C457" s="79">
        <v>1</v>
      </c>
      <c r="D457" s="79">
        <v>1</v>
      </c>
      <c r="E457" s="19">
        <v>11104</v>
      </c>
      <c r="F457" s="79">
        <f t="shared" si="19"/>
        <v>0</v>
      </c>
    </row>
    <row r="458" spans="1:6" x14ac:dyDescent="0.25">
      <c r="A458" s="79">
        <v>10455</v>
      </c>
      <c r="B458" s="79">
        <f t="shared" si="17"/>
        <v>7</v>
      </c>
      <c r="C458" s="79">
        <v>1</v>
      </c>
      <c r="D458" s="79">
        <v>1</v>
      </c>
      <c r="E458" s="19">
        <v>11105</v>
      </c>
      <c r="F458" s="79">
        <f t="shared" si="19"/>
        <v>0</v>
      </c>
    </row>
    <row r="459" spans="1:6" x14ac:dyDescent="0.25">
      <c r="A459" s="79">
        <v>10456</v>
      </c>
      <c r="B459" s="79">
        <f t="shared" si="17"/>
        <v>7</v>
      </c>
      <c r="C459" s="79">
        <v>1</v>
      </c>
      <c r="D459" s="79">
        <v>1</v>
      </c>
      <c r="E459" s="19">
        <v>11106</v>
      </c>
      <c r="F459" s="79">
        <f t="shared" si="19"/>
        <v>0</v>
      </c>
    </row>
    <row r="460" spans="1:6" x14ac:dyDescent="0.25">
      <c r="A460" s="79">
        <v>10457</v>
      </c>
      <c r="B460" s="79">
        <f t="shared" si="17"/>
        <v>7</v>
      </c>
      <c r="C460" s="79">
        <v>1</v>
      </c>
      <c r="D460" s="79">
        <v>1</v>
      </c>
      <c r="E460" s="19">
        <v>11107</v>
      </c>
      <c r="F460" s="79">
        <f t="shared" si="19"/>
        <v>0</v>
      </c>
    </row>
    <row r="461" spans="1:6" x14ac:dyDescent="0.25">
      <c r="A461" s="79">
        <v>10458</v>
      </c>
      <c r="B461" s="79">
        <f t="shared" si="17"/>
        <v>7</v>
      </c>
      <c r="C461" s="79">
        <v>1</v>
      </c>
      <c r="D461" s="79">
        <v>1</v>
      </c>
      <c r="E461" s="19">
        <v>11108</v>
      </c>
      <c r="F461" s="79">
        <f t="shared" si="19"/>
        <v>0</v>
      </c>
    </row>
    <row r="462" spans="1:6" x14ac:dyDescent="0.25">
      <c r="A462" s="79">
        <v>10459</v>
      </c>
      <c r="B462" s="79">
        <f t="shared" si="17"/>
        <v>7</v>
      </c>
      <c r="C462" s="79">
        <v>1</v>
      </c>
      <c r="D462" s="79">
        <v>1</v>
      </c>
      <c r="E462" s="19">
        <v>11109</v>
      </c>
      <c r="F462" s="79">
        <f t="shared" si="19"/>
        <v>0</v>
      </c>
    </row>
    <row r="463" spans="1:6" x14ac:dyDescent="0.25">
      <c r="A463" s="79">
        <v>10460</v>
      </c>
      <c r="B463" s="79">
        <f t="shared" si="17"/>
        <v>7</v>
      </c>
      <c r="C463" s="79">
        <v>1</v>
      </c>
      <c r="D463" s="79">
        <v>1</v>
      </c>
      <c r="E463" s="19">
        <v>11110</v>
      </c>
      <c r="F463" s="79">
        <f t="shared" si="19"/>
        <v>0</v>
      </c>
    </row>
    <row r="464" spans="1:6" x14ac:dyDescent="0.25">
      <c r="A464" s="79">
        <v>10461</v>
      </c>
      <c r="B464" s="79">
        <f t="shared" ref="B464:B527" si="20">B389+1</f>
        <v>7</v>
      </c>
      <c r="C464" s="79">
        <v>1</v>
      </c>
      <c r="D464" s="79">
        <v>1</v>
      </c>
      <c r="E464" s="19">
        <v>11111</v>
      </c>
      <c r="F464" s="79">
        <f t="shared" si="19"/>
        <v>0</v>
      </c>
    </row>
    <row r="465" spans="1:6" x14ac:dyDescent="0.25">
      <c r="A465" s="79">
        <v>10462</v>
      </c>
      <c r="B465" s="79">
        <f t="shared" si="20"/>
        <v>7</v>
      </c>
      <c r="C465" s="79">
        <v>1</v>
      </c>
      <c r="D465" s="79">
        <v>1</v>
      </c>
      <c r="E465" s="19">
        <v>11112</v>
      </c>
      <c r="F465" s="79">
        <f t="shared" si="19"/>
        <v>0</v>
      </c>
    </row>
    <row r="466" spans="1:6" x14ac:dyDescent="0.25">
      <c r="A466" s="79">
        <v>10463</v>
      </c>
      <c r="B466" s="79">
        <f t="shared" si="20"/>
        <v>7</v>
      </c>
      <c r="C466" s="79">
        <v>1</v>
      </c>
      <c r="D466" s="79">
        <v>1</v>
      </c>
      <c r="E466" s="19">
        <v>11113</v>
      </c>
      <c r="F466" s="79">
        <f t="shared" si="19"/>
        <v>0</v>
      </c>
    </row>
    <row r="467" spans="1:6" x14ac:dyDescent="0.25">
      <c r="A467" s="79">
        <v>10464</v>
      </c>
      <c r="B467" s="79">
        <f t="shared" si="20"/>
        <v>7</v>
      </c>
      <c r="C467" s="79">
        <v>1</v>
      </c>
      <c r="D467" s="79">
        <v>1</v>
      </c>
      <c r="E467" s="19">
        <v>11114</v>
      </c>
      <c r="F467" s="79">
        <f t="shared" si="19"/>
        <v>0</v>
      </c>
    </row>
    <row r="468" spans="1:6" x14ac:dyDescent="0.25">
      <c r="A468" s="79">
        <v>10465</v>
      </c>
      <c r="B468" s="79">
        <f t="shared" si="20"/>
        <v>7</v>
      </c>
      <c r="C468" s="79">
        <v>1</v>
      </c>
      <c r="D468" s="79">
        <v>1</v>
      </c>
      <c r="E468" s="19">
        <v>11115</v>
      </c>
      <c r="F468" s="79">
        <f t="shared" si="19"/>
        <v>0</v>
      </c>
    </row>
    <row r="469" spans="1:6" x14ac:dyDescent="0.25">
      <c r="A469" s="79">
        <v>10466</v>
      </c>
      <c r="B469" s="79">
        <f t="shared" si="20"/>
        <v>7</v>
      </c>
      <c r="C469" s="79">
        <v>1</v>
      </c>
      <c r="D469" s="79">
        <v>1</v>
      </c>
      <c r="E469" s="19">
        <v>11116</v>
      </c>
      <c r="F469" s="79">
        <f t="shared" si="19"/>
        <v>10</v>
      </c>
    </row>
    <row r="470" spans="1:6" x14ac:dyDescent="0.25">
      <c r="A470" s="79">
        <v>10467</v>
      </c>
      <c r="B470" s="79">
        <f t="shared" si="20"/>
        <v>7</v>
      </c>
      <c r="C470" s="79">
        <v>1</v>
      </c>
      <c r="D470" s="79">
        <v>1</v>
      </c>
      <c r="E470" s="19">
        <v>11117</v>
      </c>
      <c r="F470" s="79">
        <f t="shared" si="19"/>
        <v>10</v>
      </c>
    </row>
    <row r="471" spans="1:6" x14ac:dyDescent="0.25">
      <c r="A471" s="79">
        <v>10468</v>
      </c>
      <c r="B471" s="79">
        <f t="shared" si="20"/>
        <v>7</v>
      </c>
      <c r="C471" s="79">
        <v>1</v>
      </c>
      <c r="D471" s="79">
        <v>1</v>
      </c>
      <c r="E471" s="19">
        <v>11118</v>
      </c>
      <c r="F471" s="79">
        <f t="shared" si="19"/>
        <v>10</v>
      </c>
    </row>
    <row r="472" spans="1:6" x14ac:dyDescent="0.25">
      <c r="A472" s="79">
        <v>10469</v>
      </c>
      <c r="B472" s="79">
        <f t="shared" si="20"/>
        <v>7</v>
      </c>
      <c r="C472" s="79">
        <v>1</v>
      </c>
      <c r="D472" s="79">
        <v>1</v>
      </c>
      <c r="E472" s="19">
        <v>11119</v>
      </c>
      <c r="F472" s="79">
        <f t="shared" si="19"/>
        <v>10</v>
      </c>
    </row>
    <row r="473" spans="1:6" x14ac:dyDescent="0.25">
      <c r="A473" s="79">
        <v>10470</v>
      </c>
      <c r="B473" s="79">
        <f t="shared" si="20"/>
        <v>7</v>
      </c>
      <c r="C473" s="79">
        <v>1</v>
      </c>
      <c r="D473" s="79">
        <v>1</v>
      </c>
      <c r="E473" s="19">
        <v>11120</v>
      </c>
      <c r="F473" s="79">
        <f t="shared" si="19"/>
        <v>10</v>
      </c>
    </row>
    <row r="474" spans="1:6" x14ac:dyDescent="0.25">
      <c r="A474" s="79">
        <v>10471</v>
      </c>
      <c r="B474" s="79">
        <f t="shared" si="20"/>
        <v>7</v>
      </c>
      <c r="C474" s="79">
        <v>1</v>
      </c>
      <c r="D474" s="79">
        <v>1</v>
      </c>
      <c r="E474" s="19">
        <v>11121</v>
      </c>
      <c r="F474" s="79">
        <f t="shared" si="19"/>
        <v>10</v>
      </c>
    </row>
    <row r="475" spans="1:6" x14ac:dyDescent="0.25">
      <c r="A475" s="79">
        <v>10472</v>
      </c>
      <c r="B475" s="79">
        <f t="shared" si="20"/>
        <v>7</v>
      </c>
      <c r="C475" s="79">
        <v>1</v>
      </c>
      <c r="D475" s="79">
        <v>1</v>
      </c>
      <c r="E475" s="19">
        <v>11122</v>
      </c>
      <c r="F475" s="79">
        <f t="shared" si="19"/>
        <v>10</v>
      </c>
    </row>
    <row r="476" spans="1:6" x14ac:dyDescent="0.25">
      <c r="A476" s="79">
        <v>10473</v>
      </c>
      <c r="B476" s="79">
        <f t="shared" si="20"/>
        <v>7</v>
      </c>
      <c r="C476" s="79">
        <v>1</v>
      </c>
      <c r="D476" s="79">
        <v>1</v>
      </c>
      <c r="E476" s="19">
        <v>11123</v>
      </c>
      <c r="F476" s="79">
        <f t="shared" si="19"/>
        <v>10</v>
      </c>
    </row>
    <row r="477" spans="1:6" x14ac:dyDescent="0.25">
      <c r="A477" s="79">
        <v>10474</v>
      </c>
      <c r="B477" s="79">
        <f t="shared" si="20"/>
        <v>7</v>
      </c>
      <c r="C477" s="79">
        <v>1</v>
      </c>
      <c r="D477" s="79">
        <v>1</v>
      </c>
      <c r="E477" s="19">
        <v>11124</v>
      </c>
      <c r="F477" s="79">
        <f t="shared" si="19"/>
        <v>10</v>
      </c>
    </row>
    <row r="478" spans="1:6" x14ac:dyDescent="0.25">
      <c r="A478" s="79">
        <v>10475</v>
      </c>
      <c r="B478" s="79">
        <f t="shared" si="20"/>
        <v>7</v>
      </c>
      <c r="C478" s="79">
        <v>1</v>
      </c>
      <c r="D478" s="79">
        <v>1</v>
      </c>
      <c r="E478" s="19">
        <v>11125</v>
      </c>
      <c r="F478" s="79">
        <f t="shared" si="19"/>
        <v>10</v>
      </c>
    </row>
    <row r="479" spans="1:6" x14ac:dyDescent="0.25">
      <c r="A479" s="79">
        <v>10476</v>
      </c>
      <c r="B479" s="79">
        <f t="shared" si="20"/>
        <v>7</v>
      </c>
      <c r="C479" s="79">
        <v>1</v>
      </c>
      <c r="D479" s="79">
        <f>D454+1</f>
        <v>2</v>
      </c>
      <c r="E479" s="19">
        <v>11201</v>
      </c>
      <c r="F479" s="79">
        <f t="shared" si="19"/>
        <v>0</v>
      </c>
    </row>
    <row r="480" spans="1:6" x14ac:dyDescent="0.25">
      <c r="A480" s="79">
        <v>10477</v>
      </c>
      <c r="B480" s="79">
        <f t="shared" si="20"/>
        <v>7</v>
      </c>
      <c r="C480" s="79">
        <v>1</v>
      </c>
      <c r="D480" s="79">
        <f t="shared" ref="D480:D528" si="21">D455+1</f>
        <v>2</v>
      </c>
      <c r="E480" s="19">
        <v>11202</v>
      </c>
      <c r="F480" s="79">
        <f t="shared" si="19"/>
        <v>0</v>
      </c>
    </row>
    <row r="481" spans="1:6" x14ac:dyDescent="0.25">
      <c r="A481" s="79">
        <v>10478</v>
      </c>
      <c r="B481" s="79">
        <f t="shared" si="20"/>
        <v>7</v>
      </c>
      <c r="C481" s="79">
        <v>1</v>
      </c>
      <c r="D481" s="79">
        <f t="shared" si="21"/>
        <v>2</v>
      </c>
      <c r="E481" s="19">
        <v>11203</v>
      </c>
      <c r="F481" s="79">
        <f t="shared" si="19"/>
        <v>0</v>
      </c>
    </row>
    <row r="482" spans="1:6" x14ac:dyDescent="0.25">
      <c r="A482" s="79">
        <v>10479</v>
      </c>
      <c r="B482" s="79">
        <f t="shared" si="20"/>
        <v>7</v>
      </c>
      <c r="C482" s="79">
        <v>1</v>
      </c>
      <c r="D482" s="79">
        <f t="shared" si="21"/>
        <v>2</v>
      </c>
      <c r="E482" s="19">
        <v>11204</v>
      </c>
      <c r="F482" s="79">
        <f t="shared" si="19"/>
        <v>0</v>
      </c>
    </row>
    <row r="483" spans="1:6" x14ac:dyDescent="0.25">
      <c r="A483" s="79">
        <v>10480</v>
      </c>
      <c r="B483" s="79">
        <f t="shared" si="20"/>
        <v>7</v>
      </c>
      <c r="C483" s="79">
        <v>1</v>
      </c>
      <c r="D483" s="79">
        <f t="shared" si="21"/>
        <v>2</v>
      </c>
      <c r="E483" s="19">
        <v>11205</v>
      </c>
      <c r="F483" s="79">
        <f t="shared" si="19"/>
        <v>0</v>
      </c>
    </row>
    <row r="484" spans="1:6" x14ac:dyDescent="0.25">
      <c r="A484" s="79">
        <v>10481</v>
      </c>
      <c r="B484" s="79">
        <f t="shared" si="20"/>
        <v>7</v>
      </c>
      <c r="C484" s="79">
        <v>1</v>
      </c>
      <c r="D484" s="79">
        <f t="shared" si="21"/>
        <v>2</v>
      </c>
      <c r="E484" s="19">
        <v>11206</v>
      </c>
      <c r="F484" s="79">
        <f t="shared" si="19"/>
        <v>0</v>
      </c>
    </row>
    <row r="485" spans="1:6" x14ac:dyDescent="0.25">
      <c r="A485" s="79">
        <v>10482</v>
      </c>
      <c r="B485" s="79">
        <f t="shared" si="20"/>
        <v>7</v>
      </c>
      <c r="C485" s="79">
        <v>1</v>
      </c>
      <c r="D485" s="79">
        <f t="shared" si="21"/>
        <v>2</v>
      </c>
      <c r="E485" s="19">
        <v>11207</v>
      </c>
      <c r="F485" s="79">
        <f t="shared" si="19"/>
        <v>0</v>
      </c>
    </row>
    <row r="486" spans="1:6" x14ac:dyDescent="0.25">
      <c r="A486" s="79">
        <v>10483</v>
      </c>
      <c r="B486" s="79">
        <f t="shared" si="20"/>
        <v>7</v>
      </c>
      <c r="C486" s="79">
        <v>1</v>
      </c>
      <c r="D486" s="79">
        <f t="shared" si="21"/>
        <v>2</v>
      </c>
      <c r="E486" s="19">
        <v>11208</v>
      </c>
      <c r="F486" s="79">
        <f t="shared" si="19"/>
        <v>0</v>
      </c>
    </row>
    <row r="487" spans="1:6" x14ac:dyDescent="0.25">
      <c r="A487" s="79">
        <v>10484</v>
      </c>
      <c r="B487" s="79">
        <f t="shared" si="20"/>
        <v>7</v>
      </c>
      <c r="C487" s="79">
        <v>1</v>
      </c>
      <c r="D487" s="79">
        <f t="shared" si="21"/>
        <v>2</v>
      </c>
      <c r="E487" s="19">
        <v>11209</v>
      </c>
      <c r="F487" s="79">
        <f t="shared" si="19"/>
        <v>0</v>
      </c>
    </row>
    <row r="488" spans="1:6" x14ac:dyDescent="0.25">
      <c r="A488" s="79">
        <v>10485</v>
      </c>
      <c r="B488" s="79">
        <f t="shared" si="20"/>
        <v>7</v>
      </c>
      <c r="C488" s="79">
        <v>1</v>
      </c>
      <c r="D488" s="79">
        <f t="shared" si="21"/>
        <v>2</v>
      </c>
      <c r="E488" s="19">
        <v>11210</v>
      </c>
      <c r="F488" s="79">
        <f t="shared" si="19"/>
        <v>0</v>
      </c>
    </row>
    <row r="489" spans="1:6" x14ac:dyDescent="0.25">
      <c r="A489" s="79">
        <v>10486</v>
      </c>
      <c r="B489" s="79">
        <f t="shared" si="20"/>
        <v>7</v>
      </c>
      <c r="C489" s="79">
        <v>1</v>
      </c>
      <c r="D489" s="79">
        <f t="shared" si="21"/>
        <v>2</v>
      </c>
      <c r="E489" s="19">
        <v>11211</v>
      </c>
      <c r="F489" s="79">
        <f t="shared" si="19"/>
        <v>0</v>
      </c>
    </row>
    <row r="490" spans="1:6" x14ac:dyDescent="0.25">
      <c r="A490" s="79">
        <v>10487</v>
      </c>
      <c r="B490" s="79">
        <f t="shared" si="20"/>
        <v>7</v>
      </c>
      <c r="C490" s="79">
        <v>1</v>
      </c>
      <c r="D490" s="79">
        <f t="shared" si="21"/>
        <v>2</v>
      </c>
      <c r="E490" s="19">
        <v>11212</v>
      </c>
      <c r="F490" s="79">
        <f t="shared" si="19"/>
        <v>0</v>
      </c>
    </row>
    <row r="491" spans="1:6" x14ac:dyDescent="0.25">
      <c r="A491" s="79">
        <v>10488</v>
      </c>
      <c r="B491" s="79">
        <f t="shared" si="20"/>
        <v>7</v>
      </c>
      <c r="C491" s="79">
        <v>1</v>
      </c>
      <c r="D491" s="79">
        <f t="shared" si="21"/>
        <v>2</v>
      </c>
      <c r="E491" s="19">
        <v>11213</v>
      </c>
      <c r="F491" s="79">
        <f t="shared" si="19"/>
        <v>0</v>
      </c>
    </row>
    <row r="492" spans="1:6" x14ac:dyDescent="0.25">
      <c r="A492" s="79">
        <v>10489</v>
      </c>
      <c r="B492" s="79">
        <f t="shared" si="20"/>
        <v>7</v>
      </c>
      <c r="C492" s="79">
        <v>1</v>
      </c>
      <c r="D492" s="79">
        <f t="shared" si="21"/>
        <v>2</v>
      </c>
      <c r="E492" s="19">
        <v>11214</v>
      </c>
      <c r="F492" s="79">
        <f t="shared" si="19"/>
        <v>0</v>
      </c>
    </row>
    <row r="493" spans="1:6" x14ac:dyDescent="0.25">
      <c r="A493" s="79">
        <v>10490</v>
      </c>
      <c r="B493" s="79">
        <f t="shared" si="20"/>
        <v>7</v>
      </c>
      <c r="C493" s="79">
        <v>1</v>
      </c>
      <c r="D493" s="79">
        <f t="shared" si="21"/>
        <v>2</v>
      </c>
      <c r="E493" s="19">
        <v>11215</v>
      </c>
      <c r="F493" s="79">
        <f t="shared" si="19"/>
        <v>0</v>
      </c>
    </row>
    <row r="494" spans="1:6" x14ac:dyDescent="0.25">
      <c r="A494" s="79">
        <v>10491</v>
      </c>
      <c r="B494" s="79">
        <f t="shared" si="20"/>
        <v>7</v>
      </c>
      <c r="C494" s="79">
        <v>1</v>
      </c>
      <c r="D494" s="79">
        <f t="shared" si="21"/>
        <v>2</v>
      </c>
      <c r="E494" s="19">
        <v>11216</v>
      </c>
      <c r="F494" s="79">
        <f t="shared" si="19"/>
        <v>10</v>
      </c>
    </row>
    <row r="495" spans="1:6" x14ac:dyDescent="0.25">
      <c r="A495" s="79">
        <v>10492</v>
      </c>
      <c r="B495" s="79">
        <f t="shared" si="20"/>
        <v>7</v>
      </c>
      <c r="C495" s="79">
        <v>1</v>
      </c>
      <c r="D495" s="79">
        <f t="shared" si="21"/>
        <v>2</v>
      </c>
      <c r="E495" s="19">
        <v>11217</v>
      </c>
      <c r="F495" s="79">
        <f t="shared" si="19"/>
        <v>10</v>
      </c>
    </row>
    <row r="496" spans="1:6" x14ac:dyDescent="0.25">
      <c r="A496" s="79">
        <v>10493</v>
      </c>
      <c r="B496" s="79">
        <f t="shared" si="20"/>
        <v>7</v>
      </c>
      <c r="C496" s="79">
        <v>1</v>
      </c>
      <c r="D496" s="79">
        <f t="shared" si="21"/>
        <v>2</v>
      </c>
      <c r="E496" s="19">
        <v>11218</v>
      </c>
      <c r="F496" s="79">
        <f t="shared" si="19"/>
        <v>10</v>
      </c>
    </row>
    <row r="497" spans="1:6" x14ac:dyDescent="0.25">
      <c r="A497" s="79">
        <v>10494</v>
      </c>
      <c r="B497" s="79">
        <f t="shared" si="20"/>
        <v>7</v>
      </c>
      <c r="C497" s="79">
        <v>1</v>
      </c>
      <c r="D497" s="79">
        <f t="shared" si="21"/>
        <v>2</v>
      </c>
      <c r="E497" s="19">
        <v>11219</v>
      </c>
      <c r="F497" s="79">
        <f t="shared" si="19"/>
        <v>10</v>
      </c>
    </row>
    <row r="498" spans="1:6" x14ac:dyDescent="0.25">
      <c r="A498" s="79">
        <v>10495</v>
      </c>
      <c r="B498" s="79">
        <f t="shared" si="20"/>
        <v>7</v>
      </c>
      <c r="C498" s="79">
        <v>1</v>
      </c>
      <c r="D498" s="79">
        <f t="shared" si="21"/>
        <v>2</v>
      </c>
      <c r="E498" s="19">
        <v>11220</v>
      </c>
      <c r="F498" s="79">
        <f t="shared" si="19"/>
        <v>10</v>
      </c>
    </row>
    <row r="499" spans="1:6" x14ac:dyDescent="0.25">
      <c r="A499" s="79">
        <v>10496</v>
      </c>
      <c r="B499" s="79">
        <f t="shared" si="20"/>
        <v>7</v>
      </c>
      <c r="C499" s="79">
        <v>1</v>
      </c>
      <c r="D499" s="79">
        <f t="shared" si="21"/>
        <v>2</v>
      </c>
      <c r="E499" s="19">
        <v>11221</v>
      </c>
      <c r="F499" s="79">
        <f t="shared" si="19"/>
        <v>10</v>
      </c>
    </row>
    <row r="500" spans="1:6" x14ac:dyDescent="0.25">
      <c r="A500" s="79">
        <v>10497</v>
      </c>
      <c r="B500" s="79">
        <f t="shared" si="20"/>
        <v>7</v>
      </c>
      <c r="C500" s="79">
        <v>1</v>
      </c>
      <c r="D500" s="79">
        <f t="shared" si="21"/>
        <v>2</v>
      </c>
      <c r="E500" s="19">
        <v>11222</v>
      </c>
      <c r="F500" s="79">
        <f t="shared" si="19"/>
        <v>10</v>
      </c>
    </row>
    <row r="501" spans="1:6" x14ac:dyDescent="0.25">
      <c r="A501" s="79">
        <v>10498</v>
      </c>
      <c r="B501" s="79">
        <f t="shared" si="20"/>
        <v>7</v>
      </c>
      <c r="C501" s="79">
        <v>1</v>
      </c>
      <c r="D501" s="79">
        <f t="shared" si="21"/>
        <v>2</v>
      </c>
      <c r="E501" s="19">
        <v>11223</v>
      </c>
      <c r="F501" s="79">
        <f t="shared" si="19"/>
        <v>10</v>
      </c>
    </row>
    <row r="502" spans="1:6" x14ac:dyDescent="0.25">
      <c r="A502" s="79">
        <v>10499</v>
      </c>
      <c r="B502" s="79">
        <f t="shared" si="20"/>
        <v>7</v>
      </c>
      <c r="C502" s="79">
        <v>1</v>
      </c>
      <c r="D502" s="79">
        <f t="shared" si="21"/>
        <v>2</v>
      </c>
      <c r="E502" s="19">
        <v>11224</v>
      </c>
      <c r="F502" s="79">
        <f t="shared" si="19"/>
        <v>10</v>
      </c>
    </row>
    <row r="503" spans="1:6" x14ac:dyDescent="0.25">
      <c r="A503" s="79">
        <v>10500</v>
      </c>
      <c r="B503" s="79">
        <f t="shared" si="20"/>
        <v>7</v>
      </c>
      <c r="C503" s="79">
        <v>1</v>
      </c>
      <c r="D503" s="79">
        <f t="shared" si="21"/>
        <v>2</v>
      </c>
      <c r="E503" s="19">
        <v>11225</v>
      </c>
      <c r="F503" s="79">
        <f t="shared" si="19"/>
        <v>10</v>
      </c>
    </row>
    <row r="504" spans="1:6" x14ac:dyDescent="0.25">
      <c r="A504" s="79">
        <v>10501</v>
      </c>
      <c r="B504" s="79">
        <f t="shared" si="20"/>
        <v>7</v>
      </c>
      <c r="C504" s="79">
        <v>1</v>
      </c>
      <c r="D504" s="79">
        <f t="shared" si="21"/>
        <v>3</v>
      </c>
      <c r="E504" s="19">
        <v>11301</v>
      </c>
      <c r="F504" s="79">
        <f t="shared" si="19"/>
        <v>0</v>
      </c>
    </row>
    <row r="505" spans="1:6" x14ac:dyDescent="0.25">
      <c r="A505" s="79">
        <v>10502</v>
      </c>
      <c r="B505" s="79">
        <f t="shared" si="20"/>
        <v>7</v>
      </c>
      <c r="C505" s="79">
        <v>1</v>
      </c>
      <c r="D505" s="79">
        <f t="shared" si="21"/>
        <v>3</v>
      </c>
      <c r="E505" s="19">
        <v>11302</v>
      </c>
      <c r="F505" s="79">
        <f t="shared" si="19"/>
        <v>0</v>
      </c>
    </row>
    <row r="506" spans="1:6" x14ac:dyDescent="0.25">
      <c r="A506" s="79">
        <v>10503</v>
      </c>
      <c r="B506" s="79">
        <f t="shared" si="20"/>
        <v>7</v>
      </c>
      <c r="C506" s="79">
        <v>1</v>
      </c>
      <c r="D506" s="79">
        <f t="shared" si="21"/>
        <v>3</v>
      </c>
      <c r="E506" s="19">
        <v>11303</v>
      </c>
      <c r="F506" s="79">
        <f t="shared" si="19"/>
        <v>0</v>
      </c>
    </row>
    <row r="507" spans="1:6" x14ac:dyDescent="0.25">
      <c r="A507" s="79">
        <v>10504</v>
      </c>
      <c r="B507" s="79">
        <f t="shared" si="20"/>
        <v>7</v>
      </c>
      <c r="C507" s="79">
        <v>1</v>
      </c>
      <c r="D507" s="79">
        <f t="shared" si="21"/>
        <v>3</v>
      </c>
      <c r="E507" s="19">
        <v>11304</v>
      </c>
      <c r="F507" s="79">
        <f t="shared" si="19"/>
        <v>0</v>
      </c>
    </row>
    <row r="508" spans="1:6" x14ac:dyDescent="0.25">
      <c r="A508" s="79">
        <v>10505</v>
      </c>
      <c r="B508" s="79">
        <f t="shared" si="20"/>
        <v>7</v>
      </c>
      <c r="C508" s="79">
        <v>1</v>
      </c>
      <c r="D508" s="79">
        <f t="shared" si="21"/>
        <v>3</v>
      </c>
      <c r="E508" s="19">
        <v>11305</v>
      </c>
      <c r="F508" s="79">
        <f t="shared" si="19"/>
        <v>0</v>
      </c>
    </row>
    <row r="509" spans="1:6" x14ac:dyDescent="0.25">
      <c r="A509" s="79">
        <v>10506</v>
      </c>
      <c r="B509" s="79">
        <f t="shared" si="20"/>
        <v>7</v>
      </c>
      <c r="C509" s="79">
        <v>1</v>
      </c>
      <c r="D509" s="79">
        <f t="shared" si="21"/>
        <v>3</v>
      </c>
      <c r="E509" s="19">
        <v>11306</v>
      </c>
      <c r="F509" s="79">
        <f t="shared" si="19"/>
        <v>0</v>
      </c>
    </row>
    <row r="510" spans="1:6" x14ac:dyDescent="0.25">
      <c r="A510" s="79">
        <v>10507</v>
      </c>
      <c r="B510" s="79">
        <f t="shared" si="20"/>
        <v>7</v>
      </c>
      <c r="C510" s="79">
        <v>1</v>
      </c>
      <c r="D510" s="79">
        <f t="shared" si="21"/>
        <v>3</v>
      </c>
      <c r="E510" s="19">
        <v>11307</v>
      </c>
      <c r="F510" s="79">
        <f t="shared" si="19"/>
        <v>0</v>
      </c>
    </row>
    <row r="511" spans="1:6" x14ac:dyDescent="0.25">
      <c r="A511" s="79">
        <v>10508</v>
      </c>
      <c r="B511" s="79">
        <f t="shared" si="20"/>
        <v>7</v>
      </c>
      <c r="C511" s="79">
        <v>1</v>
      </c>
      <c r="D511" s="79">
        <f t="shared" si="21"/>
        <v>3</v>
      </c>
      <c r="E511" s="19">
        <v>11308</v>
      </c>
      <c r="F511" s="79">
        <f t="shared" si="19"/>
        <v>0</v>
      </c>
    </row>
    <row r="512" spans="1:6" x14ac:dyDescent="0.25">
      <c r="A512" s="79">
        <v>10509</v>
      </c>
      <c r="B512" s="79">
        <f t="shared" si="20"/>
        <v>7</v>
      </c>
      <c r="C512" s="79">
        <v>1</v>
      </c>
      <c r="D512" s="79">
        <f t="shared" si="21"/>
        <v>3</v>
      </c>
      <c r="E512" s="19">
        <v>11309</v>
      </c>
      <c r="F512" s="79">
        <f t="shared" si="19"/>
        <v>0</v>
      </c>
    </row>
    <row r="513" spans="1:6" x14ac:dyDescent="0.25">
      <c r="A513" s="79">
        <v>10510</v>
      </c>
      <c r="B513" s="79">
        <f t="shared" si="20"/>
        <v>7</v>
      </c>
      <c r="C513" s="79">
        <v>1</v>
      </c>
      <c r="D513" s="79">
        <f t="shared" si="21"/>
        <v>3</v>
      </c>
      <c r="E513" s="19">
        <v>11310</v>
      </c>
      <c r="F513" s="79">
        <f t="shared" si="19"/>
        <v>0</v>
      </c>
    </row>
    <row r="514" spans="1:6" x14ac:dyDescent="0.25">
      <c r="A514" s="79">
        <v>10511</v>
      </c>
      <c r="B514" s="79">
        <f t="shared" si="20"/>
        <v>7</v>
      </c>
      <c r="C514" s="79">
        <v>1</v>
      </c>
      <c r="D514" s="79">
        <f t="shared" si="21"/>
        <v>3</v>
      </c>
      <c r="E514" s="19">
        <v>11311</v>
      </c>
      <c r="F514" s="79">
        <f t="shared" si="19"/>
        <v>0</v>
      </c>
    </row>
    <row r="515" spans="1:6" x14ac:dyDescent="0.25">
      <c r="A515" s="79">
        <v>10512</v>
      </c>
      <c r="B515" s="79">
        <f t="shared" si="20"/>
        <v>7</v>
      </c>
      <c r="C515" s="79">
        <v>1</v>
      </c>
      <c r="D515" s="79">
        <f t="shared" si="21"/>
        <v>3</v>
      </c>
      <c r="E515" s="19">
        <v>11312</v>
      </c>
      <c r="F515" s="79">
        <f t="shared" si="19"/>
        <v>0</v>
      </c>
    </row>
    <row r="516" spans="1:6" x14ac:dyDescent="0.25">
      <c r="A516" s="79">
        <v>10513</v>
      </c>
      <c r="B516" s="79">
        <f t="shared" si="20"/>
        <v>7</v>
      </c>
      <c r="C516" s="79">
        <v>1</v>
      </c>
      <c r="D516" s="79">
        <f t="shared" si="21"/>
        <v>3</v>
      </c>
      <c r="E516" s="19">
        <v>11313</v>
      </c>
      <c r="F516" s="79">
        <f t="shared" si="19"/>
        <v>0</v>
      </c>
    </row>
    <row r="517" spans="1:6" x14ac:dyDescent="0.25">
      <c r="A517" s="79">
        <v>10514</v>
      </c>
      <c r="B517" s="79">
        <f t="shared" si="20"/>
        <v>7</v>
      </c>
      <c r="C517" s="79">
        <v>1</v>
      </c>
      <c r="D517" s="79">
        <f t="shared" si="21"/>
        <v>3</v>
      </c>
      <c r="E517" s="19">
        <v>11314</v>
      </c>
      <c r="F517" s="79">
        <f t="shared" ref="F517:F528" si="22">VLOOKUP(RIGHT(E517,2)*1,$J$4:$Q$29,B517+1,0)</f>
        <v>0</v>
      </c>
    </row>
    <row r="518" spans="1:6" x14ac:dyDescent="0.25">
      <c r="A518" s="79">
        <v>10515</v>
      </c>
      <c r="B518" s="79">
        <f t="shared" si="20"/>
        <v>7</v>
      </c>
      <c r="C518" s="79">
        <v>1</v>
      </c>
      <c r="D518" s="79">
        <f t="shared" si="21"/>
        <v>3</v>
      </c>
      <c r="E518" s="19">
        <v>11315</v>
      </c>
      <c r="F518" s="79">
        <f t="shared" si="22"/>
        <v>0</v>
      </c>
    </row>
    <row r="519" spans="1:6" x14ac:dyDescent="0.25">
      <c r="A519" s="79">
        <v>10516</v>
      </c>
      <c r="B519" s="79">
        <f t="shared" si="20"/>
        <v>7</v>
      </c>
      <c r="C519" s="79">
        <v>1</v>
      </c>
      <c r="D519" s="79">
        <f t="shared" si="21"/>
        <v>3</v>
      </c>
      <c r="E519" s="19">
        <v>11316</v>
      </c>
      <c r="F519" s="79">
        <f t="shared" si="22"/>
        <v>10</v>
      </c>
    </row>
    <row r="520" spans="1:6" x14ac:dyDescent="0.25">
      <c r="A520" s="79">
        <v>10517</v>
      </c>
      <c r="B520" s="79">
        <f t="shared" si="20"/>
        <v>7</v>
      </c>
      <c r="C520" s="79">
        <v>1</v>
      </c>
      <c r="D520" s="79">
        <f t="shared" si="21"/>
        <v>3</v>
      </c>
      <c r="E520" s="19">
        <v>11317</v>
      </c>
      <c r="F520" s="79">
        <f t="shared" si="22"/>
        <v>10</v>
      </c>
    </row>
    <row r="521" spans="1:6" x14ac:dyDescent="0.25">
      <c r="A521" s="79">
        <v>10518</v>
      </c>
      <c r="B521" s="79">
        <f t="shared" si="20"/>
        <v>7</v>
      </c>
      <c r="C521" s="79">
        <v>1</v>
      </c>
      <c r="D521" s="79">
        <f t="shared" si="21"/>
        <v>3</v>
      </c>
      <c r="E521" s="19">
        <v>11318</v>
      </c>
      <c r="F521" s="79">
        <f t="shared" si="22"/>
        <v>10</v>
      </c>
    </row>
    <row r="522" spans="1:6" x14ac:dyDescent="0.25">
      <c r="A522" s="79">
        <v>10519</v>
      </c>
      <c r="B522" s="79">
        <f t="shared" si="20"/>
        <v>7</v>
      </c>
      <c r="C522" s="79">
        <v>1</v>
      </c>
      <c r="D522" s="79">
        <f t="shared" si="21"/>
        <v>3</v>
      </c>
      <c r="E522" s="19">
        <v>11319</v>
      </c>
      <c r="F522" s="79">
        <f t="shared" si="22"/>
        <v>10</v>
      </c>
    </row>
    <row r="523" spans="1:6" x14ac:dyDescent="0.25">
      <c r="A523" s="79">
        <v>10520</v>
      </c>
      <c r="B523" s="79">
        <f t="shared" si="20"/>
        <v>7</v>
      </c>
      <c r="C523" s="79">
        <v>1</v>
      </c>
      <c r="D523" s="79">
        <f t="shared" si="21"/>
        <v>3</v>
      </c>
      <c r="E523" s="19">
        <v>11320</v>
      </c>
      <c r="F523" s="79">
        <f t="shared" si="22"/>
        <v>10</v>
      </c>
    </row>
    <row r="524" spans="1:6" x14ac:dyDescent="0.25">
      <c r="A524" s="79">
        <v>10521</v>
      </c>
      <c r="B524" s="79">
        <f t="shared" si="20"/>
        <v>7</v>
      </c>
      <c r="C524" s="79">
        <v>1</v>
      </c>
      <c r="D524" s="79">
        <f t="shared" si="21"/>
        <v>3</v>
      </c>
      <c r="E524" s="19">
        <v>11321</v>
      </c>
      <c r="F524" s="79">
        <f t="shared" si="22"/>
        <v>10</v>
      </c>
    </row>
    <row r="525" spans="1:6" x14ac:dyDescent="0.25">
      <c r="A525" s="79">
        <v>10522</v>
      </c>
      <c r="B525" s="79">
        <f t="shared" si="20"/>
        <v>7</v>
      </c>
      <c r="C525" s="79">
        <v>1</v>
      </c>
      <c r="D525" s="79">
        <f t="shared" si="21"/>
        <v>3</v>
      </c>
      <c r="E525" s="19">
        <v>11322</v>
      </c>
      <c r="F525" s="79">
        <f t="shared" si="22"/>
        <v>10</v>
      </c>
    </row>
    <row r="526" spans="1:6" x14ac:dyDescent="0.25">
      <c r="A526" s="79">
        <v>10523</v>
      </c>
      <c r="B526" s="79">
        <f t="shared" si="20"/>
        <v>7</v>
      </c>
      <c r="C526" s="79">
        <v>1</v>
      </c>
      <c r="D526" s="79">
        <f t="shared" si="21"/>
        <v>3</v>
      </c>
      <c r="E526" s="19">
        <v>11323</v>
      </c>
      <c r="F526" s="79">
        <f t="shared" si="22"/>
        <v>10</v>
      </c>
    </row>
    <row r="527" spans="1:6" x14ac:dyDescent="0.25">
      <c r="A527" s="79">
        <v>10524</v>
      </c>
      <c r="B527" s="79">
        <f t="shared" si="20"/>
        <v>7</v>
      </c>
      <c r="C527" s="79">
        <v>1</v>
      </c>
      <c r="D527" s="79">
        <f t="shared" si="21"/>
        <v>3</v>
      </c>
      <c r="E527" s="19">
        <v>11324</v>
      </c>
      <c r="F527" s="79">
        <f t="shared" si="22"/>
        <v>10</v>
      </c>
    </row>
    <row r="528" spans="1:6" x14ac:dyDescent="0.25">
      <c r="A528" s="79">
        <v>10525</v>
      </c>
      <c r="B528" s="79">
        <f t="shared" ref="B528" si="23">B453+1</f>
        <v>7</v>
      </c>
      <c r="C528" s="79">
        <v>1</v>
      </c>
      <c r="D528" s="79">
        <f t="shared" si="21"/>
        <v>3</v>
      </c>
      <c r="E528" s="19">
        <v>11325</v>
      </c>
      <c r="F528" s="79">
        <f t="shared" si="22"/>
        <v>10</v>
      </c>
    </row>
    <row r="529" spans="1:18" x14ac:dyDescent="0.25">
      <c r="A529" s="79">
        <v>10526</v>
      </c>
      <c r="B529" s="77">
        <v>1</v>
      </c>
      <c r="C529" s="77">
        <v>2</v>
      </c>
      <c r="D529" s="77">
        <v>1</v>
      </c>
      <c r="E529" s="77">
        <v>12101</v>
      </c>
      <c r="F529" s="77">
        <f>VLOOKUP(RIGHT(E529,2)*1,$K$529:$R$559,B529+1,0)</f>
        <v>10</v>
      </c>
      <c r="L529">
        <v>1</v>
      </c>
      <c r="M529">
        <v>2</v>
      </c>
      <c r="N529">
        <v>3</v>
      </c>
      <c r="O529">
        <v>4</v>
      </c>
      <c r="P529">
        <v>5</v>
      </c>
      <c r="Q529">
        <v>6</v>
      </c>
      <c r="R529">
        <v>7</v>
      </c>
    </row>
    <row r="530" spans="1:13" x14ac:dyDescent="0.25">
      <c r="A530" s="79">
        <v>10527</v>
      </c>
      <c r="B530" s="77">
        <v>1</v>
      </c>
      <c r="C530" s="77">
        <v>2</v>
      </c>
      <c r="D530" s="77">
        <v>1</v>
      </c>
      <c r="E530" s="77">
        <v>12102</v>
      </c>
      <c r="F530" s="77">
        <f t="shared" ref="F530:F560" si="24">VLOOKUP(RIGHT(E530,2)*1,$K$529:$R$559,B530+1,0)</f>
        <v>10</v>
      </c>
      <c r="K530">
        <v>1</v>
      </c>
      <c r="L530">
        <v>10</v>
      </c>
      <c r="M530">
        <v>10</v>
      </c>
    </row>
    <row r="531" spans="1:13" x14ac:dyDescent="0.25">
      <c r="A531" s="79">
        <v>10528</v>
      </c>
      <c r="B531" s="77">
        <v>1</v>
      </c>
      <c r="C531" s="77">
        <v>2</v>
      </c>
      <c r="D531" s="77">
        <v>1</v>
      </c>
      <c r="E531" s="77">
        <v>12103</v>
      </c>
      <c r="F531" s="77">
        <f t="shared" si="24"/>
        <v>10</v>
      </c>
      <c r="K531">
        <v>2</v>
      </c>
      <c r="L531">
        <v>10</v>
      </c>
      <c r="M531">
        <v>10</v>
      </c>
    </row>
    <row r="532" spans="1:13" x14ac:dyDescent="0.25">
      <c r="A532" s="79">
        <v>10529</v>
      </c>
      <c r="B532" s="77">
        <v>1</v>
      </c>
      <c r="C532" s="77">
        <v>2</v>
      </c>
      <c r="D532" s="77">
        <v>1</v>
      </c>
      <c r="E532" s="77">
        <v>12104</v>
      </c>
      <c r="F532" s="77">
        <f t="shared" si="24"/>
        <v>10</v>
      </c>
      <c r="K532">
        <v>3</v>
      </c>
      <c r="L532">
        <v>10</v>
      </c>
      <c r="M532">
        <v>10</v>
      </c>
    </row>
    <row r="533" spans="1:13" x14ac:dyDescent="0.25">
      <c r="A533" s="79">
        <v>10530</v>
      </c>
      <c r="B533" s="77">
        <v>1</v>
      </c>
      <c r="C533" s="77">
        <v>2</v>
      </c>
      <c r="D533" s="77">
        <v>1</v>
      </c>
      <c r="E533" s="77">
        <v>12105</v>
      </c>
      <c r="F533" s="77">
        <f t="shared" si="24"/>
        <v>10</v>
      </c>
      <c r="K533">
        <v>4</v>
      </c>
      <c r="L533">
        <v>10</v>
      </c>
      <c r="M533">
        <v>10</v>
      </c>
    </row>
    <row r="534" spans="1:13" x14ac:dyDescent="0.25">
      <c r="A534" s="79">
        <v>10531</v>
      </c>
      <c r="B534" s="77">
        <v>1</v>
      </c>
      <c r="C534" s="77">
        <v>2</v>
      </c>
      <c r="D534" s="77">
        <v>1</v>
      </c>
      <c r="E534" s="77">
        <v>12106</v>
      </c>
      <c r="F534" s="77">
        <f t="shared" si="24"/>
        <v>10</v>
      </c>
      <c r="K534">
        <v>5</v>
      </c>
      <c r="L534">
        <v>10</v>
      </c>
      <c r="M534">
        <v>10</v>
      </c>
    </row>
    <row r="535" spans="1:14" x14ac:dyDescent="0.25">
      <c r="A535" s="79">
        <v>10532</v>
      </c>
      <c r="B535" s="77">
        <v>1</v>
      </c>
      <c r="C535" s="77">
        <v>2</v>
      </c>
      <c r="D535" s="77">
        <v>1</v>
      </c>
      <c r="E535" s="77">
        <v>12107</v>
      </c>
      <c r="F535" s="77">
        <f t="shared" si="24"/>
        <v>10</v>
      </c>
      <c r="K535">
        <v>6</v>
      </c>
      <c r="L535">
        <v>10</v>
      </c>
      <c r="M535">
        <v>10</v>
      </c>
      <c r="N535">
        <v>10</v>
      </c>
    </row>
    <row r="536" spans="1:14" x14ac:dyDescent="0.25">
      <c r="A536" s="79">
        <v>10533</v>
      </c>
      <c r="B536" s="77">
        <v>1</v>
      </c>
      <c r="C536" s="77">
        <v>2</v>
      </c>
      <c r="D536" s="77">
        <v>1</v>
      </c>
      <c r="E536" s="77">
        <v>12108</v>
      </c>
      <c r="F536" s="77">
        <f t="shared" si="24"/>
        <v>10</v>
      </c>
      <c r="K536">
        <v>7</v>
      </c>
      <c r="L536">
        <v>10</v>
      </c>
      <c r="M536">
        <v>10</v>
      </c>
      <c r="N536">
        <v>10</v>
      </c>
    </row>
    <row r="537" spans="1:14" x14ac:dyDescent="0.25">
      <c r="A537" s="79">
        <v>10534</v>
      </c>
      <c r="B537" s="77">
        <v>1</v>
      </c>
      <c r="C537" s="77">
        <v>2</v>
      </c>
      <c r="D537" s="77">
        <v>1</v>
      </c>
      <c r="E537" s="77">
        <v>12109</v>
      </c>
      <c r="F537" s="77">
        <f t="shared" si="24"/>
        <v>10</v>
      </c>
      <c r="K537">
        <v>8</v>
      </c>
      <c r="L537">
        <v>10</v>
      </c>
      <c r="M537">
        <v>10</v>
      </c>
      <c r="N537">
        <v>10</v>
      </c>
    </row>
    <row r="538" spans="1:15" x14ac:dyDescent="0.25">
      <c r="A538" s="79">
        <v>10535</v>
      </c>
      <c r="B538" s="77">
        <v>1</v>
      </c>
      <c r="C538" s="77">
        <v>2</v>
      </c>
      <c r="D538" s="77">
        <v>1</v>
      </c>
      <c r="E538" s="77">
        <v>12110</v>
      </c>
      <c r="F538" s="77">
        <f t="shared" si="24"/>
        <v>10</v>
      </c>
      <c r="K538">
        <v>9</v>
      </c>
      <c r="L538">
        <v>10</v>
      </c>
      <c r="M538">
        <v>10</v>
      </c>
      <c r="N538">
        <v>10</v>
      </c>
      <c r="O538">
        <v>10</v>
      </c>
    </row>
    <row r="539" spans="1:15" x14ac:dyDescent="0.25">
      <c r="A539" s="79">
        <v>10536</v>
      </c>
      <c r="B539" s="77">
        <v>1</v>
      </c>
      <c r="C539" s="77">
        <v>2</v>
      </c>
      <c r="D539" s="77">
        <v>1</v>
      </c>
      <c r="E539" s="77">
        <v>12111</v>
      </c>
      <c r="F539" s="77">
        <f t="shared" si="24"/>
        <v>10</v>
      </c>
      <c r="K539">
        <v>10</v>
      </c>
      <c r="L539">
        <v>10</v>
      </c>
      <c r="M539">
        <v>10</v>
      </c>
      <c r="N539">
        <v>10</v>
      </c>
      <c r="O539">
        <v>10</v>
      </c>
    </row>
    <row r="540" spans="1:15" x14ac:dyDescent="0.25">
      <c r="A540" s="79">
        <v>10537</v>
      </c>
      <c r="B540" s="77">
        <v>1</v>
      </c>
      <c r="C540" s="77">
        <v>2</v>
      </c>
      <c r="D540" s="77">
        <v>1</v>
      </c>
      <c r="E540" s="77">
        <v>12112</v>
      </c>
      <c r="F540" s="77">
        <f t="shared" si="24"/>
        <v>10</v>
      </c>
      <c r="K540">
        <v>11</v>
      </c>
      <c r="L540">
        <v>10</v>
      </c>
      <c r="M540">
        <v>10</v>
      </c>
      <c r="N540">
        <v>10</v>
      </c>
      <c r="O540">
        <v>10</v>
      </c>
    </row>
    <row r="541" spans="1:16" x14ac:dyDescent="0.25">
      <c r="A541" s="79">
        <v>10538</v>
      </c>
      <c r="B541" s="77">
        <v>1</v>
      </c>
      <c r="C541" s="77">
        <v>2</v>
      </c>
      <c r="D541" s="77">
        <v>1</v>
      </c>
      <c r="E541" s="77">
        <v>12113</v>
      </c>
      <c r="F541" s="77">
        <f t="shared" si="24"/>
        <v>10</v>
      </c>
      <c r="K541">
        <v>12</v>
      </c>
      <c r="L541">
        <v>10</v>
      </c>
      <c r="M541">
        <v>10</v>
      </c>
      <c r="N541">
        <v>10</v>
      </c>
      <c r="O541">
        <v>10</v>
      </c>
      <c r="P541">
        <v>10</v>
      </c>
    </row>
    <row r="542" spans="1:16" x14ac:dyDescent="0.25">
      <c r="A542" s="79">
        <v>10539</v>
      </c>
      <c r="B542" s="77">
        <v>1</v>
      </c>
      <c r="C542" s="77">
        <v>2</v>
      </c>
      <c r="D542" s="77">
        <v>1</v>
      </c>
      <c r="E542" s="77">
        <v>12114</v>
      </c>
      <c r="F542" s="77">
        <f t="shared" si="24"/>
        <v>10</v>
      </c>
      <c r="K542">
        <v>13</v>
      </c>
      <c r="L542">
        <v>10</v>
      </c>
      <c r="M542">
        <v>10</v>
      </c>
      <c r="N542">
        <v>10</v>
      </c>
      <c r="O542">
        <v>10</v>
      </c>
      <c r="P542">
        <v>10</v>
      </c>
    </row>
    <row r="543" spans="1:16" x14ac:dyDescent="0.25">
      <c r="A543" s="79">
        <v>10540</v>
      </c>
      <c r="B543" s="77">
        <v>1</v>
      </c>
      <c r="C543" s="77">
        <v>2</v>
      </c>
      <c r="D543" s="77">
        <v>1</v>
      </c>
      <c r="E543" s="77">
        <v>12115</v>
      </c>
      <c r="F543" s="77">
        <f t="shared" si="24"/>
        <v>10</v>
      </c>
      <c r="K543">
        <v>14</v>
      </c>
      <c r="L543">
        <v>10</v>
      </c>
      <c r="M543">
        <v>10</v>
      </c>
      <c r="N543">
        <v>10</v>
      </c>
      <c r="O543">
        <v>10</v>
      </c>
      <c r="P543">
        <v>10</v>
      </c>
    </row>
    <row r="544" spans="1:16" x14ac:dyDescent="0.25">
      <c r="A544" s="79">
        <v>10541</v>
      </c>
      <c r="B544" s="77">
        <v>1</v>
      </c>
      <c r="C544" s="77">
        <v>2</v>
      </c>
      <c r="D544" s="77">
        <v>1</v>
      </c>
      <c r="E544" s="77">
        <v>12116</v>
      </c>
      <c r="F544" s="77">
        <f t="shared" si="24"/>
        <v>0</v>
      </c>
      <c r="K544">
        <v>15</v>
      </c>
      <c r="L544">
        <v>10</v>
      </c>
      <c r="M544">
        <v>10</v>
      </c>
      <c r="N544">
        <v>10</v>
      </c>
      <c r="O544">
        <v>10</v>
      </c>
      <c r="P544">
        <v>10</v>
      </c>
    </row>
    <row r="545" spans="1:18" x14ac:dyDescent="0.25">
      <c r="A545" s="79">
        <v>10542</v>
      </c>
      <c r="B545" s="77">
        <v>1</v>
      </c>
      <c r="C545" s="77">
        <v>2</v>
      </c>
      <c r="D545" s="77">
        <v>1</v>
      </c>
      <c r="E545" s="77">
        <v>12117</v>
      </c>
      <c r="F545" s="77">
        <f t="shared" si="24"/>
        <v>0</v>
      </c>
      <c r="K545">
        <v>16</v>
      </c>
      <c r="M545">
        <v>10</v>
      </c>
      <c r="N545">
        <v>10</v>
      </c>
      <c r="O545">
        <v>10</v>
      </c>
      <c r="P545">
        <v>10</v>
      </c>
      <c r="Q545">
        <v>10</v>
      </c>
      <c r="R545">
        <v>20</v>
      </c>
    </row>
    <row r="546" spans="1:18" x14ac:dyDescent="0.25">
      <c r="A546" s="79">
        <v>10543</v>
      </c>
      <c r="B546" s="77">
        <v>1</v>
      </c>
      <c r="C546" s="77">
        <v>2</v>
      </c>
      <c r="D546" s="77">
        <v>1</v>
      </c>
      <c r="E546" s="77">
        <v>12118</v>
      </c>
      <c r="F546" s="77">
        <f t="shared" si="24"/>
        <v>0</v>
      </c>
      <c r="K546">
        <v>17</v>
      </c>
      <c r="M546">
        <v>10</v>
      </c>
      <c r="N546">
        <v>10</v>
      </c>
      <c r="O546">
        <v>10</v>
      </c>
      <c r="P546">
        <v>10</v>
      </c>
      <c r="Q546">
        <v>10</v>
      </c>
      <c r="R546">
        <v>20</v>
      </c>
    </row>
    <row r="547" spans="1:18" x14ac:dyDescent="0.25">
      <c r="A547" s="79">
        <v>10544</v>
      </c>
      <c r="B547" s="77">
        <v>1</v>
      </c>
      <c r="C547" s="77">
        <v>2</v>
      </c>
      <c r="D547" s="77">
        <v>1</v>
      </c>
      <c r="E547" s="77">
        <v>12119</v>
      </c>
      <c r="F547" s="77">
        <f t="shared" si="24"/>
        <v>0</v>
      </c>
      <c r="K547">
        <v>18</v>
      </c>
      <c r="M547">
        <v>10</v>
      </c>
      <c r="N547">
        <v>10</v>
      </c>
      <c r="O547">
        <v>10</v>
      </c>
      <c r="P547">
        <v>10</v>
      </c>
      <c r="Q547">
        <v>10</v>
      </c>
      <c r="R547">
        <v>20</v>
      </c>
    </row>
    <row r="548" spans="1:18" x14ac:dyDescent="0.25">
      <c r="A548" s="79">
        <v>10545</v>
      </c>
      <c r="B548" s="77">
        <v>1</v>
      </c>
      <c r="C548" s="77">
        <v>2</v>
      </c>
      <c r="D548" s="77">
        <v>1</v>
      </c>
      <c r="E548" s="77">
        <v>12120</v>
      </c>
      <c r="F548" s="77">
        <f t="shared" si="24"/>
        <v>0</v>
      </c>
      <c r="K548">
        <v>19</v>
      </c>
      <c r="M548">
        <v>10</v>
      </c>
      <c r="N548">
        <v>10</v>
      </c>
      <c r="O548">
        <v>10</v>
      </c>
      <c r="P548">
        <v>10</v>
      </c>
      <c r="Q548">
        <v>10</v>
      </c>
      <c r="R548">
        <v>20</v>
      </c>
    </row>
    <row r="549" spans="1:18" x14ac:dyDescent="0.25">
      <c r="A549" s="79">
        <v>10546</v>
      </c>
      <c r="B549" s="77">
        <v>1</v>
      </c>
      <c r="C549" s="77">
        <v>2</v>
      </c>
      <c r="D549" s="77">
        <v>1</v>
      </c>
      <c r="E549" s="77">
        <v>12121</v>
      </c>
      <c r="F549" s="77">
        <f t="shared" si="24"/>
        <v>0</v>
      </c>
      <c r="K549">
        <v>20</v>
      </c>
      <c r="M549">
        <v>10</v>
      </c>
      <c r="N549">
        <v>10</v>
      </c>
      <c r="O549">
        <v>10</v>
      </c>
      <c r="P549">
        <v>10</v>
      </c>
      <c r="Q549">
        <v>10</v>
      </c>
      <c r="R549">
        <v>20</v>
      </c>
    </row>
    <row r="550" spans="1:18" x14ac:dyDescent="0.25">
      <c r="A550" s="79">
        <v>10547</v>
      </c>
      <c r="B550" s="77">
        <v>1</v>
      </c>
      <c r="C550" s="77">
        <v>2</v>
      </c>
      <c r="D550" s="77">
        <v>1</v>
      </c>
      <c r="E550" s="77">
        <v>12122</v>
      </c>
      <c r="F550" s="77">
        <f t="shared" si="24"/>
        <v>0</v>
      </c>
      <c r="K550">
        <v>21</v>
      </c>
      <c r="N550">
        <v>10</v>
      </c>
      <c r="O550">
        <v>10</v>
      </c>
      <c r="P550">
        <v>10</v>
      </c>
      <c r="Q550">
        <v>10</v>
      </c>
      <c r="R550">
        <v>20</v>
      </c>
    </row>
    <row r="551" spans="1:18" x14ac:dyDescent="0.25">
      <c r="A551" s="79">
        <v>10548</v>
      </c>
      <c r="B551" s="77">
        <v>1</v>
      </c>
      <c r="C551" s="77">
        <v>2</v>
      </c>
      <c r="D551" s="77">
        <v>1</v>
      </c>
      <c r="E551" s="77">
        <v>12123</v>
      </c>
      <c r="F551" s="77">
        <f t="shared" si="24"/>
        <v>0</v>
      </c>
      <c r="K551">
        <v>22</v>
      </c>
      <c r="N551">
        <v>10</v>
      </c>
      <c r="O551">
        <v>10</v>
      </c>
      <c r="P551">
        <v>10</v>
      </c>
      <c r="Q551">
        <v>10</v>
      </c>
      <c r="R551">
        <v>20</v>
      </c>
    </row>
    <row r="552" spans="1:18" x14ac:dyDescent="0.25">
      <c r="A552" s="79">
        <v>10549</v>
      </c>
      <c r="B552" s="77">
        <v>1</v>
      </c>
      <c r="C552" s="77">
        <v>2</v>
      </c>
      <c r="D552" s="77">
        <v>1</v>
      </c>
      <c r="E552" s="77">
        <v>12124</v>
      </c>
      <c r="F552" s="77">
        <f t="shared" si="24"/>
        <v>0</v>
      </c>
      <c r="K552">
        <v>23</v>
      </c>
      <c r="O552">
        <v>10</v>
      </c>
      <c r="P552">
        <v>10</v>
      </c>
      <c r="Q552">
        <v>10</v>
      </c>
      <c r="R552">
        <v>20</v>
      </c>
    </row>
    <row r="553" spans="1:18" x14ac:dyDescent="0.25">
      <c r="A553" s="79">
        <v>10550</v>
      </c>
      <c r="B553" s="77">
        <v>1</v>
      </c>
      <c r="C553" s="77">
        <v>2</v>
      </c>
      <c r="D553" s="77">
        <v>1</v>
      </c>
      <c r="E553" s="77">
        <v>12125</v>
      </c>
      <c r="F553" s="77">
        <f t="shared" si="24"/>
        <v>0</v>
      </c>
      <c r="K553">
        <v>24</v>
      </c>
      <c r="O553">
        <v>10</v>
      </c>
      <c r="P553">
        <v>10</v>
      </c>
      <c r="Q553">
        <v>10</v>
      </c>
      <c r="R553">
        <v>20</v>
      </c>
    </row>
    <row r="554" spans="1:18" x14ac:dyDescent="0.25">
      <c r="A554" s="79">
        <v>10551</v>
      </c>
      <c r="B554" s="77">
        <v>1</v>
      </c>
      <c r="C554" s="77">
        <v>2</v>
      </c>
      <c r="D554" s="77">
        <v>1</v>
      </c>
      <c r="E554" s="77">
        <v>12126</v>
      </c>
      <c r="F554" s="77">
        <f t="shared" si="24"/>
        <v>0</v>
      </c>
      <c r="K554">
        <v>25</v>
      </c>
      <c r="O554">
        <v>10</v>
      </c>
      <c r="P554">
        <v>10</v>
      </c>
      <c r="Q554">
        <v>10</v>
      </c>
      <c r="R554">
        <v>20</v>
      </c>
    </row>
    <row r="555" spans="1:18" x14ac:dyDescent="0.25">
      <c r="A555" s="79">
        <v>10552</v>
      </c>
      <c r="B555" s="77">
        <v>1</v>
      </c>
      <c r="C555" s="77">
        <v>2</v>
      </c>
      <c r="D555" s="77">
        <v>1</v>
      </c>
      <c r="E555" s="77">
        <v>12127</v>
      </c>
      <c r="F555" s="77">
        <f t="shared" si="24"/>
        <v>0</v>
      </c>
      <c r="K555">
        <v>26</v>
      </c>
      <c r="P555">
        <v>10</v>
      </c>
      <c r="Q555">
        <v>10</v>
      </c>
      <c r="R555">
        <v>20</v>
      </c>
    </row>
    <row r="556" spans="1:18" x14ac:dyDescent="0.25">
      <c r="A556" s="79">
        <v>10553</v>
      </c>
      <c r="B556" s="77">
        <v>1</v>
      </c>
      <c r="C556" s="77">
        <v>2</v>
      </c>
      <c r="D556" s="77">
        <v>1</v>
      </c>
      <c r="E556" s="77">
        <v>12128</v>
      </c>
      <c r="F556" s="77">
        <f t="shared" si="24"/>
        <v>0</v>
      </c>
      <c r="K556">
        <v>27</v>
      </c>
      <c r="P556">
        <v>10</v>
      </c>
      <c r="Q556">
        <v>10</v>
      </c>
      <c r="R556">
        <v>20</v>
      </c>
    </row>
    <row r="557" spans="1:18" x14ac:dyDescent="0.25">
      <c r="A557" s="79">
        <v>10554</v>
      </c>
      <c r="B557" s="77">
        <v>1</v>
      </c>
      <c r="C557" s="77">
        <v>2</v>
      </c>
      <c r="D557" s="77">
        <v>1</v>
      </c>
      <c r="E557" s="77">
        <v>12129</v>
      </c>
      <c r="F557" s="77">
        <f t="shared" si="24"/>
        <v>0</v>
      </c>
      <c r="K557">
        <v>28</v>
      </c>
      <c r="P557">
        <v>10</v>
      </c>
      <c r="Q557">
        <v>10</v>
      </c>
      <c r="R557">
        <v>20</v>
      </c>
    </row>
    <row r="558" spans="1:18" x14ac:dyDescent="0.25">
      <c r="A558" s="79">
        <v>10555</v>
      </c>
      <c r="B558" s="77">
        <v>1</v>
      </c>
      <c r="C558" s="77">
        <v>2</v>
      </c>
      <c r="D558" s="77">
        <v>1</v>
      </c>
      <c r="E558" s="77">
        <v>12130</v>
      </c>
      <c r="F558" s="77">
        <f t="shared" si="24"/>
        <v>0</v>
      </c>
      <c r="K558">
        <v>29</v>
      </c>
      <c r="Q558">
        <v>10</v>
      </c>
      <c r="R558">
        <v>20</v>
      </c>
    </row>
    <row r="559" spans="1:18" x14ac:dyDescent="0.25">
      <c r="A559" s="79">
        <v>10556</v>
      </c>
      <c r="B559" s="77">
        <f>B529+1</f>
        <v>2</v>
      </c>
      <c r="C559" s="77">
        <v>2</v>
      </c>
      <c r="D559" s="77">
        <v>1</v>
      </c>
      <c r="E559" s="77">
        <f>E529</f>
        <v>12101</v>
      </c>
      <c r="F559" s="77">
        <f t="shared" si="24"/>
        <v>10</v>
      </c>
      <c r="K559">
        <v>30</v>
      </c>
      <c r="Q559">
        <v>10</v>
      </c>
      <c r="R559">
        <v>20</v>
      </c>
    </row>
    <row r="560" spans="1:6" x14ac:dyDescent="0.25">
      <c r="A560" s="79">
        <v>10557</v>
      </c>
      <c r="B560" s="77">
        <f t="shared" ref="B560:B623" si="25">B530+1</f>
        <v>2</v>
      </c>
      <c r="C560" s="77">
        <v>2</v>
      </c>
      <c r="D560" s="77">
        <v>1</v>
      </c>
      <c r="E560" s="77">
        <f t="shared" ref="E560:E623" si="26">E530</f>
        <v>12102</v>
      </c>
      <c r="F560" s="77">
        <f t="shared" si="24"/>
        <v>10</v>
      </c>
    </row>
    <row r="561" spans="1:6" x14ac:dyDescent="0.25">
      <c r="A561" s="79">
        <v>10558</v>
      </c>
      <c r="B561" s="77">
        <f t="shared" si="25"/>
        <v>2</v>
      </c>
      <c r="C561" s="77">
        <v>2</v>
      </c>
      <c r="D561" s="77">
        <v>1</v>
      </c>
      <c r="E561" s="77">
        <f t="shared" si="26"/>
        <v>12103</v>
      </c>
      <c r="F561" s="77">
        <f t="shared" ref="F561:F624" si="27">VLOOKUP(RIGHT(E561,2)*1,$K$529:$R$559,B561+1,0)</f>
        <v>10</v>
      </c>
    </row>
    <row r="562" spans="1:6" x14ac:dyDescent="0.25">
      <c r="A562" s="79">
        <v>10559</v>
      </c>
      <c r="B562" s="77">
        <f t="shared" si="25"/>
        <v>2</v>
      </c>
      <c r="C562" s="77">
        <v>2</v>
      </c>
      <c r="D562" s="77">
        <v>1</v>
      </c>
      <c r="E562" s="77">
        <f t="shared" si="26"/>
        <v>12104</v>
      </c>
      <c r="F562" s="77">
        <f t="shared" si="27"/>
        <v>10</v>
      </c>
    </row>
    <row r="563" spans="1:6" x14ac:dyDescent="0.25">
      <c r="A563" s="79">
        <v>10560</v>
      </c>
      <c r="B563" s="77">
        <f t="shared" si="25"/>
        <v>2</v>
      </c>
      <c r="C563" s="77">
        <v>2</v>
      </c>
      <c r="D563" s="77">
        <v>1</v>
      </c>
      <c r="E563" s="77">
        <f t="shared" si="26"/>
        <v>12105</v>
      </c>
      <c r="F563" s="77">
        <f t="shared" si="27"/>
        <v>10</v>
      </c>
    </row>
    <row r="564" spans="1:6" x14ac:dyDescent="0.25">
      <c r="A564" s="79">
        <v>10561</v>
      </c>
      <c r="B564" s="77">
        <f t="shared" si="25"/>
        <v>2</v>
      </c>
      <c r="C564" s="77">
        <v>2</v>
      </c>
      <c r="D564" s="77">
        <v>1</v>
      </c>
      <c r="E564" s="77">
        <f t="shared" si="26"/>
        <v>12106</v>
      </c>
      <c r="F564" s="77">
        <f t="shared" si="27"/>
        <v>10</v>
      </c>
    </row>
    <row r="565" spans="1:6" x14ac:dyDescent="0.25">
      <c r="A565" s="79">
        <v>10562</v>
      </c>
      <c r="B565" s="77">
        <f t="shared" si="25"/>
        <v>2</v>
      </c>
      <c r="C565" s="77">
        <v>2</v>
      </c>
      <c r="D565" s="77">
        <v>1</v>
      </c>
      <c r="E565" s="77">
        <f t="shared" si="26"/>
        <v>12107</v>
      </c>
      <c r="F565" s="77">
        <f t="shared" si="27"/>
        <v>10</v>
      </c>
    </row>
    <row r="566" spans="1:6" x14ac:dyDescent="0.25">
      <c r="A566" s="79">
        <v>10563</v>
      </c>
      <c r="B566" s="77">
        <f t="shared" si="25"/>
        <v>2</v>
      </c>
      <c r="C566" s="77">
        <v>2</v>
      </c>
      <c r="D566" s="77">
        <v>1</v>
      </c>
      <c r="E566" s="77">
        <f t="shared" si="26"/>
        <v>12108</v>
      </c>
      <c r="F566" s="77">
        <f t="shared" si="27"/>
        <v>10</v>
      </c>
    </row>
    <row r="567" spans="1:6" x14ac:dyDescent="0.25">
      <c r="A567" s="79">
        <v>10564</v>
      </c>
      <c r="B567" s="77">
        <f t="shared" si="25"/>
        <v>2</v>
      </c>
      <c r="C567" s="77">
        <v>2</v>
      </c>
      <c r="D567" s="77">
        <v>1</v>
      </c>
      <c r="E567" s="77">
        <f t="shared" si="26"/>
        <v>12109</v>
      </c>
      <c r="F567" s="77">
        <f t="shared" si="27"/>
        <v>10</v>
      </c>
    </row>
    <row r="568" spans="1:6" x14ac:dyDescent="0.25">
      <c r="A568" s="79">
        <v>10565</v>
      </c>
      <c r="B568" s="77">
        <f t="shared" si="25"/>
        <v>2</v>
      </c>
      <c r="C568" s="77">
        <v>2</v>
      </c>
      <c r="D568" s="77">
        <v>1</v>
      </c>
      <c r="E568" s="77">
        <f t="shared" si="26"/>
        <v>12110</v>
      </c>
      <c r="F568" s="77">
        <f t="shared" si="27"/>
        <v>10</v>
      </c>
    </row>
    <row r="569" spans="1:6" x14ac:dyDescent="0.25">
      <c r="A569" s="79">
        <v>10566</v>
      </c>
      <c r="B569" s="77">
        <f t="shared" si="25"/>
        <v>2</v>
      </c>
      <c r="C569" s="77">
        <v>2</v>
      </c>
      <c r="D569" s="77">
        <v>1</v>
      </c>
      <c r="E569" s="77">
        <f t="shared" si="26"/>
        <v>12111</v>
      </c>
      <c r="F569" s="77">
        <f t="shared" si="27"/>
        <v>10</v>
      </c>
    </row>
    <row r="570" spans="1:6" x14ac:dyDescent="0.25">
      <c r="A570" s="79">
        <v>10567</v>
      </c>
      <c r="B570" s="77">
        <f t="shared" si="25"/>
        <v>2</v>
      </c>
      <c r="C570" s="77">
        <v>2</v>
      </c>
      <c r="D570" s="77">
        <v>1</v>
      </c>
      <c r="E570" s="77">
        <f t="shared" si="26"/>
        <v>12112</v>
      </c>
      <c r="F570" s="77">
        <f t="shared" si="27"/>
        <v>10</v>
      </c>
    </row>
    <row r="571" spans="1:6" x14ac:dyDescent="0.25">
      <c r="A571" s="79">
        <v>10568</v>
      </c>
      <c r="B571" s="77">
        <f t="shared" si="25"/>
        <v>2</v>
      </c>
      <c r="C571" s="77">
        <v>2</v>
      </c>
      <c r="D571" s="77">
        <v>1</v>
      </c>
      <c r="E571" s="77">
        <f t="shared" si="26"/>
        <v>12113</v>
      </c>
      <c r="F571" s="77">
        <f t="shared" si="27"/>
        <v>10</v>
      </c>
    </row>
    <row r="572" spans="1:6" x14ac:dyDescent="0.25">
      <c r="A572" s="79">
        <v>10569</v>
      </c>
      <c r="B572" s="77">
        <f t="shared" si="25"/>
        <v>2</v>
      </c>
      <c r="C572" s="77">
        <v>2</v>
      </c>
      <c r="D572" s="77">
        <v>1</v>
      </c>
      <c r="E572" s="77">
        <f t="shared" si="26"/>
        <v>12114</v>
      </c>
      <c r="F572" s="77">
        <f t="shared" si="27"/>
        <v>10</v>
      </c>
    </row>
    <row r="573" spans="1:6" x14ac:dyDescent="0.25">
      <c r="A573" s="79">
        <v>10570</v>
      </c>
      <c r="B573" s="77">
        <f t="shared" si="25"/>
        <v>2</v>
      </c>
      <c r="C573" s="77">
        <v>2</v>
      </c>
      <c r="D573" s="77">
        <v>1</v>
      </c>
      <c r="E573" s="77">
        <f t="shared" si="26"/>
        <v>12115</v>
      </c>
      <c r="F573" s="77">
        <f t="shared" si="27"/>
        <v>10</v>
      </c>
    </row>
    <row r="574" spans="1:6" x14ac:dyDescent="0.25">
      <c r="A574" s="79">
        <v>10571</v>
      </c>
      <c r="B574" s="77">
        <f t="shared" si="25"/>
        <v>2</v>
      </c>
      <c r="C574" s="77">
        <v>2</v>
      </c>
      <c r="D574" s="77">
        <v>1</v>
      </c>
      <c r="E574" s="77">
        <f t="shared" si="26"/>
        <v>12116</v>
      </c>
      <c r="F574" s="77">
        <f t="shared" si="27"/>
        <v>10</v>
      </c>
    </row>
    <row r="575" spans="1:6" x14ac:dyDescent="0.25">
      <c r="A575" s="79">
        <v>10572</v>
      </c>
      <c r="B575" s="77">
        <f t="shared" si="25"/>
        <v>2</v>
      </c>
      <c r="C575" s="77">
        <v>2</v>
      </c>
      <c r="D575" s="77">
        <v>1</v>
      </c>
      <c r="E575" s="77">
        <f t="shared" si="26"/>
        <v>12117</v>
      </c>
      <c r="F575" s="77">
        <f t="shared" si="27"/>
        <v>10</v>
      </c>
    </row>
    <row r="576" spans="1:6" x14ac:dyDescent="0.25">
      <c r="A576" s="79">
        <v>10573</v>
      </c>
      <c r="B576" s="77">
        <f t="shared" si="25"/>
        <v>2</v>
      </c>
      <c r="C576" s="77">
        <v>2</v>
      </c>
      <c r="D576" s="77">
        <v>1</v>
      </c>
      <c r="E576" s="77">
        <f t="shared" si="26"/>
        <v>12118</v>
      </c>
      <c r="F576" s="77">
        <f t="shared" si="27"/>
        <v>10</v>
      </c>
    </row>
    <row r="577" spans="1:6" x14ac:dyDescent="0.25">
      <c r="A577" s="79">
        <v>10574</v>
      </c>
      <c r="B577" s="77">
        <f t="shared" si="25"/>
        <v>2</v>
      </c>
      <c r="C577" s="77">
        <v>2</v>
      </c>
      <c r="D577" s="77">
        <v>1</v>
      </c>
      <c r="E577" s="77">
        <f t="shared" si="26"/>
        <v>12119</v>
      </c>
      <c r="F577" s="77">
        <f t="shared" si="27"/>
        <v>10</v>
      </c>
    </row>
    <row r="578" spans="1:6" x14ac:dyDescent="0.25">
      <c r="A578" s="79">
        <v>10575</v>
      </c>
      <c r="B578" s="77">
        <f t="shared" si="25"/>
        <v>2</v>
      </c>
      <c r="C578" s="77">
        <v>2</v>
      </c>
      <c r="D578" s="77">
        <v>1</v>
      </c>
      <c r="E578" s="77">
        <f t="shared" si="26"/>
        <v>12120</v>
      </c>
      <c r="F578" s="77">
        <f t="shared" si="27"/>
        <v>10</v>
      </c>
    </row>
    <row r="579" spans="1:6" x14ac:dyDescent="0.25">
      <c r="A579" s="79">
        <v>10576</v>
      </c>
      <c r="B579" s="77">
        <f t="shared" si="25"/>
        <v>2</v>
      </c>
      <c r="C579" s="77">
        <v>2</v>
      </c>
      <c r="D579" s="77">
        <v>1</v>
      </c>
      <c r="E579" s="77">
        <f t="shared" si="26"/>
        <v>12121</v>
      </c>
      <c r="F579" s="77">
        <f t="shared" si="27"/>
        <v>0</v>
      </c>
    </row>
    <row r="580" spans="1:6" x14ac:dyDescent="0.25">
      <c r="A580" s="79">
        <v>10577</v>
      </c>
      <c r="B580" s="77">
        <f t="shared" si="25"/>
        <v>2</v>
      </c>
      <c r="C580" s="77">
        <v>2</v>
      </c>
      <c r="D580" s="77">
        <v>1</v>
      </c>
      <c r="E580" s="77">
        <f t="shared" si="26"/>
        <v>12122</v>
      </c>
      <c r="F580" s="77">
        <f t="shared" si="27"/>
        <v>0</v>
      </c>
    </row>
    <row r="581" spans="1:6" x14ac:dyDescent="0.25">
      <c r="A581" s="79">
        <v>10578</v>
      </c>
      <c r="B581" s="77">
        <f t="shared" si="25"/>
        <v>2</v>
      </c>
      <c r="C581" s="77">
        <v>2</v>
      </c>
      <c r="D581" s="77">
        <v>1</v>
      </c>
      <c r="E581" s="77">
        <f t="shared" si="26"/>
        <v>12123</v>
      </c>
      <c r="F581" s="77">
        <f t="shared" si="27"/>
        <v>0</v>
      </c>
    </row>
    <row r="582" spans="1:6" x14ac:dyDescent="0.25">
      <c r="A582" s="79">
        <v>10579</v>
      </c>
      <c r="B582" s="77">
        <f t="shared" si="25"/>
        <v>2</v>
      </c>
      <c r="C582" s="77">
        <v>2</v>
      </c>
      <c r="D582" s="77">
        <v>1</v>
      </c>
      <c r="E582" s="77">
        <f t="shared" si="26"/>
        <v>12124</v>
      </c>
      <c r="F582" s="77">
        <f t="shared" si="27"/>
        <v>0</v>
      </c>
    </row>
    <row r="583" spans="1:6" x14ac:dyDescent="0.25">
      <c r="A583" s="79">
        <v>10580</v>
      </c>
      <c r="B583" s="77">
        <f t="shared" si="25"/>
        <v>2</v>
      </c>
      <c r="C583" s="77">
        <v>2</v>
      </c>
      <c r="D583" s="77">
        <v>1</v>
      </c>
      <c r="E583" s="77">
        <f t="shared" si="26"/>
        <v>12125</v>
      </c>
      <c r="F583" s="77">
        <f t="shared" si="27"/>
        <v>0</v>
      </c>
    </row>
    <row r="584" spans="1:6" x14ac:dyDescent="0.25">
      <c r="A584" s="79">
        <v>10581</v>
      </c>
      <c r="B584" s="77">
        <f t="shared" si="25"/>
        <v>2</v>
      </c>
      <c r="C584" s="77">
        <v>2</v>
      </c>
      <c r="D584" s="77">
        <v>1</v>
      </c>
      <c r="E584" s="77">
        <f t="shared" si="26"/>
        <v>12126</v>
      </c>
      <c r="F584" s="77">
        <f t="shared" si="27"/>
        <v>0</v>
      </c>
    </row>
    <row r="585" spans="1:6" x14ac:dyDescent="0.25">
      <c r="A585" s="79">
        <v>10582</v>
      </c>
      <c r="B585" s="77">
        <f t="shared" si="25"/>
        <v>2</v>
      </c>
      <c r="C585" s="77">
        <v>2</v>
      </c>
      <c r="D585" s="77">
        <v>1</v>
      </c>
      <c r="E585" s="77">
        <f t="shared" si="26"/>
        <v>12127</v>
      </c>
      <c r="F585" s="77">
        <f t="shared" si="27"/>
        <v>0</v>
      </c>
    </row>
    <row r="586" spans="1:6" x14ac:dyDescent="0.25">
      <c r="A586" s="79">
        <v>10583</v>
      </c>
      <c r="B586" s="77">
        <f t="shared" si="25"/>
        <v>2</v>
      </c>
      <c r="C586" s="77">
        <v>2</v>
      </c>
      <c r="D586" s="77">
        <v>1</v>
      </c>
      <c r="E586" s="77">
        <f t="shared" si="26"/>
        <v>12128</v>
      </c>
      <c r="F586" s="77">
        <f t="shared" si="27"/>
        <v>0</v>
      </c>
    </row>
    <row r="587" spans="1:6" x14ac:dyDescent="0.25">
      <c r="A587" s="79">
        <v>10584</v>
      </c>
      <c r="B587" s="77">
        <f t="shared" si="25"/>
        <v>2</v>
      </c>
      <c r="C587" s="77">
        <v>2</v>
      </c>
      <c r="D587" s="77">
        <v>1</v>
      </c>
      <c r="E587" s="77">
        <f t="shared" si="26"/>
        <v>12129</v>
      </c>
      <c r="F587" s="77">
        <f t="shared" si="27"/>
        <v>0</v>
      </c>
    </row>
    <row r="588" spans="1:6" x14ac:dyDescent="0.25">
      <c r="A588" s="79">
        <v>10585</v>
      </c>
      <c r="B588" s="77">
        <f t="shared" si="25"/>
        <v>2</v>
      </c>
      <c r="C588" s="77">
        <v>2</v>
      </c>
      <c r="D588" s="77">
        <v>1</v>
      </c>
      <c r="E588" s="77">
        <f t="shared" si="26"/>
        <v>12130</v>
      </c>
      <c r="F588" s="77">
        <f t="shared" si="27"/>
        <v>0</v>
      </c>
    </row>
    <row r="589" spans="1:6" x14ac:dyDescent="0.25">
      <c r="A589" s="79">
        <v>10586</v>
      </c>
      <c r="B589" s="77">
        <f t="shared" si="25"/>
        <v>3</v>
      </c>
      <c r="C589" s="77">
        <v>2</v>
      </c>
      <c r="D589" s="77">
        <v>1</v>
      </c>
      <c r="E589" s="77">
        <f t="shared" si="26"/>
        <v>12101</v>
      </c>
      <c r="F589" s="77">
        <f t="shared" si="27"/>
        <v>0</v>
      </c>
    </row>
    <row r="590" spans="1:6" x14ac:dyDescent="0.25">
      <c r="A590" s="79">
        <v>10587</v>
      </c>
      <c r="B590" s="77">
        <f t="shared" si="25"/>
        <v>3</v>
      </c>
      <c r="C590" s="77">
        <v>2</v>
      </c>
      <c r="D590" s="77">
        <v>1</v>
      </c>
      <c r="E590" s="77">
        <f t="shared" si="26"/>
        <v>12102</v>
      </c>
      <c r="F590" s="77">
        <f t="shared" si="27"/>
        <v>0</v>
      </c>
    </row>
    <row r="591" spans="1:6" x14ac:dyDescent="0.25">
      <c r="A591" s="79">
        <v>10588</v>
      </c>
      <c r="B591" s="77">
        <f t="shared" si="25"/>
        <v>3</v>
      </c>
      <c r="C591" s="77">
        <v>2</v>
      </c>
      <c r="D591" s="77">
        <v>1</v>
      </c>
      <c r="E591" s="77">
        <f t="shared" si="26"/>
        <v>12103</v>
      </c>
      <c r="F591" s="77">
        <f t="shared" si="27"/>
        <v>0</v>
      </c>
    </row>
    <row r="592" spans="1:6" x14ac:dyDescent="0.25">
      <c r="A592" s="79">
        <v>10589</v>
      </c>
      <c r="B592" s="77">
        <f t="shared" si="25"/>
        <v>3</v>
      </c>
      <c r="C592" s="77">
        <v>2</v>
      </c>
      <c r="D592" s="77">
        <v>1</v>
      </c>
      <c r="E592" s="77">
        <f t="shared" si="26"/>
        <v>12104</v>
      </c>
      <c r="F592" s="77">
        <f t="shared" si="27"/>
        <v>0</v>
      </c>
    </row>
    <row r="593" spans="1:6" x14ac:dyDescent="0.25">
      <c r="A593" s="79">
        <v>10590</v>
      </c>
      <c r="B593" s="77">
        <f t="shared" si="25"/>
        <v>3</v>
      </c>
      <c r="C593" s="77">
        <v>2</v>
      </c>
      <c r="D593" s="77">
        <v>1</v>
      </c>
      <c r="E593" s="77">
        <f t="shared" si="26"/>
        <v>12105</v>
      </c>
      <c r="F593" s="77">
        <f t="shared" si="27"/>
        <v>0</v>
      </c>
    </row>
    <row r="594" spans="1:6" x14ac:dyDescent="0.25">
      <c r="A594" s="79">
        <v>10591</v>
      </c>
      <c r="B594" s="77">
        <f t="shared" si="25"/>
        <v>3</v>
      </c>
      <c r="C594" s="77">
        <v>2</v>
      </c>
      <c r="D594" s="77">
        <v>1</v>
      </c>
      <c r="E594" s="77">
        <f t="shared" si="26"/>
        <v>12106</v>
      </c>
      <c r="F594" s="77">
        <f t="shared" si="27"/>
        <v>10</v>
      </c>
    </row>
    <row r="595" spans="1:6" x14ac:dyDescent="0.25">
      <c r="A595" s="79">
        <v>10592</v>
      </c>
      <c r="B595" s="77">
        <f t="shared" si="25"/>
        <v>3</v>
      </c>
      <c r="C595" s="77">
        <v>2</v>
      </c>
      <c r="D595" s="77">
        <v>1</v>
      </c>
      <c r="E595" s="77">
        <f t="shared" si="26"/>
        <v>12107</v>
      </c>
      <c r="F595" s="77">
        <f t="shared" si="27"/>
        <v>10</v>
      </c>
    </row>
    <row r="596" spans="1:6" x14ac:dyDescent="0.25">
      <c r="A596" s="79">
        <v>10593</v>
      </c>
      <c r="B596" s="77">
        <f t="shared" si="25"/>
        <v>3</v>
      </c>
      <c r="C596" s="77">
        <v>2</v>
      </c>
      <c r="D596" s="77">
        <v>1</v>
      </c>
      <c r="E596" s="77">
        <f t="shared" si="26"/>
        <v>12108</v>
      </c>
      <c r="F596" s="77">
        <f t="shared" si="27"/>
        <v>10</v>
      </c>
    </row>
    <row r="597" spans="1:6" x14ac:dyDescent="0.25">
      <c r="A597" s="79">
        <v>10594</v>
      </c>
      <c r="B597" s="77">
        <f t="shared" si="25"/>
        <v>3</v>
      </c>
      <c r="C597" s="77">
        <v>2</v>
      </c>
      <c r="D597" s="77">
        <v>1</v>
      </c>
      <c r="E597" s="77">
        <f t="shared" si="26"/>
        <v>12109</v>
      </c>
      <c r="F597" s="77">
        <f t="shared" si="27"/>
        <v>10</v>
      </c>
    </row>
    <row r="598" spans="1:6" x14ac:dyDescent="0.25">
      <c r="A598" s="79">
        <v>10595</v>
      </c>
      <c r="B598" s="77">
        <f t="shared" si="25"/>
        <v>3</v>
      </c>
      <c r="C598" s="77">
        <v>2</v>
      </c>
      <c r="D598" s="77">
        <v>1</v>
      </c>
      <c r="E598" s="77">
        <f t="shared" si="26"/>
        <v>12110</v>
      </c>
      <c r="F598" s="77">
        <f t="shared" si="27"/>
        <v>10</v>
      </c>
    </row>
    <row r="599" spans="1:6" x14ac:dyDescent="0.25">
      <c r="A599" s="79">
        <v>10596</v>
      </c>
      <c r="B599" s="77">
        <f t="shared" si="25"/>
        <v>3</v>
      </c>
      <c r="C599" s="77">
        <v>2</v>
      </c>
      <c r="D599" s="77">
        <v>1</v>
      </c>
      <c r="E599" s="77">
        <f t="shared" si="26"/>
        <v>12111</v>
      </c>
      <c r="F599" s="77">
        <f t="shared" si="27"/>
        <v>10</v>
      </c>
    </row>
    <row r="600" spans="1:6" x14ac:dyDescent="0.25">
      <c r="A600" s="79">
        <v>10597</v>
      </c>
      <c r="B600" s="77">
        <f t="shared" si="25"/>
        <v>3</v>
      </c>
      <c r="C600" s="77">
        <v>2</v>
      </c>
      <c r="D600" s="77">
        <v>1</v>
      </c>
      <c r="E600" s="77">
        <f t="shared" si="26"/>
        <v>12112</v>
      </c>
      <c r="F600" s="77">
        <f t="shared" si="27"/>
        <v>10</v>
      </c>
    </row>
    <row r="601" spans="1:6" x14ac:dyDescent="0.25">
      <c r="A601" s="79">
        <v>10598</v>
      </c>
      <c r="B601" s="77">
        <f t="shared" si="25"/>
        <v>3</v>
      </c>
      <c r="C601" s="77">
        <v>2</v>
      </c>
      <c r="D601" s="77">
        <v>1</v>
      </c>
      <c r="E601" s="77">
        <f t="shared" si="26"/>
        <v>12113</v>
      </c>
      <c r="F601" s="77">
        <f t="shared" si="27"/>
        <v>10</v>
      </c>
    </row>
    <row r="602" spans="1:6" x14ac:dyDescent="0.25">
      <c r="A602" s="79">
        <v>10599</v>
      </c>
      <c r="B602" s="77">
        <f t="shared" si="25"/>
        <v>3</v>
      </c>
      <c r="C602" s="77">
        <v>2</v>
      </c>
      <c r="D602" s="77">
        <v>1</v>
      </c>
      <c r="E602" s="77">
        <f t="shared" si="26"/>
        <v>12114</v>
      </c>
      <c r="F602" s="77">
        <f t="shared" si="27"/>
        <v>10</v>
      </c>
    </row>
    <row r="603" spans="1:6" x14ac:dyDescent="0.25">
      <c r="A603" s="79">
        <v>10600</v>
      </c>
      <c r="B603" s="77">
        <f t="shared" si="25"/>
        <v>3</v>
      </c>
      <c r="C603" s="77">
        <v>2</v>
      </c>
      <c r="D603" s="77">
        <v>1</v>
      </c>
      <c r="E603" s="77">
        <f t="shared" si="26"/>
        <v>12115</v>
      </c>
      <c r="F603" s="77">
        <f t="shared" si="27"/>
        <v>10</v>
      </c>
    </row>
    <row r="604" spans="1:6" x14ac:dyDescent="0.25">
      <c r="A604" s="79">
        <v>10601</v>
      </c>
      <c r="B604" s="77">
        <f t="shared" si="25"/>
        <v>3</v>
      </c>
      <c r="C604" s="77">
        <v>2</v>
      </c>
      <c r="D604" s="77">
        <v>1</v>
      </c>
      <c r="E604" s="77">
        <f t="shared" si="26"/>
        <v>12116</v>
      </c>
      <c r="F604" s="77">
        <f t="shared" si="27"/>
        <v>10</v>
      </c>
    </row>
    <row r="605" spans="1:6" x14ac:dyDescent="0.25">
      <c r="A605" s="79">
        <v>10602</v>
      </c>
      <c r="B605" s="77">
        <f t="shared" si="25"/>
        <v>3</v>
      </c>
      <c r="C605" s="77">
        <v>2</v>
      </c>
      <c r="D605" s="77">
        <v>1</v>
      </c>
      <c r="E605" s="77">
        <f t="shared" si="26"/>
        <v>12117</v>
      </c>
      <c r="F605" s="77">
        <f t="shared" si="27"/>
        <v>10</v>
      </c>
    </row>
    <row r="606" spans="1:6" x14ac:dyDescent="0.25">
      <c r="A606" s="79">
        <v>10603</v>
      </c>
      <c r="B606" s="77">
        <f t="shared" si="25"/>
        <v>3</v>
      </c>
      <c r="C606" s="77">
        <v>2</v>
      </c>
      <c r="D606" s="77">
        <v>1</v>
      </c>
      <c r="E606" s="77">
        <f t="shared" si="26"/>
        <v>12118</v>
      </c>
      <c r="F606" s="77">
        <f t="shared" si="27"/>
        <v>10</v>
      </c>
    </row>
    <row r="607" spans="1:6" x14ac:dyDescent="0.25">
      <c r="A607" s="79">
        <v>10604</v>
      </c>
      <c r="B607" s="77">
        <f t="shared" si="25"/>
        <v>3</v>
      </c>
      <c r="C607" s="77">
        <v>2</v>
      </c>
      <c r="D607" s="77">
        <v>1</v>
      </c>
      <c r="E607" s="77">
        <f t="shared" si="26"/>
        <v>12119</v>
      </c>
      <c r="F607" s="77">
        <f t="shared" si="27"/>
        <v>10</v>
      </c>
    </row>
    <row r="608" spans="1:6" x14ac:dyDescent="0.25">
      <c r="A608" s="79">
        <v>10605</v>
      </c>
      <c r="B608" s="77">
        <f t="shared" si="25"/>
        <v>3</v>
      </c>
      <c r="C608" s="77">
        <v>2</v>
      </c>
      <c r="D608" s="77">
        <v>1</v>
      </c>
      <c r="E608" s="77">
        <f t="shared" si="26"/>
        <v>12120</v>
      </c>
      <c r="F608" s="77">
        <f t="shared" si="27"/>
        <v>10</v>
      </c>
    </row>
    <row r="609" spans="1:6" x14ac:dyDescent="0.25">
      <c r="A609" s="79">
        <v>10606</v>
      </c>
      <c r="B609" s="77">
        <f t="shared" si="25"/>
        <v>3</v>
      </c>
      <c r="C609" s="77">
        <v>2</v>
      </c>
      <c r="D609" s="77">
        <v>1</v>
      </c>
      <c r="E609" s="77">
        <f t="shared" si="26"/>
        <v>12121</v>
      </c>
      <c r="F609" s="77">
        <f t="shared" si="27"/>
        <v>10</v>
      </c>
    </row>
    <row r="610" spans="1:6" x14ac:dyDescent="0.25">
      <c r="A610" s="79">
        <v>10607</v>
      </c>
      <c r="B610" s="77">
        <f t="shared" si="25"/>
        <v>3</v>
      </c>
      <c r="C610" s="77">
        <v>2</v>
      </c>
      <c r="D610" s="77">
        <v>1</v>
      </c>
      <c r="E610" s="77">
        <f t="shared" si="26"/>
        <v>12122</v>
      </c>
      <c r="F610" s="77">
        <f t="shared" si="27"/>
        <v>10</v>
      </c>
    </row>
    <row r="611" spans="1:6" x14ac:dyDescent="0.25">
      <c r="A611" s="79">
        <v>10608</v>
      </c>
      <c r="B611" s="77">
        <f t="shared" si="25"/>
        <v>3</v>
      </c>
      <c r="C611" s="77">
        <v>2</v>
      </c>
      <c r="D611" s="77">
        <v>1</v>
      </c>
      <c r="E611" s="77">
        <f t="shared" si="26"/>
        <v>12123</v>
      </c>
      <c r="F611" s="77">
        <f t="shared" si="27"/>
        <v>0</v>
      </c>
    </row>
    <row r="612" spans="1:6" x14ac:dyDescent="0.25">
      <c r="A612" s="79">
        <v>10609</v>
      </c>
      <c r="B612" s="77">
        <f t="shared" si="25"/>
        <v>3</v>
      </c>
      <c r="C612" s="77">
        <v>2</v>
      </c>
      <c r="D612" s="77">
        <v>1</v>
      </c>
      <c r="E612" s="77">
        <f t="shared" si="26"/>
        <v>12124</v>
      </c>
      <c r="F612" s="77">
        <f t="shared" si="27"/>
        <v>0</v>
      </c>
    </row>
    <row r="613" spans="1:6" x14ac:dyDescent="0.25">
      <c r="A613" s="79">
        <v>10610</v>
      </c>
      <c r="B613" s="77">
        <f t="shared" si="25"/>
        <v>3</v>
      </c>
      <c r="C613" s="77">
        <v>2</v>
      </c>
      <c r="D613" s="77">
        <v>1</v>
      </c>
      <c r="E613" s="77">
        <f t="shared" si="26"/>
        <v>12125</v>
      </c>
      <c r="F613" s="77">
        <f t="shared" si="27"/>
        <v>0</v>
      </c>
    </row>
    <row r="614" spans="1:6" x14ac:dyDescent="0.25">
      <c r="A614" s="79">
        <v>10611</v>
      </c>
      <c r="B614" s="77">
        <f t="shared" si="25"/>
        <v>3</v>
      </c>
      <c r="C614" s="77">
        <v>2</v>
      </c>
      <c r="D614" s="77">
        <v>1</v>
      </c>
      <c r="E614" s="77">
        <f t="shared" si="26"/>
        <v>12126</v>
      </c>
      <c r="F614" s="77">
        <f t="shared" si="27"/>
        <v>0</v>
      </c>
    </row>
    <row r="615" spans="1:6" x14ac:dyDescent="0.25">
      <c r="A615" s="79">
        <v>10612</v>
      </c>
      <c r="B615" s="77">
        <f t="shared" si="25"/>
        <v>3</v>
      </c>
      <c r="C615" s="77">
        <v>2</v>
      </c>
      <c r="D615" s="77">
        <v>1</v>
      </c>
      <c r="E615" s="77">
        <f t="shared" si="26"/>
        <v>12127</v>
      </c>
      <c r="F615" s="77">
        <f t="shared" si="27"/>
        <v>0</v>
      </c>
    </row>
    <row r="616" spans="1:6" x14ac:dyDescent="0.25">
      <c r="A616" s="79">
        <v>10613</v>
      </c>
      <c r="B616" s="77">
        <f t="shared" si="25"/>
        <v>3</v>
      </c>
      <c r="C616" s="77">
        <v>2</v>
      </c>
      <c r="D616" s="77">
        <v>1</v>
      </c>
      <c r="E616" s="77">
        <f t="shared" si="26"/>
        <v>12128</v>
      </c>
      <c r="F616" s="77">
        <f t="shared" si="27"/>
        <v>0</v>
      </c>
    </row>
    <row r="617" spans="1:6" x14ac:dyDescent="0.25">
      <c r="A617" s="79">
        <v>10614</v>
      </c>
      <c r="B617" s="77">
        <f t="shared" si="25"/>
        <v>3</v>
      </c>
      <c r="C617" s="77">
        <v>2</v>
      </c>
      <c r="D617" s="77">
        <v>1</v>
      </c>
      <c r="E617" s="77">
        <f t="shared" si="26"/>
        <v>12129</v>
      </c>
      <c r="F617" s="77">
        <f t="shared" si="27"/>
        <v>0</v>
      </c>
    </row>
    <row r="618" spans="1:6" x14ac:dyDescent="0.25">
      <c r="A618" s="79">
        <v>10615</v>
      </c>
      <c r="B618" s="77">
        <f t="shared" si="25"/>
        <v>3</v>
      </c>
      <c r="C618" s="77">
        <v>2</v>
      </c>
      <c r="D618" s="77">
        <v>1</v>
      </c>
      <c r="E618" s="77">
        <f t="shared" si="26"/>
        <v>12130</v>
      </c>
      <c r="F618" s="77">
        <f t="shared" si="27"/>
        <v>0</v>
      </c>
    </row>
    <row r="619" spans="1:6" x14ac:dyDescent="0.25">
      <c r="A619" s="79">
        <v>10616</v>
      </c>
      <c r="B619" s="77">
        <f t="shared" si="25"/>
        <v>4</v>
      </c>
      <c r="C619" s="77">
        <v>2</v>
      </c>
      <c r="D619" s="77">
        <v>1</v>
      </c>
      <c r="E619" s="77">
        <f t="shared" si="26"/>
        <v>12101</v>
      </c>
      <c r="F619" s="77">
        <f t="shared" si="27"/>
        <v>0</v>
      </c>
    </row>
    <row r="620" spans="1:6" x14ac:dyDescent="0.25">
      <c r="A620" s="79">
        <v>10617</v>
      </c>
      <c r="B620" s="77">
        <f t="shared" si="25"/>
        <v>4</v>
      </c>
      <c r="C620" s="77">
        <v>2</v>
      </c>
      <c r="D620" s="77">
        <v>1</v>
      </c>
      <c r="E620" s="77">
        <f t="shared" si="26"/>
        <v>12102</v>
      </c>
      <c r="F620" s="77">
        <f t="shared" si="27"/>
        <v>0</v>
      </c>
    </row>
    <row r="621" spans="1:6" x14ac:dyDescent="0.25">
      <c r="A621" s="79">
        <v>10618</v>
      </c>
      <c r="B621" s="77">
        <f t="shared" si="25"/>
        <v>4</v>
      </c>
      <c r="C621" s="77">
        <v>2</v>
      </c>
      <c r="D621" s="77">
        <v>1</v>
      </c>
      <c r="E621" s="77">
        <f t="shared" si="26"/>
        <v>12103</v>
      </c>
      <c r="F621" s="77">
        <f t="shared" si="27"/>
        <v>0</v>
      </c>
    </row>
    <row r="622" spans="1:6" x14ac:dyDescent="0.25">
      <c r="A622" s="79">
        <v>10619</v>
      </c>
      <c r="B622" s="77">
        <f t="shared" si="25"/>
        <v>4</v>
      </c>
      <c r="C622" s="77">
        <v>2</v>
      </c>
      <c r="D622" s="77">
        <v>1</v>
      </c>
      <c r="E622" s="77">
        <f t="shared" si="26"/>
        <v>12104</v>
      </c>
      <c r="F622" s="77">
        <f t="shared" si="27"/>
        <v>0</v>
      </c>
    </row>
    <row r="623" spans="1:6" x14ac:dyDescent="0.25">
      <c r="A623" s="79">
        <v>10620</v>
      </c>
      <c r="B623" s="77">
        <f t="shared" si="25"/>
        <v>4</v>
      </c>
      <c r="C623" s="77">
        <v>2</v>
      </c>
      <c r="D623" s="77">
        <v>1</v>
      </c>
      <c r="E623" s="77">
        <f t="shared" si="26"/>
        <v>12105</v>
      </c>
      <c r="F623" s="77">
        <f t="shared" si="27"/>
        <v>0</v>
      </c>
    </row>
    <row r="624" spans="1:6" x14ac:dyDescent="0.25">
      <c r="A624" s="79">
        <v>10621</v>
      </c>
      <c r="B624" s="77">
        <f t="shared" ref="B624:B661" si="28">B594+1</f>
        <v>4</v>
      </c>
      <c r="C624" s="77">
        <v>2</v>
      </c>
      <c r="D624" s="77">
        <v>1</v>
      </c>
      <c r="E624" s="77">
        <f t="shared" ref="E624:E687" si="29">E594</f>
        <v>12106</v>
      </c>
      <c r="F624" s="77">
        <f t="shared" si="27"/>
        <v>0</v>
      </c>
    </row>
    <row r="625" spans="1:6" x14ac:dyDescent="0.25">
      <c r="A625" s="79">
        <v>10622</v>
      </c>
      <c r="B625" s="77">
        <f t="shared" si="28"/>
        <v>4</v>
      </c>
      <c r="C625" s="77">
        <v>2</v>
      </c>
      <c r="D625" s="77">
        <v>1</v>
      </c>
      <c r="E625" s="77">
        <f t="shared" si="29"/>
        <v>12107</v>
      </c>
      <c r="F625" s="77">
        <f t="shared" ref="F625:F688" si="30">VLOOKUP(RIGHT(E625,2)*1,$K$529:$R$559,B625+1,0)</f>
        <v>0</v>
      </c>
    </row>
    <row r="626" spans="1:6" x14ac:dyDescent="0.25">
      <c r="A626" s="79">
        <v>10623</v>
      </c>
      <c r="B626" s="77">
        <f t="shared" si="28"/>
        <v>4</v>
      </c>
      <c r="C626" s="77">
        <v>2</v>
      </c>
      <c r="D626" s="77">
        <v>1</v>
      </c>
      <c r="E626" s="77">
        <f t="shared" si="29"/>
        <v>12108</v>
      </c>
      <c r="F626" s="77">
        <f t="shared" si="30"/>
        <v>0</v>
      </c>
    </row>
    <row r="627" spans="1:6" x14ac:dyDescent="0.25">
      <c r="A627" s="79">
        <v>10624</v>
      </c>
      <c r="B627" s="77">
        <f t="shared" si="28"/>
        <v>4</v>
      </c>
      <c r="C627" s="77">
        <v>2</v>
      </c>
      <c r="D627" s="77">
        <v>1</v>
      </c>
      <c r="E627" s="77">
        <f t="shared" si="29"/>
        <v>12109</v>
      </c>
      <c r="F627" s="77">
        <f t="shared" si="30"/>
        <v>10</v>
      </c>
    </row>
    <row r="628" spans="1:6" x14ac:dyDescent="0.25">
      <c r="A628" s="79">
        <v>10625</v>
      </c>
      <c r="B628" s="77">
        <f t="shared" si="28"/>
        <v>4</v>
      </c>
      <c r="C628" s="77">
        <v>2</v>
      </c>
      <c r="D628" s="77">
        <v>1</v>
      </c>
      <c r="E628" s="77">
        <f t="shared" si="29"/>
        <v>12110</v>
      </c>
      <c r="F628" s="77">
        <f t="shared" si="30"/>
        <v>10</v>
      </c>
    </row>
    <row r="629" spans="1:6" x14ac:dyDescent="0.25">
      <c r="A629" s="79">
        <v>10626</v>
      </c>
      <c r="B629" s="77">
        <f t="shared" si="28"/>
        <v>4</v>
      </c>
      <c r="C629" s="77">
        <v>2</v>
      </c>
      <c r="D629" s="77">
        <v>1</v>
      </c>
      <c r="E629" s="77">
        <f t="shared" si="29"/>
        <v>12111</v>
      </c>
      <c r="F629" s="77">
        <f t="shared" si="30"/>
        <v>10</v>
      </c>
    </row>
    <row r="630" spans="1:6" x14ac:dyDescent="0.25">
      <c r="A630" s="79">
        <v>10627</v>
      </c>
      <c r="B630" s="77">
        <f t="shared" si="28"/>
        <v>4</v>
      </c>
      <c r="C630" s="77">
        <v>2</v>
      </c>
      <c r="D630" s="77">
        <v>1</v>
      </c>
      <c r="E630" s="77">
        <f t="shared" si="29"/>
        <v>12112</v>
      </c>
      <c r="F630" s="77">
        <f t="shared" si="30"/>
        <v>10</v>
      </c>
    </row>
    <row r="631" spans="1:6" x14ac:dyDescent="0.25">
      <c r="A631" s="79">
        <v>10628</v>
      </c>
      <c r="B631" s="77">
        <f t="shared" si="28"/>
        <v>4</v>
      </c>
      <c r="C631" s="77">
        <v>2</v>
      </c>
      <c r="D631" s="77">
        <v>1</v>
      </c>
      <c r="E631" s="77">
        <f t="shared" si="29"/>
        <v>12113</v>
      </c>
      <c r="F631" s="77">
        <f t="shared" si="30"/>
        <v>10</v>
      </c>
    </row>
    <row r="632" spans="1:6" x14ac:dyDescent="0.25">
      <c r="A632" s="79">
        <v>10629</v>
      </c>
      <c r="B632" s="77">
        <f t="shared" si="28"/>
        <v>4</v>
      </c>
      <c r="C632" s="77">
        <v>2</v>
      </c>
      <c r="D632" s="77">
        <v>1</v>
      </c>
      <c r="E632" s="77">
        <f t="shared" si="29"/>
        <v>12114</v>
      </c>
      <c r="F632" s="77">
        <f t="shared" si="30"/>
        <v>10</v>
      </c>
    </row>
    <row r="633" spans="1:6" x14ac:dyDescent="0.25">
      <c r="A633" s="79">
        <v>10630</v>
      </c>
      <c r="B633" s="77">
        <f t="shared" si="28"/>
        <v>4</v>
      </c>
      <c r="C633" s="77">
        <v>2</v>
      </c>
      <c r="D633" s="77">
        <v>1</v>
      </c>
      <c r="E633" s="77">
        <f t="shared" si="29"/>
        <v>12115</v>
      </c>
      <c r="F633" s="77">
        <f t="shared" si="30"/>
        <v>10</v>
      </c>
    </row>
    <row r="634" spans="1:6" x14ac:dyDescent="0.25">
      <c r="A634" s="79">
        <v>10631</v>
      </c>
      <c r="B634" s="77">
        <f t="shared" si="28"/>
        <v>4</v>
      </c>
      <c r="C634" s="77">
        <v>2</v>
      </c>
      <c r="D634" s="77">
        <v>1</v>
      </c>
      <c r="E634" s="77">
        <f t="shared" si="29"/>
        <v>12116</v>
      </c>
      <c r="F634" s="77">
        <f t="shared" si="30"/>
        <v>10</v>
      </c>
    </row>
    <row r="635" spans="1:6" x14ac:dyDescent="0.25">
      <c r="A635" s="79">
        <v>10632</v>
      </c>
      <c r="B635" s="77">
        <f t="shared" si="28"/>
        <v>4</v>
      </c>
      <c r="C635" s="77">
        <v>2</v>
      </c>
      <c r="D635" s="77">
        <v>1</v>
      </c>
      <c r="E635" s="77">
        <f t="shared" si="29"/>
        <v>12117</v>
      </c>
      <c r="F635" s="77">
        <f t="shared" si="30"/>
        <v>10</v>
      </c>
    </row>
    <row r="636" spans="1:6" x14ac:dyDescent="0.25">
      <c r="A636" s="79">
        <v>10633</v>
      </c>
      <c r="B636" s="77">
        <f t="shared" si="28"/>
        <v>4</v>
      </c>
      <c r="C636" s="77">
        <v>2</v>
      </c>
      <c r="D636" s="77">
        <v>1</v>
      </c>
      <c r="E636" s="77">
        <f t="shared" si="29"/>
        <v>12118</v>
      </c>
      <c r="F636" s="77">
        <f t="shared" si="30"/>
        <v>10</v>
      </c>
    </row>
    <row r="637" spans="1:6" x14ac:dyDescent="0.25">
      <c r="A637" s="79">
        <v>10634</v>
      </c>
      <c r="B637" s="77">
        <f t="shared" si="28"/>
        <v>4</v>
      </c>
      <c r="C637" s="77">
        <v>2</v>
      </c>
      <c r="D637" s="77">
        <v>1</v>
      </c>
      <c r="E637" s="77">
        <f t="shared" si="29"/>
        <v>12119</v>
      </c>
      <c r="F637" s="77">
        <f t="shared" si="30"/>
        <v>10</v>
      </c>
    </row>
    <row r="638" spans="1:6" x14ac:dyDescent="0.25">
      <c r="A638" s="79">
        <v>10635</v>
      </c>
      <c r="B638" s="77">
        <f t="shared" si="28"/>
        <v>4</v>
      </c>
      <c r="C638" s="77">
        <v>2</v>
      </c>
      <c r="D638" s="77">
        <v>1</v>
      </c>
      <c r="E638" s="77">
        <f t="shared" si="29"/>
        <v>12120</v>
      </c>
      <c r="F638" s="77">
        <f t="shared" si="30"/>
        <v>10</v>
      </c>
    </row>
    <row r="639" spans="1:6" x14ac:dyDescent="0.25">
      <c r="A639" s="79">
        <v>10636</v>
      </c>
      <c r="B639" s="77">
        <f t="shared" si="28"/>
        <v>4</v>
      </c>
      <c r="C639" s="77">
        <v>2</v>
      </c>
      <c r="D639" s="77">
        <v>1</v>
      </c>
      <c r="E639" s="77">
        <f t="shared" si="29"/>
        <v>12121</v>
      </c>
      <c r="F639" s="77">
        <f t="shared" si="30"/>
        <v>10</v>
      </c>
    </row>
    <row r="640" spans="1:6" x14ac:dyDescent="0.25">
      <c r="A640" s="79">
        <v>10637</v>
      </c>
      <c r="B640" s="77">
        <f t="shared" si="28"/>
        <v>4</v>
      </c>
      <c r="C640" s="77">
        <v>2</v>
      </c>
      <c r="D640" s="77">
        <v>1</v>
      </c>
      <c r="E640" s="77">
        <f t="shared" si="29"/>
        <v>12122</v>
      </c>
      <c r="F640" s="77">
        <f t="shared" si="30"/>
        <v>10</v>
      </c>
    </row>
    <row r="641" spans="1:6" x14ac:dyDescent="0.25">
      <c r="A641" s="79">
        <v>10638</v>
      </c>
      <c r="B641" s="77">
        <f t="shared" si="28"/>
        <v>4</v>
      </c>
      <c r="C641" s="77">
        <v>2</v>
      </c>
      <c r="D641" s="77">
        <v>1</v>
      </c>
      <c r="E641" s="77">
        <f t="shared" si="29"/>
        <v>12123</v>
      </c>
      <c r="F641" s="77">
        <f t="shared" si="30"/>
        <v>10</v>
      </c>
    </row>
    <row r="642" spans="1:6" x14ac:dyDescent="0.25">
      <c r="A642" s="79">
        <v>10639</v>
      </c>
      <c r="B642" s="77">
        <f t="shared" si="28"/>
        <v>4</v>
      </c>
      <c r="C642" s="77">
        <v>2</v>
      </c>
      <c r="D642" s="77">
        <v>1</v>
      </c>
      <c r="E642" s="77">
        <f t="shared" si="29"/>
        <v>12124</v>
      </c>
      <c r="F642" s="77">
        <f t="shared" si="30"/>
        <v>10</v>
      </c>
    </row>
    <row r="643" spans="1:6" x14ac:dyDescent="0.25">
      <c r="A643" s="79">
        <v>10640</v>
      </c>
      <c r="B643" s="77">
        <f t="shared" si="28"/>
        <v>4</v>
      </c>
      <c r="C643" s="77">
        <v>2</v>
      </c>
      <c r="D643" s="77">
        <v>1</v>
      </c>
      <c r="E643" s="77">
        <f t="shared" si="29"/>
        <v>12125</v>
      </c>
      <c r="F643" s="77">
        <f t="shared" si="30"/>
        <v>10</v>
      </c>
    </row>
    <row r="644" spans="1:6" x14ac:dyDescent="0.25">
      <c r="A644" s="79">
        <v>10641</v>
      </c>
      <c r="B644" s="77">
        <f t="shared" si="28"/>
        <v>4</v>
      </c>
      <c r="C644" s="77">
        <v>2</v>
      </c>
      <c r="D644" s="77">
        <v>1</v>
      </c>
      <c r="E644" s="77">
        <f t="shared" si="29"/>
        <v>12126</v>
      </c>
      <c r="F644" s="77">
        <f t="shared" si="30"/>
        <v>0</v>
      </c>
    </row>
    <row r="645" spans="1:6" x14ac:dyDescent="0.25">
      <c r="A645" s="79">
        <v>10642</v>
      </c>
      <c r="B645" s="77">
        <f t="shared" si="28"/>
        <v>4</v>
      </c>
      <c r="C645" s="77">
        <v>2</v>
      </c>
      <c r="D645" s="77">
        <v>1</v>
      </c>
      <c r="E645" s="77">
        <f t="shared" si="29"/>
        <v>12127</v>
      </c>
      <c r="F645" s="77">
        <f t="shared" si="30"/>
        <v>0</v>
      </c>
    </row>
    <row r="646" spans="1:6" x14ac:dyDescent="0.25">
      <c r="A646" s="79">
        <v>10643</v>
      </c>
      <c r="B646" s="77">
        <f t="shared" si="28"/>
        <v>4</v>
      </c>
      <c r="C646" s="77">
        <v>2</v>
      </c>
      <c r="D646" s="77">
        <v>1</v>
      </c>
      <c r="E646" s="77">
        <f t="shared" si="29"/>
        <v>12128</v>
      </c>
      <c r="F646" s="77">
        <f t="shared" si="30"/>
        <v>0</v>
      </c>
    </row>
    <row r="647" spans="1:6" x14ac:dyDescent="0.25">
      <c r="A647" s="79">
        <v>10644</v>
      </c>
      <c r="B647" s="77">
        <f t="shared" si="28"/>
        <v>4</v>
      </c>
      <c r="C647" s="77">
        <v>2</v>
      </c>
      <c r="D647" s="77">
        <v>1</v>
      </c>
      <c r="E647" s="77">
        <f t="shared" si="29"/>
        <v>12129</v>
      </c>
      <c r="F647" s="77">
        <f t="shared" si="30"/>
        <v>0</v>
      </c>
    </row>
    <row r="648" spans="1:6" x14ac:dyDescent="0.25">
      <c r="A648" s="79">
        <v>10645</v>
      </c>
      <c r="B648" s="77">
        <f t="shared" si="28"/>
        <v>4</v>
      </c>
      <c r="C648" s="77">
        <v>2</v>
      </c>
      <c r="D648" s="77">
        <v>1</v>
      </c>
      <c r="E648" s="77">
        <f t="shared" si="29"/>
        <v>12130</v>
      </c>
      <c r="F648" s="77">
        <f t="shared" si="30"/>
        <v>0</v>
      </c>
    </row>
    <row r="649" spans="1:6" x14ac:dyDescent="0.25">
      <c r="A649" s="79">
        <v>10646</v>
      </c>
      <c r="B649" s="77">
        <f t="shared" si="28"/>
        <v>5</v>
      </c>
      <c r="C649" s="77">
        <v>2</v>
      </c>
      <c r="D649" s="77">
        <v>1</v>
      </c>
      <c r="E649" s="77">
        <f t="shared" si="29"/>
        <v>12101</v>
      </c>
      <c r="F649" s="77">
        <f t="shared" si="30"/>
        <v>0</v>
      </c>
    </row>
    <row r="650" spans="1:6" x14ac:dyDescent="0.25">
      <c r="A650" s="79">
        <v>10647</v>
      </c>
      <c r="B650" s="77">
        <f t="shared" si="28"/>
        <v>5</v>
      </c>
      <c r="C650" s="77">
        <v>2</v>
      </c>
      <c r="D650" s="77">
        <v>1</v>
      </c>
      <c r="E650" s="77">
        <f t="shared" si="29"/>
        <v>12102</v>
      </c>
      <c r="F650" s="77">
        <f t="shared" si="30"/>
        <v>0</v>
      </c>
    </row>
    <row r="651" spans="1:6" x14ac:dyDescent="0.25">
      <c r="A651" s="79">
        <v>10648</v>
      </c>
      <c r="B651" s="77">
        <f t="shared" si="28"/>
        <v>5</v>
      </c>
      <c r="C651" s="77">
        <v>2</v>
      </c>
      <c r="D651" s="77">
        <v>1</v>
      </c>
      <c r="E651" s="77">
        <f t="shared" si="29"/>
        <v>12103</v>
      </c>
      <c r="F651" s="77">
        <f t="shared" si="30"/>
        <v>0</v>
      </c>
    </row>
    <row r="652" spans="1:6" x14ac:dyDescent="0.25">
      <c r="A652" s="79">
        <v>10649</v>
      </c>
      <c r="B652" s="77">
        <f t="shared" si="28"/>
        <v>5</v>
      </c>
      <c r="C652" s="77">
        <v>2</v>
      </c>
      <c r="D652" s="77">
        <v>1</v>
      </c>
      <c r="E652" s="77">
        <f t="shared" si="29"/>
        <v>12104</v>
      </c>
      <c r="F652" s="77">
        <f t="shared" si="30"/>
        <v>0</v>
      </c>
    </row>
    <row r="653" spans="1:6" x14ac:dyDescent="0.25">
      <c r="A653" s="79">
        <v>10650</v>
      </c>
      <c r="B653" s="77">
        <f t="shared" si="28"/>
        <v>5</v>
      </c>
      <c r="C653" s="77">
        <v>2</v>
      </c>
      <c r="D653" s="77">
        <v>1</v>
      </c>
      <c r="E653" s="77">
        <f t="shared" si="29"/>
        <v>12105</v>
      </c>
      <c r="F653" s="77">
        <f t="shared" si="30"/>
        <v>0</v>
      </c>
    </row>
    <row r="654" spans="1:6" x14ac:dyDescent="0.25">
      <c r="A654" s="79">
        <v>10651</v>
      </c>
      <c r="B654" s="77">
        <f t="shared" si="28"/>
        <v>5</v>
      </c>
      <c r="C654" s="77">
        <v>2</v>
      </c>
      <c r="D654" s="77">
        <v>1</v>
      </c>
      <c r="E654" s="77">
        <f t="shared" si="29"/>
        <v>12106</v>
      </c>
      <c r="F654" s="77">
        <f t="shared" si="30"/>
        <v>0</v>
      </c>
    </row>
    <row r="655" spans="1:6" x14ac:dyDescent="0.25">
      <c r="A655" s="79">
        <v>10652</v>
      </c>
      <c r="B655" s="77">
        <f t="shared" si="28"/>
        <v>5</v>
      </c>
      <c r="C655" s="77">
        <v>2</v>
      </c>
      <c r="D655" s="77">
        <v>1</v>
      </c>
      <c r="E655" s="77">
        <f t="shared" si="29"/>
        <v>12107</v>
      </c>
      <c r="F655" s="77">
        <f t="shared" si="30"/>
        <v>0</v>
      </c>
    </row>
    <row r="656" spans="1:6" x14ac:dyDescent="0.25">
      <c r="A656" s="79">
        <v>10653</v>
      </c>
      <c r="B656" s="77">
        <f t="shared" si="28"/>
        <v>5</v>
      </c>
      <c r="C656" s="77">
        <v>2</v>
      </c>
      <c r="D656" s="77">
        <v>1</v>
      </c>
      <c r="E656" s="77">
        <f t="shared" si="29"/>
        <v>12108</v>
      </c>
      <c r="F656" s="77">
        <f t="shared" si="30"/>
        <v>0</v>
      </c>
    </row>
    <row r="657" spans="1:6" x14ac:dyDescent="0.25">
      <c r="A657" s="79">
        <v>10654</v>
      </c>
      <c r="B657" s="77">
        <f t="shared" si="28"/>
        <v>5</v>
      </c>
      <c r="C657" s="77">
        <v>2</v>
      </c>
      <c r="D657" s="77">
        <v>1</v>
      </c>
      <c r="E657" s="77">
        <f t="shared" si="29"/>
        <v>12109</v>
      </c>
      <c r="F657" s="77">
        <f t="shared" si="30"/>
        <v>0</v>
      </c>
    </row>
    <row r="658" spans="1:6" x14ac:dyDescent="0.25">
      <c r="A658" s="79">
        <v>10655</v>
      </c>
      <c r="B658" s="77">
        <f t="shared" si="28"/>
        <v>5</v>
      </c>
      <c r="C658" s="77">
        <v>2</v>
      </c>
      <c r="D658" s="77">
        <v>1</v>
      </c>
      <c r="E658" s="77">
        <f t="shared" si="29"/>
        <v>12110</v>
      </c>
      <c r="F658" s="77">
        <f t="shared" si="30"/>
        <v>0</v>
      </c>
    </row>
    <row r="659" spans="1:6" x14ac:dyDescent="0.25">
      <c r="A659" s="79">
        <v>10656</v>
      </c>
      <c r="B659" s="77">
        <f t="shared" si="28"/>
        <v>5</v>
      </c>
      <c r="C659" s="77">
        <v>2</v>
      </c>
      <c r="D659" s="77">
        <v>1</v>
      </c>
      <c r="E659" s="77">
        <f t="shared" si="29"/>
        <v>12111</v>
      </c>
      <c r="F659" s="77">
        <f t="shared" si="30"/>
        <v>0</v>
      </c>
    </row>
    <row r="660" spans="1:6" x14ac:dyDescent="0.25">
      <c r="A660" s="79">
        <v>10657</v>
      </c>
      <c r="B660" s="77">
        <f t="shared" si="28"/>
        <v>5</v>
      </c>
      <c r="C660" s="77">
        <v>2</v>
      </c>
      <c r="D660" s="77">
        <v>1</v>
      </c>
      <c r="E660" s="77">
        <f t="shared" si="29"/>
        <v>12112</v>
      </c>
      <c r="F660" s="77">
        <f t="shared" si="30"/>
        <v>10</v>
      </c>
    </row>
    <row r="661" spans="1:6" x14ac:dyDescent="0.25">
      <c r="A661" s="79">
        <v>10658</v>
      </c>
      <c r="B661" s="77">
        <f t="shared" si="28"/>
        <v>5</v>
      </c>
      <c r="C661" s="77">
        <v>2</v>
      </c>
      <c r="D661" s="77">
        <v>1</v>
      </c>
      <c r="E661" s="77">
        <f t="shared" si="29"/>
        <v>12113</v>
      </c>
      <c r="F661" s="77">
        <f t="shared" si="30"/>
        <v>10</v>
      </c>
    </row>
    <row r="662" spans="1:6" x14ac:dyDescent="0.25">
      <c r="A662" s="79">
        <v>10659</v>
      </c>
      <c r="B662" s="77">
        <f t="shared" ref="B662:B725" si="31">B632+1</f>
        <v>5</v>
      </c>
      <c r="C662" s="77">
        <v>2</v>
      </c>
      <c r="D662" s="77">
        <v>1</v>
      </c>
      <c r="E662" s="77">
        <f t="shared" si="29"/>
        <v>12114</v>
      </c>
      <c r="F662" s="77">
        <f t="shared" si="30"/>
        <v>10</v>
      </c>
    </row>
    <row r="663" spans="1:6" x14ac:dyDescent="0.25">
      <c r="A663" s="79">
        <v>10660</v>
      </c>
      <c r="B663" s="77">
        <f t="shared" si="31"/>
        <v>5</v>
      </c>
      <c r="C663" s="77">
        <v>2</v>
      </c>
      <c r="D663" s="77">
        <v>1</v>
      </c>
      <c r="E663" s="77">
        <f t="shared" si="29"/>
        <v>12115</v>
      </c>
      <c r="F663" s="77">
        <f t="shared" si="30"/>
        <v>10</v>
      </c>
    </row>
    <row r="664" spans="1:6" x14ac:dyDescent="0.25">
      <c r="A664" s="79">
        <v>10661</v>
      </c>
      <c r="B664" s="77">
        <f t="shared" si="31"/>
        <v>5</v>
      </c>
      <c r="C664" s="77">
        <v>2</v>
      </c>
      <c r="D664" s="77">
        <v>1</v>
      </c>
      <c r="E664" s="77">
        <f t="shared" si="29"/>
        <v>12116</v>
      </c>
      <c r="F664" s="77">
        <f t="shared" si="30"/>
        <v>10</v>
      </c>
    </row>
    <row r="665" spans="1:6" x14ac:dyDescent="0.25">
      <c r="A665" s="79">
        <v>10662</v>
      </c>
      <c r="B665" s="77">
        <f t="shared" si="31"/>
        <v>5</v>
      </c>
      <c r="C665" s="77">
        <v>2</v>
      </c>
      <c r="D665" s="77">
        <v>1</v>
      </c>
      <c r="E665" s="77">
        <f t="shared" si="29"/>
        <v>12117</v>
      </c>
      <c r="F665" s="77">
        <f t="shared" si="30"/>
        <v>10</v>
      </c>
    </row>
    <row r="666" spans="1:6" x14ac:dyDescent="0.25">
      <c r="A666" s="79">
        <v>10663</v>
      </c>
      <c r="B666" s="77">
        <f t="shared" si="31"/>
        <v>5</v>
      </c>
      <c r="C666" s="77">
        <v>2</v>
      </c>
      <c r="D666" s="77">
        <v>1</v>
      </c>
      <c r="E666" s="77">
        <f t="shared" si="29"/>
        <v>12118</v>
      </c>
      <c r="F666" s="77">
        <f t="shared" si="30"/>
        <v>10</v>
      </c>
    </row>
    <row r="667" spans="1:6" x14ac:dyDescent="0.25">
      <c r="A667" s="79">
        <v>10664</v>
      </c>
      <c r="B667" s="77">
        <f t="shared" si="31"/>
        <v>5</v>
      </c>
      <c r="C667" s="77">
        <v>2</v>
      </c>
      <c r="D667" s="77">
        <v>1</v>
      </c>
      <c r="E667" s="77">
        <f t="shared" si="29"/>
        <v>12119</v>
      </c>
      <c r="F667" s="77">
        <f t="shared" si="30"/>
        <v>10</v>
      </c>
    </row>
    <row r="668" spans="1:6" x14ac:dyDescent="0.25">
      <c r="A668" s="79">
        <v>10665</v>
      </c>
      <c r="B668" s="77">
        <f t="shared" si="31"/>
        <v>5</v>
      </c>
      <c r="C668" s="77">
        <v>2</v>
      </c>
      <c r="D668" s="77">
        <v>1</v>
      </c>
      <c r="E668" s="77">
        <f t="shared" si="29"/>
        <v>12120</v>
      </c>
      <c r="F668" s="77">
        <f t="shared" si="30"/>
        <v>10</v>
      </c>
    </row>
    <row r="669" spans="1:6" x14ac:dyDescent="0.25">
      <c r="A669" s="79">
        <v>10666</v>
      </c>
      <c r="B669" s="77">
        <f t="shared" si="31"/>
        <v>5</v>
      </c>
      <c r="C669" s="77">
        <v>2</v>
      </c>
      <c r="D669" s="77">
        <v>1</v>
      </c>
      <c r="E669" s="77">
        <f t="shared" si="29"/>
        <v>12121</v>
      </c>
      <c r="F669" s="77">
        <f t="shared" si="30"/>
        <v>10</v>
      </c>
    </row>
    <row r="670" spans="1:6" x14ac:dyDescent="0.25">
      <c r="A670" s="79">
        <v>10667</v>
      </c>
      <c r="B670" s="77">
        <f t="shared" si="31"/>
        <v>5</v>
      </c>
      <c r="C670" s="77">
        <v>2</v>
      </c>
      <c r="D670" s="77">
        <v>1</v>
      </c>
      <c r="E670" s="77">
        <f t="shared" si="29"/>
        <v>12122</v>
      </c>
      <c r="F670" s="77">
        <f t="shared" si="30"/>
        <v>10</v>
      </c>
    </row>
    <row r="671" spans="1:6" x14ac:dyDescent="0.25">
      <c r="A671" s="79">
        <v>10668</v>
      </c>
      <c r="B671" s="77">
        <f t="shared" si="31"/>
        <v>5</v>
      </c>
      <c r="C671" s="77">
        <v>2</v>
      </c>
      <c r="D671" s="77">
        <v>1</v>
      </c>
      <c r="E671" s="77">
        <f t="shared" si="29"/>
        <v>12123</v>
      </c>
      <c r="F671" s="77">
        <f t="shared" si="30"/>
        <v>10</v>
      </c>
    </row>
    <row r="672" spans="1:6" x14ac:dyDescent="0.25">
      <c r="A672" s="79">
        <v>10669</v>
      </c>
      <c r="B672" s="77">
        <f t="shared" si="31"/>
        <v>5</v>
      </c>
      <c r="C672" s="77">
        <v>2</v>
      </c>
      <c r="D672" s="77">
        <v>1</v>
      </c>
      <c r="E672" s="77">
        <f t="shared" si="29"/>
        <v>12124</v>
      </c>
      <c r="F672" s="77">
        <f t="shared" si="30"/>
        <v>10</v>
      </c>
    </row>
    <row r="673" spans="1:6" x14ac:dyDescent="0.25">
      <c r="A673" s="79">
        <v>10670</v>
      </c>
      <c r="B673" s="77">
        <f t="shared" si="31"/>
        <v>5</v>
      </c>
      <c r="C673" s="77">
        <v>2</v>
      </c>
      <c r="D673" s="77">
        <v>1</v>
      </c>
      <c r="E673" s="77">
        <f t="shared" si="29"/>
        <v>12125</v>
      </c>
      <c r="F673" s="77">
        <f t="shared" si="30"/>
        <v>10</v>
      </c>
    </row>
    <row r="674" spans="1:6" x14ac:dyDescent="0.25">
      <c r="A674" s="79">
        <v>10671</v>
      </c>
      <c r="B674" s="77">
        <f t="shared" si="31"/>
        <v>5</v>
      </c>
      <c r="C674" s="77">
        <v>2</v>
      </c>
      <c r="D674" s="77">
        <v>1</v>
      </c>
      <c r="E674" s="77">
        <f t="shared" si="29"/>
        <v>12126</v>
      </c>
      <c r="F674" s="77">
        <f t="shared" si="30"/>
        <v>10</v>
      </c>
    </row>
    <row r="675" spans="1:6" x14ac:dyDescent="0.25">
      <c r="A675" s="79">
        <v>10672</v>
      </c>
      <c r="B675" s="77">
        <f t="shared" si="31"/>
        <v>5</v>
      </c>
      <c r="C675" s="77">
        <v>2</v>
      </c>
      <c r="D675" s="77">
        <v>1</v>
      </c>
      <c r="E675" s="77">
        <f t="shared" si="29"/>
        <v>12127</v>
      </c>
      <c r="F675" s="77">
        <f t="shared" si="30"/>
        <v>10</v>
      </c>
    </row>
    <row r="676" spans="1:6" x14ac:dyDescent="0.25">
      <c r="A676" s="79">
        <v>10673</v>
      </c>
      <c r="B676" s="77">
        <f t="shared" si="31"/>
        <v>5</v>
      </c>
      <c r="C676" s="77">
        <v>2</v>
      </c>
      <c r="D676" s="77">
        <v>1</v>
      </c>
      <c r="E676" s="77">
        <f t="shared" si="29"/>
        <v>12128</v>
      </c>
      <c r="F676" s="77">
        <f t="shared" si="30"/>
        <v>10</v>
      </c>
    </row>
    <row r="677" spans="1:6" x14ac:dyDescent="0.25">
      <c r="A677" s="79">
        <v>10674</v>
      </c>
      <c r="B677" s="77">
        <f t="shared" si="31"/>
        <v>5</v>
      </c>
      <c r="C677" s="77">
        <v>2</v>
      </c>
      <c r="D677" s="77">
        <v>1</v>
      </c>
      <c r="E677" s="77">
        <f t="shared" si="29"/>
        <v>12129</v>
      </c>
      <c r="F677" s="77">
        <f t="shared" si="30"/>
        <v>0</v>
      </c>
    </row>
    <row r="678" spans="1:6" x14ac:dyDescent="0.25">
      <c r="A678" s="79">
        <v>10675</v>
      </c>
      <c r="B678" s="77">
        <f t="shared" si="31"/>
        <v>5</v>
      </c>
      <c r="C678" s="77">
        <v>2</v>
      </c>
      <c r="D678" s="77">
        <v>1</v>
      </c>
      <c r="E678" s="77">
        <f t="shared" si="29"/>
        <v>12130</v>
      </c>
      <c r="F678" s="77">
        <f t="shared" si="30"/>
        <v>0</v>
      </c>
    </row>
    <row r="679" spans="1:6" x14ac:dyDescent="0.25">
      <c r="A679" s="79">
        <v>10676</v>
      </c>
      <c r="B679" s="77">
        <f t="shared" si="31"/>
        <v>6</v>
      </c>
      <c r="C679" s="77">
        <v>2</v>
      </c>
      <c r="D679" s="77">
        <v>1</v>
      </c>
      <c r="E679" s="77">
        <f t="shared" si="29"/>
        <v>12101</v>
      </c>
      <c r="F679" s="77">
        <f t="shared" si="30"/>
        <v>0</v>
      </c>
    </row>
    <row r="680" spans="1:6" x14ac:dyDescent="0.25">
      <c r="A680" s="79">
        <v>10677</v>
      </c>
      <c r="B680" s="77">
        <f t="shared" si="31"/>
        <v>6</v>
      </c>
      <c r="C680" s="77">
        <v>2</v>
      </c>
      <c r="D680" s="77">
        <v>1</v>
      </c>
      <c r="E680" s="77">
        <f t="shared" si="29"/>
        <v>12102</v>
      </c>
      <c r="F680" s="77">
        <f t="shared" si="30"/>
        <v>0</v>
      </c>
    </row>
    <row r="681" spans="1:6" x14ac:dyDescent="0.25">
      <c r="A681" s="79">
        <v>10678</v>
      </c>
      <c r="B681" s="77">
        <f t="shared" si="31"/>
        <v>6</v>
      </c>
      <c r="C681" s="77">
        <v>2</v>
      </c>
      <c r="D681" s="77">
        <v>1</v>
      </c>
      <c r="E681" s="77">
        <f t="shared" si="29"/>
        <v>12103</v>
      </c>
      <c r="F681" s="77">
        <f t="shared" si="30"/>
        <v>0</v>
      </c>
    </row>
    <row r="682" spans="1:6" x14ac:dyDescent="0.25">
      <c r="A682" s="79">
        <v>10679</v>
      </c>
      <c r="B682" s="77">
        <f t="shared" si="31"/>
        <v>6</v>
      </c>
      <c r="C682" s="77">
        <v>2</v>
      </c>
      <c r="D682" s="77">
        <v>1</v>
      </c>
      <c r="E682" s="77">
        <f t="shared" si="29"/>
        <v>12104</v>
      </c>
      <c r="F682" s="77">
        <f t="shared" si="30"/>
        <v>0</v>
      </c>
    </row>
    <row r="683" spans="1:6" x14ac:dyDescent="0.25">
      <c r="A683" s="79">
        <v>10680</v>
      </c>
      <c r="B683" s="77">
        <f t="shared" si="31"/>
        <v>6</v>
      </c>
      <c r="C683" s="77">
        <v>2</v>
      </c>
      <c r="D683" s="77">
        <v>1</v>
      </c>
      <c r="E683" s="77">
        <f t="shared" si="29"/>
        <v>12105</v>
      </c>
      <c r="F683" s="77">
        <f t="shared" si="30"/>
        <v>0</v>
      </c>
    </row>
    <row r="684" spans="1:6" x14ac:dyDescent="0.25">
      <c r="A684" s="79">
        <v>10681</v>
      </c>
      <c r="B684" s="77">
        <f t="shared" si="31"/>
        <v>6</v>
      </c>
      <c r="C684" s="77">
        <v>2</v>
      </c>
      <c r="D684" s="77">
        <v>1</v>
      </c>
      <c r="E684" s="77">
        <f t="shared" si="29"/>
        <v>12106</v>
      </c>
      <c r="F684" s="77">
        <f t="shared" si="30"/>
        <v>0</v>
      </c>
    </row>
    <row r="685" spans="1:6" x14ac:dyDescent="0.25">
      <c r="A685" s="79">
        <v>10682</v>
      </c>
      <c r="B685" s="77">
        <f t="shared" si="31"/>
        <v>6</v>
      </c>
      <c r="C685" s="77">
        <v>2</v>
      </c>
      <c r="D685" s="77">
        <v>1</v>
      </c>
      <c r="E685" s="77">
        <f t="shared" si="29"/>
        <v>12107</v>
      </c>
      <c r="F685" s="77">
        <f t="shared" si="30"/>
        <v>0</v>
      </c>
    </row>
    <row r="686" spans="1:6" x14ac:dyDescent="0.25">
      <c r="A686" s="79">
        <v>10683</v>
      </c>
      <c r="B686" s="77">
        <f t="shared" si="31"/>
        <v>6</v>
      </c>
      <c r="C686" s="77">
        <v>2</v>
      </c>
      <c r="D686" s="77">
        <v>1</v>
      </c>
      <c r="E686" s="77">
        <f t="shared" si="29"/>
        <v>12108</v>
      </c>
      <c r="F686" s="77">
        <f t="shared" si="30"/>
        <v>0</v>
      </c>
    </row>
    <row r="687" spans="1:6" x14ac:dyDescent="0.25">
      <c r="A687" s="79">
        <v>10684</v>
      </c>
      <c r="B687" s="77">
        <f t="shared" si="31"/>
        <v>6</v>
      </c>
      <c r="C687" s="77">
        <v>2</v>
      </c>
      <c r="D687" s="77">
        <v>1</v>
      </c>
      <c r="E687" s="77">
        <f t="shared" si="29"/>
        <v>12109</v>
      </c>
      <c r="F687" s="77">
        <f t="shared" si="30"/>
        <v>0</v>
      </c>
    </row>
    <row r="688" spans="1:6" x14ac:dyDescent="0.25">
      <c r="A688" s="79">
        <v>10685</v>
      </c>
      <c r="B688" s="77">
        <f t="shared" si="31"/>
        <v>6</v>
      </c>
      <c r="C688" s="77">
        <v>2</v>
      </c>
      <c r="D688" s="77">
        <v>1</v>
      </c>
      <c r="E688" s="77">
        <f t="shared" ref="E688:E738" si="32">E658</f>
        <v>12110</v>
      </c>
      <c r="F688" s="77">
        <f t="shared" si="30"/>
        <v>0</v>
      </c>
    </row>
    <row r="689" spans="1:6" x14ac:dyDescent="0.25">
      <c r="A689" s="79">
        <v>10686</v>
      </c>
      <c r="B689" s="77">
        <f t="shared" si="31"/>
        <v>6</v>
      </c>
      <c r="C689" s="77">
        <v>2</v>
      </c>
      <c r="D689" s="77">
        <v>1</v>
      </c>
      <c r="E689" s="77">
        <f t="shared" si="32"/>
        <v>12111</v>
      </c>
      <c r="F689" s="77">
        <f t="shared" ref="F689:F702" si="33">VLOOKUP(RIGHT(E689,2)*1,$K$529:$R$559,B689+1,0)</f>
        <v>0</v>
      </c>
    </row>
    <row r="690" spans="1:6" x14ac:dyDescent="0.25">
      <c r="A690" s="79">
        <v>10687</v>
      </c>
      <c r="B690" s="77">
        <f t="shared" si="31"/>
        <v>6</v>
      </c>
      <c r="C690" s="77">
        <v>2</v>
      </c>
      <c r="D690" s="77">
        <v>1</v>
      </c>
      <c r="E690" s="77">
        <f t="shared" si="32"/>
        <v>12112</v>
      </c>
      <c r="F690" s="77">
        <f t="shared" si="33"/>
        <v>0</v>
      </c>
    </row>
    <row r="691" spans="1:6" x14ac:dyDescent="0.25">
      <c r="A691" s="79">
        <v>10688</v>
      </c>
      <c r="B691" s="77">
        <f t="shared" si="31"/>
        <v>6</v>
      </c>
      <c r="C691" s="77">
        <v>2</v>
      </c>
      <c r="D691" s="77">
        <v>1</v>
      </c>
      <c r="E691" s="77">
        <f t="shared" si="32"/>
        <v>12113</v>
      </c>
      <c r="F691" s="77">
        <f t="shared" si="33"/>
        <v>0</v>
      </c>
    </row>
    <row r="692" spans="1:6" x14ac:dyDescent="0.25">
      <c r="A692" s="79">
        <v>10689</v>
      </c>
      <c r="B692" s="77">
        <f t="shared" si="31"/>
        <v>6</v>
      </c>
      <c r="C692" s="77">
        <v>2</v>
      </c>
      <c r="D692" s="77">
        <v>1</v>
      </c>
      <c r="E692" s="77">
        <f t="shared" si="32"/>
        <v>12114</v>
      </c>
      <c r="F692" s="77">
        <f t="shared" si="33"/>
        <v>0</v>
      </c>
    </row>
    <row r="693" spans="1:6" x14ac:dyDescent="0.25">
      <c r="A693" s="79">
        <v>10690</v>
      </c>
      <c r="B693" s="77">
        <f t="shared" si="31"/>
        <v>6</v>
      </c>
      <c r="C693" s="77">
        <v>2</v>
      </c>
      <c r="D693" s="77">
        <v>1</v>
      </c>
      <c r="E693" s="77">
        <f t="shared" si="32"/>
        <v>12115</v>
      </c>
      <c r="F693" s="77">
        <f t="shared" si="33"/>
        <v>0</v>
      </c>
    </row>
    <row r="694" spans="1:6" x14ac:dyDescent="0.25">
      <c r="A694" s="79">
        <v>10691</v>
      </c>
      <c r="B694" s="77">
        <f t="shared" si="31"/>
        <v>6</v>
      </c>
      <c r="C694" s="77">
        <v>2</v>
      </c>
      <c r="D694" s="77">
        <v>1</v>
      </c>
      <c r="E694" s="77">
        <f t="shared" si="32"/>
        <v>12116</v>
      </c>
      <c r="F694" s="77">
        <f t="shared" si="33"/>
        <v>10</v>
      </c>
    </row>
    <row r="695" spans="1:6" x14ac:dyDescent="0.25">
      <c r="A695" s="79">
        <v>10692</v>
      </c>
      <c r="B695" s="77">
        <f t="shared" si="31"/>
        <v>6</v>
      </c>
      <c r="C695" s="77">
        <v>2</v>
      </c>
      <c r="D695" s="77">
        <v>1</v>
      </c>
      <c r="E695" s="77">
        <f t="shared" si="32"/>
        <v>12117</v>
      </c>
      <c r="F695" s="77">
        <f t="shared" si="33"/>
        <v>10</v>
      </c>
    </row>
    <row r="696" spans="1:6" x14ac:dyDescent="0.25">
      <c r="A696" s="79">
        <v>10693</v>
      </c>
      <c r="B696" s="77">
        <f t="shared" si="31"/>
        <v>6</v>
      </c>
      <c r="C696" s="77">
        <v>2</v>
      </c>
      <c r="D696" s="77">
        <v>1</v>
      </c>
      <c r="E696" s="77">
        <f t="shared" si="32"/>
        <v>12118</v>
      </c>
      <c r="F696" s="77">
        <f t="shared" si="33"/>
        <v>10</v>
      </c>
    </row>
    <row r="697" spans="1:6" x14ac:dyDescent="0.25">
      <c r="A697" s="79">
        <v>10694</v>
      </c>
      <c r="B697" s="77">
        <f t="shared" si="31"/>
        <v>6</v>
      </c>
      <c r="C697" s="77">
        <v>2</v>
      </c>
      <c r="D697" s="77">
        <v>1</v>
      </c>
      <c r="E697" s="77">
        <f t="shared" si="32"/>
        <v>12119</v>
      </c>
      <c r="F697" s="77">
        <f t="shared" si="33"/>
        <v>10</v>
      </c>
    </row>
    <row r="698" spans="1:6" x14ac:dyDescent="0.25">
      <c r="A698" s="79">
        <v>10695</v>
      </c>
      <c r="B698" s="77">
        <f t="shared" si="31"/>
        <v>6</v>
      </c>
      <c r="C698" s="77">
        <v>2</v>
      </c>
      <c r="D698" s="77">
        <v>1</v>
      </c>
      <c r="E698" s="77">
        <f t="shared" si="32"/>
        <v>12120</v>
      </c>
      <c r="F698" s="77">
        <f t="shared" si="33"/>
        <v>10</v>
      </c>
    </row>
    <row r="699" spans="1:6" x14ac:dyDescent="0.25">
      <c r="A699" s="79">
        <v>10696</v>
      </c>
      <c r="B699" s="77">
        <f t="shared" si="31"/>
        <v>6</v>
      </c>
      <c r="C699" s="77">
        <v>2</v>
      </c>
      <c r="D699" s="77">
        <v>1</v>
      </c>
      <c r="E699" s="77">
        <f t="shared" si="32"/>
        <v>12121</v>
      </c>
      <c r="F699" s="77">
        <f t="shared" si="33"/>
        <v>10</v>
      </c>
    </row>
    <row r="700" spans="1:6" x14ac:dyDescent="0.25">
      <c r="A700" s="79">
        <v>10697</v>
      </c>
      <c r="B700" s="77">
        <f t="shared" si="31"/>
        <v>6</v>
      </c>
      <c r="C700" s="77">
        <v>2</v>
      </c>
      <c r="D700" s="77">
        <v>1</v>
      </c>
      <c r="E700" s="77">
        <f t="shared" si="32"/>
        <v>12122</v>
      </c>
      <c r="F700" s="77">
        <f t="shared" si="33"/>
        <v>10</v>
      </c>
    </row>
    <row r="701" spans="1:6" x14ac:dyDescent="0.25">
      <c r="A701" s="79">
        <v>10698</v>
      </c>
      <c r="B701" s="77">
        <f t="shared" si="31"/>
        <v>6</v>
      </c>
      <c r="C701" s="77">
        <v>2</v>
      </c>
      <c r="D701" s="77">
        <v>1</v>
      </c>
      <c r="E701" s="77">
        <f t="shared" si="32"/>
        <v>12123</v>
      </c>
      <c r="F701" s="77">
        <f t="shared" si="33"/>
        <v>10</v>
      </c>
    </row>
    <row r="702" spans="1:6" x14ac:dyDescent="0.25">
      <c r="A702" s="79">
        <v>10699</v>
      </c>
      <c r="B702" s="77">
        <f t="shared" si="31"/>
        <v>6</v>
      </c>
      <c r="C702" s="77">
        <v>2</v>
      </c>
      <c r="D702" s="77">
        <v>1</v>
      </c>
      <c r="E702" s="77">
        <f t="shared" si="32"/>
        <v>12124</v>
      </c>
      <c r="F702" s="77">
        <f t="shared" si="33"/>
        <v>10</v>
      </c>
    </row>
    <row r="703" spans="1:6" x14ac:dyDescent="0.25">
      <c r="A703" s="79">
        <v>10700</v>
      </c>
      <c r="B703" s="77">
        <f t="shared" si="31"/>
        <v>6</v>
      </c>
      <c r="C703" s="77">
        <v>2</v>
      </c>
      <c r="D703" s="77">
        <v>1</v>
      </c>
      <c r="E703" s="77">
        <f t="shared" si="32"/>
        <v>12125</v>
      </c>
      <c r="F703" s="77">
        <f t="shared" ref="F703:F725" si="34">VLOOKUP(RIGHT(E703,2)*1,$K$529:$R$559,B703+1,0)</f>
        <v>10</v>
      </c>
    </row>
    <row r="704" spans="1:6" x14ac:dyDescent="0.25">
      <c r="A704" s="79">
        <v>10701</v>
      </c>
      <c r="B704" s="77">
        <f t="shared" si="31"/>
        <v>6</v>
      </c>
      <c r="C704" s="77">
        <v>2</v>
      </c>
      <c r="D704" s="77">
        <v>1</v>
      </c>
      <c r="E704" s="77">
        <f t="shared" si="32"/>
        <v>12126</v>
      </c>
      <c r="F704" s="77">
        <f t="shared" si="34"/>
        <v>10</v>
      </c>
    </row>
    <row r="705" spans="1:6" x14ac:dyDescent="0.25">
      <c r="A705" s="79">
        <v>10702</v>
      </c>
      <c r="B705" s="77">
        <f t="shared" si="31"/>
        <v>6</v>
      </c>
      <c r="C705" s="77">
        <v>2</v>
      </c>
      <c r="D705" s="77">
        <v>1</v>
      </c>
      <c r="E705" s="77">
        <f t="shared" si="32"/>
        <v>12127</v>
      </c>
      <c r="F705" s="77">
        <f t="shared" si="34"/>
        <v>10</v>
      </c>
    </row>
    <row r="706" spans="1:6" x14ac:dyDescent="0.25">
      <c r="A706" s="79">
        <v>10703</v>
      </c>
      <c r="B706" s="77">
        <f t="shared" si="31"/>
        <v>6</v>
      </c>
      <c r="C706" s="77">
        <v>2</v>
      </c>
      <c r="D706" s="77">
        <v>1</v>
      </c>
      <c r="E706" s="77">
        <f t="shared" si="32"/>
        <v>12128</v>
      </c>
      <c r="F706" s="77">
        <f t="shared" si="34"/>
        <v>10</v>
      </c>
    </row>
    <row r="707" spans="1:6" x14ac:dyDescent="0.25">
      <c r="A707" s="79">
        <v>10704</v>
      </c>
      <c r="B707" s="77">
        <f t="shared" si="31"/>
        <v>6</v>
      </c>
      <c r="C707" s="77">
        <v>2</v>
      </c>
      <c r="D707" s="77">
        <v>1</v>
      </c>
      <c r="E707" s="77">
        <f t="shared" si="32"/>
        <v>12129</v>
      </c>
      <c r="F707" s="77">
        <f t="shared" si="34"/>
        <v>10</v>
      </c>
    </row>
    <row r="708" spans="1:6" x14ac:dyDescent="0.25">
      <c r="A708" s="79">
        <v>10705</v>
      </c>
      <c r="B708" s="77">
        <f t="shared" si="31"/>
        <v>6</v>
      </c>
      <c r="C708" s="77">
        <v>2</v>
      </c>
      <c r="D708" s="77">
        <v>1</v>
      </c>
      <c r="E708" s="77">
        <f t="shared" si="32"/>
        <v>12130</v>
      </c>
      <c r="F708" s="77">
        <f t="shared" si="34"/>
        <v>10</v>
      </c>
    </row>
    <row r="709" spans="1:6" x14ac:dyDescent="0.25">
      <c r="A709" s="79">
        <v>10706</v>
      </c>
      <c r="B709" s="77">
        <f t="shared" si="31"/>
        <v>7</v>
      </c>
      <c r="C709" s="77">
        <v>2</v>
      </c>
      <c r="D709" s="77">
        <v>1</v>
      </c>
      <c r="E709" s="77">
        <f t="shared" si="32"/>
        <v>12101</v>
      </c>
      <c r="F709" s="77">
        <f t="shared" si="34"/>
        <v>0</v>
      </c>
    </row>
    <row r="710" spans="1:6" x14ac:dyDescent="0.25">
      <c r="A710" s="79">
        <v>10707</v>
      </c>
      <c r="B710" s="77">
        <f t="shared" si="31"/>
        <v>7</v>
      </c>
      <c r="C710" s="77">
        <v>2</v>
      </c>
      <c r="D710" s="77">
        <v>1</v>
      </c>
      <c r="E710" s="77">
        <f t="shared" si="32"/>
        <v>12102</v>
      </c>
      <c r="F710" s="77">
        <f t="shared" si="34"/>
        <v>0</v>
      </c>
    </row>
    <row r="711" spans="1:6" x14ac:dyDescent="0.25">
      <c r="A711" s="79">
        <v>10708</v>
      </c>
      <c r="B711" s="77">
        <f t="shared" si="31"/>
        <v>7</v>
      </c>
      <c r="C711" s="77">
        <v>2</v>
      </c>
      <c r="D711" s="77">
        <v>1</v>
      </c>
      <c r="E711" s="77">
        <f t="shared" si="32"/>
        <v>12103</v>
      </c>
      <c r="F711" s="77">
        <f t="shared" si="34"/>
        <v>0</v>
      </c>
    </row>
    <row r="712" spans="1:6" x14ac:dyDescent="0.25">
      <c r="A712" s="79">
        <v>10709</v>
      </c>
      <c r="B712" s="77">
        <f t="shared" si="31"/>
        <v>7</v>
      </c>
      <c r="C712" s="77">
        <v>2</v>
      </c>
      <c r="D712" s="77">
        <v>1</v>
      </c>
      <c r="E712" s="77">
        <f t="shared" si="32"/>
        <v>12104</v>
      </c>
      <c r="F712" s="77">
        <f t="shared" si="34"/>
        <v>0</v>
      </c>
    </row>
    <row r="713" spans="1:6" x14ac:dyDescent="0.25">
      <c r="A713" s="79">
        <v>10710</v>
      </c>
      <c r="B713" s="77">
        <f t="shared" si="31"/>
        <v>7</v>
      </c>
      <c r="C713" s="77">
        <v>2</v>
      </c>
      <c r="D713" s="77">
        <v>1</v>
      </c>
      <c r="E713" s="77">
        <f t="shared" si="32"/>
        <v>12105</v>
      </c>
      <c r="F713" s="77">
        <f t="shared" si="34"/>
        <v>0</v>
      </c>
    </row>
    <row r="714" spans="1:6" x14ac:dyDescent="0.25">
      <c r="A714" s="79">
        <v>10711</v>
      </c>
      <c r="B714" s="77">
        <f t="shared" si="31"/>
        <v>7</v>
      </c>
      <c r="C714" s="77">
        <v>2</v>
      </c>
      <c r="D714" s="77">
        <v>1</v>
      </c>
      <c r="E714" s="77">
        <f t="shared" si="32"/>
        <v>12106</v>
      </c>
      <c r="F714" s="77">
        <f t="shared" si="34"/>
        <v>0</v>
      </c>
    </row>
    <row r="715" spans="1:6" x14ac:dyDescent="0.25">
      <c r="A715" s="79">
        <v>10712</v>
      </c>
      <c r="B715" s="77">
        <f t="shared" si="31"/>
        <v>7</v>
      </c>
      <c r="C715" s="77">
        <v>2</v>
      </c>
      <c r="D715" s="77">
        <v>1</v>
      </c>
      <c r="E715" s="77">
        <f t="shared" si="32"/>
        <v>12107</v>
      </c>
      <c r="F715" s="77">
        <f t="shared" si="34"/>
        <v>0</v>
      </c>
    </row>
    <row r="716" spans="1:6" x14ac:dyDescent="0.25">
      <c r="A716" s="79">
        <v>10713</v>
      </c>
      <c r="B716" s="77">
        <f t="shared" si="31"/>
        <v>7</v>
      </c>
      <c r="C716" s="77">
        <v>2</v>
      </c>
      <c r="D716" s="77">
        <v>1</v>
      </c>
      <c r="E716" s="77">
        <f t="shared" si="32"/>
        <v>12108</v>
      </c>
      <c r="F716" s="77">
        <f t="shared" si="34"/>
        <v>0</v>
      </c>
    </row>
    <row r="717" spans="1:6" x14ac:dyDescent="0.25">
      <c r="A717" s="79">
        <v>10714</v>
      </c>
      <c r="B717" s="77">
        <f t="shared" si="31"/>
        <v>7</v>
      </c>
      <c r="C717" s="77">
        <v>2</v>
      </c>
      <c r="D717" s="77">
        <v>1</v>
      </c>
      <c r="E717" s="77">
        <f t="shared" si="32"/>
        <v>12109</v>
      </c>
      <c r="F717" s="77">
        <f t="shared" si="34"/>
        <v>0</v>
      </c>
    </row>
    <row r="718" spans="1:6" x14ac:dyDescent="0.25">
      <c r="A718" s="79">
        <v>10715</v>
      </c>
      <c r="B718" s="77">
        <f t="shared" si="31"/>
        <v>7</v>
      </c>
      <c r="C718" s="77">
        <v>2</v>
      </c>
      <c r="D718" s="77">
        <v>1</v>
      </c>
      <c r="E718" s="77">
        <f t="shared" si="32"/>
        <v>12110</v>
      </c>
      <c r="F718" s="77">
        <f t="shared" si="34"/>
        <v>0</v>
      </c>
    </row>
    <row r="719" spans="1:6" x14ac:dyDescent="0.25">
      <c r="A719" s="79">
        <v>10716</v>
      </c>
      <c r="B719" s="77">
        <f t="shared" si="31"/>
        <v>7</v>
      </c>
      <c r="C719" s="77">
        <v>2</v>
      </c>
      <c r="D719" s="77">
        <v>1</v>
      </c>
      <c r="E719" s="77">
        <f t="shared" si="32"/>
        <v>12111</v>
      </c>
      <c r="F719" s="77">
        <f t="shared" si="34"/>
        <v>0</v>
      </c>
    </row>
    <row r="720" spans="1:6" x14ac:dyDescent="0.25">
      <c r="A720" s="79">
        <v>10717</v>
      </c>
      <c r="B720" s="77">
        <f t="shared" si="31"/>
        <v>7</v>
      </c>
      <c r="C720" s="77">
        <v>2</v>
      </c>
      <c r="D720" s="77">
        <v>1</v>
      </c>
      <c r="E720" s="77">
        <f t="shared" si="32"/>
        <v>12112</v>
      </c>
      <c r="F720" s="77">
        <f t="shared" si="34"/>
        <v>0</v>
      </c>
    </row>
    <row r="721" spans="1:6" x14ac:dyDescent="0.25">
      <c r="A721" s="79">
        <v>10718</v>
      </c>
      <c r="B721" s="77">
        <f t="shared" si="31"/>
        <v>7</v>
      </c>
      <c r="C721" s="77">
        <v>2</v>
      </c>
      <c r="D721" s="77">
        <v>1</v>
      </c>
      <c r="E721" s="77">
        <f t="shared" si="32"/>
        <v>12113</v>
      </c>
      <c r="F721" s="77">
        <f t="shared" si="34"/>
        <v>0</v>
      </c>
    </row>
    <row r="722" spans="1:6" x14ac:dyDescent="0.25">
      <c r="A722" s="79">
        <v>10719</v>
      </c>
      <c r="B722" s="77">
        <f t="shared" si="31"/>
        <v>7</v>
      </c>
      <c r="C722" s="77">
        <v>2</v>
      </c>
      <c r="D722" s="77">
        <v>1</v>
      </c>
      <c r="E722" s="77">
        <f t="shared" si="32"/>
        <v>12114</v>
      </c>
      <c r="F722" s="77">
        <f t="shared" si="34"/>
        <v>0</v>
      </c>
    </row>
    <row r="723" spans="1:6" x14ac:dyDescent="0.25">
      <c r="A723" s="79">
        <v>10720</v>
      </c>
      <c r="B723" s="77">
        <f t="shared" si="31"/>
        <v>7</v>
      </c>
      <c r="C723" s="77">
        <v>2</v>
      </c>
      <c r="D723" s="77">
        <v>1</v>
      </c>
      <c r="E723" s="77">
        <f t="shared" si="32"/>
        <v>12115</v>
      </c>
      <c r="F723" s="77">
        <f t="shared" si="34"/>
        <v>0</v>
      </c>
    </row>
    <row r="724" spans="1:6" x14ac:dyDescent="0.25">
      <c r="A724" s="79">
        <v>10721</v>
      </c>
      <c r="B724" s="77">
        <f t="shared" si="31"/>
        <v>7</v>
      </c>
      <c r="C724" s="77">
        <v>2</v>
      </c>
      <c r="D724" s="77">
        <v>1</v>
      </c>
      <c r="E724" s="77">
        <f t="shared" si="32"/>
        <v>12116</v>
      </c>
      <c r="F724" s="77">
        <f t="shared" si="34"/>
        <v>20</v>
      </c>
    </row>
    <row r="725" spans="1:6" x14ac:dyDescent="0.25">
      <c r="A725" s="79">
        <v>10722</v>
      </c>
      <c r="B725" s="77">
        <f t="shared" si="31"/>
        <v>7</v>
      </c>
      <c r="C725" s="77">
        <v>2</v>
      </c>
      <c r="D725" s="77">
        <v>1</v>
      </c>
      <c r="E725" s="77">
        <f t="shared" si="32"/>
        <v>12117</v>
      </c>
      <c r="F725" s="77">
        <f t="shared" si="34"/>
        <v>20</v>
      </c>
    </row>
    <row r="726" spans="1:6" x14ac:dyDescent="0.25">
      <c r="A726" s="79">
        <v>10723</v>
      </c>
      <c r="B726" s="77">
        <f t="shared" ref="B726:B738" si="35">B696+1</f>
        <v>7</v>
      </c>
      <c r="C726" s="77">
        <v>2</v>
      </c>
      <c r="D726" s="77">
        <v>1</v>
      </c>
      <c r="E726" s="77">
        <f t="shared" si="32"/>
        <v>12118</v>
      </c>
      <c r="F726" s="77">
        <f t="shared" ref="F726:F738" si="36">VLOOKUP(RIGHT(E726,2)*1,$K$529:$R$559,B726+1,0)</f>
        <v>20</v>
      </c>
    </row>
    <row r="727" spans="1:6" x14ac:dyDescent="0.25">
      <c r="A727" s="79">
        <v>10724</v>
      </c>
      <c r="B727" s="77">
        <f t="shared" si="35"/>
        <v>7</v>
      </c>
      <c r="C727" s="77">
        <v>2</v>
      </c>
      <c r="D727" s="77">
        <v>1</v>
      </c>
      <c r="E727" s="77">
        <f t="shared" si="32"/>
        <v>12119</v>
      </c>
      <c r="F727" s="77">
        <f t="shared" si="36"/>
        <v>20</v>
      </c>
    </row>
    <row r="728" spans="1:6" x14ac:dyDescent="0.25">
      <c r="A728" s="79">
        <v>10725</v>
      </c>
      <c r="B728" s="77">
        <f t="shared" si="35"/>
        <v>7</v>
      </c>
      <c r="C728" s="77">
        <v>2</v>
      </c>
      <c r="D728" s="77">
        <v>1</v>
      </c>
      <c r="E728" s="77">
        <f t="shared" si="32"/>
        <v>12120</v>
      </c>
      <c r="F728" s="77">
        <f t="shared" si="36"/>
        <v>20</v>
      </c>
    </row>
    <row r="729" spans="1:6" x14ac:dyDescent="0.25">
      <c r="A729" s="79">
        <v>10726</v>
      </c>
      <c r="B729" s="77">
        <f t="shared" si="35"/>
        <v>7</v>
      </c>
      <c r="C729" s="77">
        <v>2</v>
      </c>
      <c r="D729" s="77">
        <v>1</v>
      </c>
      <c r="E729" s="77">
        <f t="shared" si="32"/>
        <v>12121</v>
      </c>
      <c r="F729" s="77">
        <f t="shared" si="36"/>
        <v>20</v>
      </c>
    </row>
    <row r="730" spans="1:6" x14ac:dyDescent="0.25">
      <c r="A730" s="79">
        <v>10727</v>
      </c>
      <c r="B730" s="77">
        <f t="shared" si="35"/>
        <v>7</v>
      </c>
      <c r="C730" s="77">
        <v>2</v>
      </c>
      <c r="D730" s="77">
        <v>1</v>
      </c>
      <c r="E730" s="77">
        <f t="shared" si="32"/>
        <v>12122</v>
      </c>
      <c r="F730" s="77">
        <f t="shared" si="36"/>
        <v>20</v>
      </c>
    </row>
    <row r="731" spans="1:6" x14ac:dyDescent="0.25">
      <c r="A731" s="79">
        <v>10728</v>
      </c>
      <c r="B731" s="77">
        <f t="shared" si="35"/>
        <v>7</v>
      </c>
      <c r="C731" s="77">
        <v>2</v>
      </c>
      <c r="D731" s="77">
        <v>1</v>
      </c>
      <c r="E731" s="77">
        <f t="shared" si="32"/>
        <v>12123</v>
      </c>
      <c r="F731" s="77">
        <f t="shared" si="36"/>
        <v>20</v>
      </c>
    </row>
    <row r="732" spans="1:6" x14ac:dyDescent="0.25">
      <c r="A732" s="79">
        <v>10729</v>
      </c>
      <c r="B732" s="77">
        <f t="shared" si="35"/>
        <v>7</v>
      </c>
      <c r="C732" s="77">
        <v>2</v>
      </c>
      <c r="D732" s="77">
        <v>1</v>
      </c>
      <c r="E732" s="77">
        <f t="shared" si="32"/>
        <v>12124</v>
      </c>
      <c r="F732" s="77">
        <f t="shared" si="36"/>
        <v>20</v>
      </c>
    </row>
    <row r="733" spans="1:6" x14ac:dyDescent="0.25">
      <c r="A733" s="79">
        <v>10730</v>
      </c>
      <c r="B733" s="77">
        <f t="shared" si="35"/>
        <v>7</v>
      </c>
      <c r="C733" s="77">
        <v>2</v>
      </c>
      <c r="D733" s="77">
        <v>1</v>
      </c>
      <c r="E733" s="77">
        <f t="shared" si="32"/>
        <v>12125</v>
      </c>
      <c r="F733" s="77">
        <f t="shared" si="36"/>
        <v>20</v>
      </c>
    </row>
    <row r="734" spans="1:6" x14ac:dyDescent="0.25">
      <c r="A734" s="79">
        <v>10731</v>
      </c>
      <c r="B734" s="77">
        <f t="shared" si="35"/>
        <v>7</v>
      </c>
      <c r="C734" s="77">
        <v>2</v>
      </c>
      <c r="D734" s="77">
        <v>1</v>
      </c>
      <c r="E734" s="77">
        <f t="shared" si="32"/>
        <v>12126</v>
      </c>
      <c r="F734" s="77">
        <f t="shared" si="36"/>
        <v>20</v>
      </c>
    </row>
    <row r="735" spans="1:6" x14ac:dyDescent="0.25">
      <c r="A735" s="79">
        <v>10732</v>
      </c>
      <c r="B735" s="77">
        <f t="shared" si="35"/>
        <v>7</v>
      </c>
      <c r="C735" s="77">
        <v>2</v>
      </c>
      <c r="D735" s="77">
        <v>1</v>
      </c>
      <c r="E735" s="77">
        <f t="shared" si="32"/>
        <v>12127</v>
      </c>
      <c r="F735" s="77">
        <f t="shared" si="36"/>
        <v>20</v>
      </c>
    </row>
    <row r="736" spans="1:6" x14ac:dyDescent="0.25">
      <c r="A736" s="79">
        <v>10733</v>
      </c>
      <c r="B736" s="77">
        <f t="shared" si="35"/>
        <v>7</v>
      </c>
      <c r="C736" s="77">
        <v>2</v>
      </c>
      <c r="D736" s="77">
        <v>1</v>
      </c>
      <c r="E736" s="77">
        <f t="shared" si="32"/>
        <v>12128</v>
      </c>
      <c r="F736" s="77">
        <f t="shared" si="36"/>
        <v>20</v>
      </c>
    </row>
    <row r="737" spans="1:6" x14ac:dyDescent="0.25">
      <c r="A737" s="79">
        <v>10734</v>
      </c>
      <c r="B737" s="77">
        <f t="shared" si="35"/>
        <v>7</v>
      </c>
      <c r="C737" s="77">
        <v>2</v>
      </c>
      <c r="D737" s="77">
        <v>1</v>
      </c>
      <c r="E737" s="77">
        <f t="shared" si="32"/>
        <v>12129</v>
      </c>
      <c r="F737" s="77">
        <f t="shared" si="36"/>
        <v>20</v>
      </c>
    </row>
    <row r="738" spans="1:6" x14ac:dyDescent="0.25">
      <c r="A738" s="79">
        <v>10735</v>
      </c>
      <c r="B738" s="77">
        <f t="shared" si="35"/>
        <v>7</v>
      </c>
      <c r="C738" s="77">
        <v>2</v>
      </c>
      <c r="D738" s="77">
        <v>1</v>
      </c>
      <c r="E738" s="77">
        <f t="shared" si="32"/>
        <v>12130</v>
      </c>
      <c r="F738" s="77">
        <f t="shared" si="36"/>
        <v>20</v>
      </c>
    </row>
    <row r="739" spans="1:6" x14ac:dyDescent="0.25">
      <c r="A739" s="79">
        <f>A738+1</f>
        <v>10736</v>
      </c>
      <c r="B739" s="77">
        <v>1</v>
      </c>
      <c r="C739" s="77">
        <v>2</v>
      </c>
      <c r="D739" s="77">
        <v>2</v>
      </c>
      <c r="E739" s="57">
        <v>12201</v>
      </c>
      <c r="F739" s="77">
        <f>F529</f>
        <v>10</v>
      </c>
    </row>
    <row r="740" spans="1:6" x14ac:dyDescent="0.25">
      <c r="A740" s="79">
        <f t="shared" ref="A740:A803" si="37">A739+1</f>
        <v>10737</v>
      </c>
      <c r="B740" s="77">
        <v>1</v>
      </c>
      <c r="C740" s="77">
        <v>2</v>
      </c>
      <c r="D740" s="77">
        <v>2</v>
      </c>
      <c r="E740" s="57">
        <v>12202</v>
      </c>
      <c r="F740" s="77">
        <f t="shared" ref="F740:F803" si="38">F530</f>
        <v>10</v>
      </c>
    </row>
    <row r="741" spans="1:6" x14ac:dyDescent="0.25">
      <c r="A741" s="79">
        <f t="shared" si="37"/>
        <v>10738</v>
      </c>
      <c r="B741" s="77">
        <v>1</v>
      </c>
      <c r="C741" s="77">
        <v>2</v>
      </c>
      <c r="D741" s="77">
        <v>2</v>
      </c>
      <c r="E741" s="57">
        <v>12203</v>
      </c>
      <c r="F741" s="77">
        <f t="shared" si="38"/>
        <v>10</v>
      </c>
    </row>
    <row r="742" spans="1:6" x14ac:dyDescent="0.25">
      <c r="A742" s="79">
        <f t="shared" si="37"/>
        <v>10739</v>
      </c>
      <c r="B742" s="77">
        <v>1</v>
      </c>
      <c r="C742" s="77">
        <v>2</v>
      </c>
      <c r="D742" s="77">
        <v>2</v>
      </c>
      <c r="E742" s="57">
        <v>12204</v>
      </c>
      <c r="F742" s="77">
        <f t="shared" si="38"/>
        <v>10</v>
      </c>
    </row>
    <row r="743" spans="1:6" x14ac:dyDescent="0.25">
      <c r="A743" s="79">
        <f t="shared" si="37"/>
        <v>10740</v>
      </c>
      <c r="B743" s="77">
        <v>1</v>
      </c>
      <c r="C743" s="77">
        <v>2</v>
      </c>
      <c r="D743" s="77">
        <v>2</v>
      </c>
      <c r="E743" s="57">
        <v>12205</v>
      </c>
      <c r="F743" s="77">
        <f t="shared" si="38"/>
        <v>10</v>
      </c>
    </row>
    <row r="744" spans="1:6" x14ac:dyDescent="0.25">
      <c r="A744" s="79">
        <f t="shared" si="37"/>
        <v>10741</v>
      </c>
      <c r="B744" s="77">
        <v>1</v>
      </c>
      <c r="C744" s="77">
        <v>2</v>
      </c>
      <c r="D744" s="77">
        <v>2</v>
      </c>
      <c r="E744" s="57">
        <v>12206</v>
      </c>
      <c r="F744" s="77">
        <f t="shared" si="38"/>
        <v>10</v>
      </c>
    </row>
    <row r="745" spans="1:6" x14ac:dyDescent="0.25">
      <c r="A745" s="79">
        <f t="shared" si="37"/>
        <v>10742</v>
      </c>
      <c r="B745" s="77">
        <v>1</v>
      </c>
      <c r="C745" s="77">
        <v>2</v>
      </c>
      <c r="D745" s="77">
        <v>2</v>
      </c>
      <c r="E745" s="57">
        <v>12207</v>
      </c>
      <c r="F745" s="77">
        <f t="shared" si="38"/>
        <v>10</v>
      </c>
    </row>
    <row r="746" spans="1:6" x14ac:dyDescent="0.25">
      <c r="A746" s="79">
        <f t="shared" si="37"/>
        <v>10743</v>
      </c>
      <c r="B746" s="77">
        <v>1</v>
      </c>
      <c r="C746" s="77">
        <v>2</v>
      </c>
      <c r="D746" s="77">
        <v>2</v>
      </c>
      <c r="E746" s="57">
        <v>12208</v>
      </c>
      <c r="F746" s="77">
        <f t="shared" si="38"/>
        <v>10</v>
      </c>
    </row>
    <row r="747" spans="1:6" x14ac:dyDescent="0.25">
      <c r="A747" s="79">
        <f t="shared" si="37"/>
        <v>10744</v>
      </c>
      <c r="B747" s="77">
        <v>1</v>
      </c>
      <c r="C747" s="77">
        <v>2</v>
      </c>
      <c r="D747" s="77">
        <v>2</v>
      </c>
      <c r="E747" s="57">
        <v>12209</v>
      </c>
      <c r="F747" s="77">
        <f t="shared" si="38"/>
        <v>10</v>
      </c>
    </row>
    <row r="748" spans="1:6" x14ac:dyDescent="0.25">
      <c r="A748" s="79">
        <f t="shared" si="37"/>
        <v>10745</v>
      </c>
      <c r="B748" s="77">
        <v>1</v>
      </c>
      <c r="C748" s="77">
        <v>2</v>
      </c>
      <c r="D748" s="77">
        <v>2</v>
      </c>
      <c r="E748" s="57">
        <v>12210</v>
      </c>
      <c r="F748" s="77">
        <f t="shared" si="38"/>
        <v>10</v>
      </c>
    </row>
    <row r="749" spans="1:6" x14ac:dyDescent="0.25">
      <c r="A749" s="79">
        <f t="shared" si="37"/>
        <v>10746</v>
      </c>
      <c r="B749" s="77">
        <v>1</v>
      </c>
      <c r="C749" s="77">
        <v>2</v>
      </c>
      <c r="D749" s="77">
        <v>2</v>
      </c>
      <c r="E749" s="57">
        <v>12211</v>
      </c>
      <c r="F749" s="77">
        <f t="shared" si="38"/>
        <v>10</v>
      </c>
    </row>
    <row r="750" spans="1:6" x14ac:dyDescent="0.25">
      <c r="A750" s="79">
        <f t="shared" si="37"/>
        <v>10747</v>
      </c>
      <c r="B750" s="77">
        <v>1</v>
      </c>
      <c r="C750" s="77">
        <v>2</v>
      </c>
      <c r="D750" s="77">
        <v>2</v>
      </c>
      <c r="E750" s="57">
        <v>12212</v>
      </c>
      <c r="F750" s="77">
        <f t="shared" si="38"/>
        <v>10</v>
      </c>
    </row>
    <row r="751" spans="1:6" x14ac:dyDescent="0.25">
      <c r="A751" s="79">
        <f t="shared" si="37"/>
        <v>10748</v>
      </c>
      <c r="B751" s="77">
        <v>1</v>
      </c>
      <c r="C751" s="77">
        <v>2</v>
      </c>
      <c r="D751" s="77">
        <v>2</v>
      </c>
      <c r="E751" s="57">
        <v>12213</v>
      </c>
      <c r="F751" s="77">
        <f t="shared" si="38"/>
        <v>10</v>
      </c>
    </row>
    <row r="752" spans="1:6" x14ac:dyDescent="0.25">
      <c r="A752" s="79">
        <f t="shared" si="37"/>
        <v>10749</v>
      </c>
      <c r="B752" s="77">
        <v>1</v>
      </c>
      <c r="C752" s="77">
        <v>2</v>
      </c>
      <c r="D752" s="77">
        <v>2</v>
      </c>
      <c r="E752" s="57">
        <v>12214</v>
      </c>
      <c r="F752" s="77">
        <f t="shared" si="38"/>
        <v>10</v>
      </c>
    </row>
    <row r="753" spans="1:6" x14ac:dyDescent="0.25">
      <c r="A753" s="79">
        <f t="shared" si="37"/>
        <v>10750</v>
      </c>
      <c r="B753" s="77">
        <v>1</v>
      </c>
      <c r="C753" s="77">
        <v>2</v>
      </c>
      <c r="D753" s="77">
        <v>2</v>
      </c>
      <c r="E753" s="57">
        <v>12215</v>
      </c>
      <c r="F753" s="77">
        <f t="shared" si="38"/>
        <v>10</v>
      </c>
    </row>
    <row r="754" spans="1:6" x14ac:dyDescent="0.25">
      <c r="A754" s="79">
        <f t="shared" si="37"/>
        <v>10751</v>
      </c>
      <c r="B754" s="77">
        <v>1</v>
      </c>
      <c r="C754" s="77">
        <v>2</v>
      </c>
      <c r="D754" s="77">
        <v>2</v>
      </c>
      <c r="E754" s="57">
        <v>12216</v>
      </c>
      <c r="F754" s="77">
        <f t="shared" si="38"/>
        <v>0</v>
      </c>
    </row>
    <row r="755" spans="1:6" x14ac:dyDescent="0.25">
      <c r="A755" s="79">
        <f t="shared" si="37"/>
        <v>10752</v>
      </c>
      <c r="B755" s="77">
        <v>1</v>
      </c>
      <c r="C755" s="77">
        <v>2</v>
      </c>
      <c r="D755" s="77">
        <v>2</v>
      </c>
      <c r="E755" s="57">
        <v>12217</v>
      </c>
      <c r="F755" s="77">
        <f t="shared" si="38"/>
        <v>0</v>
      </c>
    </row>
    <row r="756" spans="1:6" x14ac:dyDescent="0.25">
      <c r="A756" s="79">
        <f t="shared" si="37"/>
        <v>10753</v>
      </c>
      <c r="B756" s="77">
        <v>1</v>
      </c>
      <c r="C756" s="77">
        <v>2</v>
      </c>
      <c r="D756" s="77">
        <v>2</v>
      </c>
      <c r="E756" s="57">
        <v>12218</v>
      </c>
      <c r="F756" s="77">
        <f t="shared" si="38"/>
        <v>0</v>
      </c>
    </row>
    <row r="757" spans="1:6" x14ac:dyDescent="0.25">
      <c r="A757" s="79">
        <f t="shared" si="37"/>
        <v>10754</v>
      </c>
      <c r="B757" s="77">
        <v>1</v>
      </c>
      <c r="C757" s="77">
        <v>2</v>
      </c>
      <c r="D757" s="77">
        <v>2</v>
      </c>
      <c r="E757" s="57">
        <v>12219</v>
      </c>
      <c r="F757" s="77">
        <f t="shared" si="38"/>
        <v>0</v>
      </c>
    </row>
    <row r="758" spans="1:6" x14ac:dyDescent="0.25">
      <c r="A758" s="79">
        <f t="shared" si="37"/>
        <v>10755</v>
      </c>
      <c r="B758" s="77">
        <v>1</v>
      </c>
      <c r="C758" s="77">
        <v>2</v>
      </c>
      <c r="D758" s="77">
        <v>2</v>
      </c>
      <c r="E758" s="57">
        <v>12220</v>
      </c>
      <c r="F758" s="77">
        <f t="shared" si="38"/>
        <v>0</v>
      </c>
    </row>
    <row r="759" spans="1:6" x14ac:dyDescent="0.25">
      <c r="A759" s="79">
        <f t="shared" si="37"/>
        <v>10756</v>
      </c>
      <c r="B759" s="77">
        <v>1</v>
      </c>
      <c r="C759" s="77">
        <v>2</v>
      </c>
      <c r="D759" s="77">
        <v>2</v>
      </c>
      <c r="E759" s="57">
        <v>12221</v>
      </c>
      <c r="F759" s="77">
        <f t="shared" si="38"/>
        <v>0</v>
      </c>
    </row>
    <row r="760" spans="1:6" x14ac:dyDescent="0.25">
      <c r="A760" s="79">
        <f t="shared" si="37"/>
        <v>10757</v>
      </c>
      <c r="B760" s="77">
        <v>1</v>
      </c>
      <c r="C760" s="77">
        <v>2</v>
      </c>
      <c r="D760" s="77">
        <v>2</v>
      </c>
      <c r="E760" s="57">
        <v>12222</v>
      </c>
      <c r="F760" s="77">
        <f t="shared" si="38"/>
        <v>0</v>
      </c>
    </row>
    <row r="761" spans="1:6" x14ac:dyDescent="0.25">
      <c r="A761" s="79">
        <f t="shared" si="37"/>
        <v>10758</v>
      </c>
      <c r="B761" s="77">
        <v>1</v>
      </c>
      <c r="C761" s="77">
        <v>2</v>
      </c>
      <c r="D761" s="77">
        <v>2</v>
      </c>
      <c r="E761" s="57">
        <v>12223</v>
      </c>
      <c r="F761" s="77">
        <f t="shared" si="38"/>
        <v>0</v>
      </c>
    </row>
    <row r="762" spans="1:6" x14ac:dyDescent="0.25">
      <c r="A762" s="79">
        <f t="shared" si="37"/>
        <v>10759</v>
      </c>
      <c r="B762" s="77">
        <v>1</v>
      </c>
      <c r="C762" s="77">
        <v>2</v>
      </c>
      <c r="D762" s="77">
        <v>2</v>
      </c>
      <c r="E762" s="57">
        <v>12224</v>
      </c>
      <c r="F762" s="77">
        <f t="shared" si="38"/>
        <v>0</v>
      </c>
    </row>
    <row r="763" spans="1:6" x14ac:dyDescent="0.25">
      <c r="A763" s="79">
        <f t="shared" si="37"/>
        <v>10760</v>
      </c>
      <c r="B763" s="77">
        <v>1</v>
      </c>
      <c r="C763" s="77">
        <v>2</v>
      </c>
      <c r="D763" s="77">
        <v>2</v>
      </c>
      <c r="E763" s="57">
        <v>12225</v>
      </c>
      <c r="F763" s="77">
        <f t="shared" si="38"/>
        <v>0</v>
      </c>
    </row>
    <row r="764" spans="1:6" x14ac:dyDescent="0.25">
      <c r="A764" s="79">
        <f t="shared" si="37"/>
        <v>10761</v>
      </c>
      <c r="B764" s="77">
        <v>1</v>
      </c>
      <c r="C764" s="77">
        <v>2</v>
      </c>
      <c r="D764" s="77">
        <v>2</v>
      </c>
      <c r="E764" s="57">
        <v>12226</v>
      </c>
      <c r="F764" s="77">
        <f t="shared" si="38"/>
        <v>0</v>
      </c>
    </row>
    <row r="765" spans="1:6" x14ac:dyDescent="0.25">
      <c r="A765" s="79">
        <f t="shared" si="37"/>
        <v>10762</v>
      </c>
      <c r="B765" s="77">
        <v>1</v>
      </c>
      <c r="C765" s="77">
        <v>2</v>
      </c>
      <c r="D765" s="77">
        <v>2</v>
      </c>
      <c r="E765" s="57">
        <v>12227</v>
      </c>
      <c r="F765" s="77">
        <f t="shared" si="38"/>
        <v>0</v>
      </c>
    </row>
    <row r="766" spans="1:6" x14ac:dyDescent="0.25">
      <c r="A766" s="79">
        <f t="shared" si="37"/>
        <v>10763</v>
      </c>
      <c r="B766" s="77">
        <v>1</v>
      </c>
      <c r="C766" s="77">
        <v>2</v>
      </c>
      <c r="D766" s="77">
        <v>2</v>
      </c>
      <c r="E766" s="57">
        <v>12228</v>
      </c>
      <c r="F766" s="77">
        <f t="shared" si="38"/>
        <v>0</v>
      </c>
    </row>
    <row r="767" spans="1:6" x14ac:dyDescent="0.25">
      <c r="A767" s="79">
        <f t="shared" si="37"/>
        <v>10764</v>
      </c>
      <c r="B767" s="77">
        <v>1</v>
      </c>
      <c r="C767" s="77">
        <v>2</v>
      </c>
      <c r="D767" s="77">
        <v>2</v>
      </c>
      <c r="E767" s="57">
        <v>12229</v>
      </c>
      <c r="F767" s="77">
        <f t="shared" si="38"/>
        <v>0</v>
      </c>
    </row>
    <row r="768" spans="1:6" x14ac:dyDescent="0.25">
      <c r="A768" s="79">
        <f t="shared" si="37"/>
        <v>10765</v>
      </c>
      <c r="B768" s="77">
        <v>1</v>
      </c>
      <c r="C768" s="77">
        <v>2</v>
      </c>
      <c r="D768" s="77">
        <v>2</v>
      </c>
      <c r="E768" s="57">
        <v>12230</v>
      </c>
      <c r="F768" s="77">
        <f t="shared" si="38"/>
        <v>0</v>
      </c>
    </row>
    <row r="769" spans="1:6" x14ac:dyDescent="0.25">
      <c r="A769" s="79">
        <f t="shared" si="37"/>
        <v>10766</v>
      </c>
      <c r="B769" s="77">
        <f>B739+1</f>
        <v>2</v>
      </c>
      <c r="C769" s="77">
        <v>2</v>
      </c>
      <c r="D769" s="77">
        <v>2</v>
      </c>
      <c r="E769" s="77">
        <f>E739</f>
        <v>12201</v>
      </c>
      <c r="F769" s="77">
        <f t="shared" si="38"/>
        <v>10</v>
      </c>
    </row>
    <row r="770" spans="1:6" x14ac:dyDescent="0.25">
      <c r="A770" s="79">
        <f t="shared" si="37"/>
        <v>10767</v>
      </c>
      <c r="B770" s="77">
        <f t="shared" ref="B770:B833" si="39">B740+1</f>
        <v>2</v>
      </c>
      <c r="C770" s="77">
        <v>2</v>
      </c>
      <c r="D770" s="77">
        <v>2</v>
      </c>
      <c r="E770" s="77">
        <f t="shared" ref="E770:E833" si="40">E740</f>
        <v>12202</v>
      </c>
      <c r="F770" s="77">
        <f t="shared" si="38"/>
        <v>10</v>
      </c>
    </row>
    <row r="771" spans="1:6" x14ac:dyDescent="0.25">
      <c r="A771" s="79">
        <f t="shared" si="37"/>
        <v>10768</v>
      </c>
      <c r="B771" s="77">
        <f t="shared" si="39"/>
        <v>2</v>
      </c>
      <c r="C771" s="77">
        <v>2</v>
      </c>
      <c r="D771" s="77">
        <v>2</v>
      </c>
      <c r="E771" s="77">
        <f t="shared" si="40"/>
        <v>12203</v>
      </c>
      <c r="F771" s="77">
        <f t="shared" si="38"/>
        <v>10</v>
      </c>
    </row>
    <row r="772" spans="1:6" x14ac:dyDescent="0.25">
      <c r="A772" s="79">
        <f t="shared" si="37"/>
        <v>10769</v>
      </c>
      <c r="B772" s="77">
        <f t="shared" si="39"/>
        <v>2</v>
      </c>
      <c r="C772" s="77">
        <v>2</v>
      </c>
      <c r="D772" s="77">
        <v>2</v>
      </c>
      <c r="E772" s="77">
        <f t="shared" si="40"/>
        <v>12204</v>
      </c>
      <c r="F772" s="77">
        <f t="shared" si="38"/>
        <v>10</v>
      </c>
    </row>
    <row r="773" spans="1:6" x14ac:dyDescent="0.25">
      <c r="A773" s="79">
        <f t="shared" si="37"/>
        <v>10770</v>
      </c>
      <c r="B773" s="77">
        <f t="shared" si="39"/>
        <v>2</v>
      </c>
      <c r="C773" s="77">
        <v>2</v>
      </c>
      <c r="D773" s="77">
        <v>2</v>
      </c>
      <c r="E773" s="77">
        <f t="shared" si="40"/>
        <v>12205</v>
      </c>
      <c r="F773" s="77">
        <f t="shared" si="38"/>
        <v>10</v>
      </c>
    </row>
    <row r="774" spans="1:6" x14ac:dyDescent="0.25">
      <c r="A774" s="79">
        <f t="shared" si="37"/>
        <v>10771</v>
      </c>
      <c r="B774" s="77">
        <f t="shared" si="39"/>
        <v>2</v>
      </c>
      <c r="C774" s="77">
        <v>2</v>
      </c>
      <c r="D774" s="77">
        <v>2</v>
      </c>
      <c r="E774" s="77">
        <f t="shared" si="40"/>
        <v>12206</v>
      </c>
      <c r="F774" s="77">
        <f t="shared" si="38"/>
        <v>10</v>
      </c>
    </row>
    <row r="775" spans="1:6" x14ac:dyDescent="0.25">
      <c r="A775" s="79">
        <f t="shared" si="37"/>
        <v>10772</v>
      </c>
      <c r="B775" s="77">
        <f t="shared" si="39"/>
        <v>2</v>
      </c>
      <c r="C775" s="77">
        <v>2</v>
      </c>
      <c r="D775" s="77">
        <v>2</v>
      </c>
      <c r="E775" s="77">
        <f t="shared" si="40"/>
        <v>12207</v>
      </c>
      <c r="F775" s="77">
        <f t="shared" si="38"/>
        <v>10</v>
      </c>
    </row>
    <row r="776" spans="1:6" x14ac:dyDescent="0.25">
      <c r="A776" s="79">
        <f t="shared" si="37"/>
        <v>10773</v>
      </c>
      <c r="B776" s="77">
        <f t="shared" si="39"/>
        <v>2</v>
      </c>
      <c r="C776" s="77">
        <v>2</v>
      </c>
      <c r="D776" s="77">
        <v>2</v>
      </c>
      <c r="E776" s="77">
        <f t="shared" si="40"/>
        <v>12208</v>
      </c>
      <c r="F776" s="77">
        <f t="shared" si="38"/>
        <v>10</v>
      </c>
    </row>
    <row r="777" spans="1:6" x14ac:dyDescent="0.25">
      <c r="A777" s="79">
        <f t="shared" si="37"/>
        <v>10774</v>
      </c>
      <c r="B777" s="77">
        <f t="shared" si="39"/>
        <v>2</v>
      </c>
      <c r="C777" s="77">
        <v>2</v>
      </c>
      <c r="D777" s="77">
        <v>2</v>
      </c>
      <c r="E777" s="77">
        <f t="shared" si="40"/>
        <v>12209</v>
      </c>
      <c r="F777" s="77">
        <f t="shared" si="38"/>
        <v>10</v>
      </c>
    </row>
    <row r="778" spans="1:6" x14ac:dyDescent="0.25">
      <c r="A778" s="79">
        <f t="shared" si="37"/>
        <v>10775</v>
      </c>
      <c r="B778" s="77">
        <f t="shared" si="39"/>
        <v>2</v>
      </c>
      <c r="C778" s="77">
        <v>2</v>
      </c>
      <c r="D778" s="77">
        <v>2</v>
      </c>
      <c r="E778" s="77">
        <f t="shared" si="40"/>
        <v>12210</v>
      </c>
      <c r="F778" s="77">
        <f t="shared" si="38"/>
        <v>10</v>
      </c>
    </row>
    <row r="779" spans="1:6" x14ac:dyDescent="0.25">
      <c r="A779" s="79">
        <f t="shared" si="37"/>
        <v>10776</v>
      </c>
      <c r="B779" s="77">
        <f t="shared" si="39"/>
        <v>2</v>
      </c>
      <c r="C779" s="77">
        <v>2</v>
      </c>
      <c r="D779" s="77">
        <v>2</v>
      </c>
      <c r="E779" s="77">
        <f t="shared" si="40"/>
        <v>12211</v>
      </c>
      <c r="F779" s="77">
        <f t="shared" si="38"/>
        <v>10</v>
      </c>
    </row>
    <row r="780" spans="1:6" x14ac:dyDescent="0.25">
      <c r="A780" s="79">
        <f t="shared" si="37"/>
        <v>10777</v>
      </c>
      <c r="B780" s="77">
        <f t="shared" si="39"/>
        <v>2</v>
      </c>
      <c r="C780" s="77">
        <v>2</v>
      </c>
      <c r="D780" s="77">
        <v>2</v>
      </c>
      <c r="E780" s="77">
        <f t="shared" si="40"/>
        <v>12212</v>
      </c>
      <c r="F780" s="77">
        <f t="shared" si="38"/>
        <v>10</v>
      </c>
    </row>
    <row r="781" spans="1:6" x14ac:dyDescent="0.25">
      <c r="A781" s="79">
        <f t="shared" si="37"/>
        <v>10778</v>
      </c>
      <c r="B781" s="77">
        <f t="shared" si="39"/>
        <v>2</v>
      </c>
      <c r="C781" s="77">
        <v>2</v>
      </c>
      <c r="D781" s="77">
        <v>2</v>
      </c>
      <c r="E781" s="77">
        <f t="shared" si="40"/>
        <v>12213</v>
      </c>
      <c r="F781" s="77">
        <f t="shared" si="38"/>
        <v>10</v>
      </c>
    </row>
    <row r="782" spans="1:6" x14ac:dyDescent="0.25">
      <c r="A782" s="79">
        <f t="shared" si="37"/>
        <v>10779</v>
      </c>
      <c r="B782" s="77">
        <f t="shared" si="39"/>
        <v>2</v>
      </c>
      <c r="C782" s="77">
        <v>2</v>
      </c>
      <c r="D782" s="77">
        <v>2</v>
      </c>
      <c r="E782" s="77">
        <f t="shared" si="40"/>
        <v>12214</v>
      </c>
      <c r="F782" s="77">
        <f t="shared" si="38"/>
        <v>10</v>
      </c>
    </row>
    <row r="783" spans="1:6" x14ac:dyDescent="0.25">
      <c r="A783" s="79">
        <f t="shared" si="37"/>
        <v>10780</v>
      </c>
      <c r="B783" s="77">
        <f t="shared" si="39"/>
        <v>2</v>
      </c>
      <c r="C783" s="77">
        <v>2</v>
      </c>
      <c r="D783" s="77">
        <v>2</v>
      </c>
      <c r="E783" s="77">
        <f t="shared" si="40"/>
        <v>12215</v>
      </c>
      <c r="F783" s="77">
        <f t="shared" si="38"/>
        <v>10</v>
      </c>
    </row>
    <row r="784" spans="1:6" x14ac:dyDescent="0.25">
      <c r="A784" s="79">
        <f t="shared" si="37"/>
        <v>10781</v>
      </c>
      <c r="B784" s="77">
        <f t="shared" si="39"/>
        <v>2</v>
      </c>
      <c r="C784" s="77">
        <v>2</v>
      </c>
      <c r="D784" s="77">
        <v>2</v>
      </c>
      <c r="E784" s="77">
        <f t="shared" si="40"/>
        <v>12216</v>
      </c>
      <c r="F784" s="77">
        <f t="shared" si="38"/>
        <v>10</v>
      </c>
    </row>
    <row r="785" spans="1:6" x14ac:dyDescent="0.25">
      <c r="A785" s="79">
        <f t="shared" si="37"/>
        <v>10782</v>
      </c>
      <c r="B785" s="77">
        <f t="shared" si="39"/>
        <v>2</v>
      </c>
      <c r="C785" s="77">
        <v>2</v>
      </c>
      <c r="D785" s="77">
        <v>2</v>
      </c>
      <c r="E785" s="77">
        <f t="shared" si="40"/>
        <v>12217</v>
      </c>
      <c r="F785" s="77">
        <f t="shared" si="38"/>
        <v>10</v>
      </c>
    </row>
    <row r="786" spans="1:6" x14ac:dyDescent="0.25">
      <c r="A786" s="79">
        <f t="shared" si="37"/>
        <v>10783</v>
      </c>
      <c r="B786" s="77">
        <f t="shared" si="39"/>
        <v>2</v>
      </c>
      <c r="C786" s="77">
        <v>2</v>
      </c>
      <c r="D786" s="77">
        <v>2</v>
      </c>
      <c r="E786" s="77">
        <f t="shared" si="40"/>
        <v>12218</v>
      </c>
      <c r="F786" s="77">
        <f t="shared" si="38"/>
        <v>10</v>
      </c>
    </row>
    <row r="787" spans="1:6" x14ac:dyDescent="0.25">
      <c r="A787" s="79">
        <f t="shared" si="37"/>
        <v>10784</v>
      </c>
      <c r="B787" s="77">
        <f t="shared" si="39"/>
        <v>2</v>
      </c>
      <c r="C787" s="77">
        <v>2</v>
      </c>
      <c r="D787" s="77">
        <v>2</v>
      </c>
      <c r="E787" s="77">
        <f t="shared" si="40"/>
        <v>12219</v>
      </c>
      <c r="F787" s="77">
        <f t="shared" si="38"/>
        <v>10</v>
      </c>
    </row>
    <row r="788" spans="1:6" x14ac:dyDescent="0.25">
      <c r="A788" s="79">
        <f t="shared" si="37"/>
        <v>10785</v>
      </c>
      <c r="B788" s="77">
        <f t="shared" si="39"/>
        <v>2</v>
      </c>
      <c r="C788" s="77">
        <v>2</v>
      </c>
      <c r="D788" s="77">
        <v>2</v>
      </c>
      <c r="E788" s="77">
        <f t="shared" si="40"/>
        <v>12220</v>
      </c>
      <c r="F788" s="77">
        <f t="shared" si="38"/>
        <v>10</v>
      </c>
    </row>
    <row r="789" spans="1:6" x14ac:dyDescent="0.25">
      <c r="A789" s="79">
        <f t="shared" si="37"/>
        <v>10786</v>
      </c>
      <c r="B789" s="77">
        <f t="shared" si="39"/>
        <v>2</v>
      </c>
      <c r="C789" s="77">
        <v>2</v>
      </c>
      <c r="D789" s="77">
        <v>2</v>
      </c>
      <c r="E789" s="77">
        <f t="shared" si="40"/>
        <v>12221</v>
      </c>
      <c r="F789" s="77">
        <f t="shared" si="38"/>
        <v>0</v>
      </c>
    </row>
    <row r="790" spans="1:6" x14ac:dyDescent="0.25">
      <c r="A790" s="79">
        <f t="shared" si="37"/>
        <v>10787</v>
      </c>
      <c r="B790" s="77">
        <f t="shared" si="39"/>
        <v>2</v>
      </c>
      <c r="C790" s="77">
        <v>2</v>
      </c>
      <c r="D790" s="77">
        <v>2</v>
      </c>
      <c r="E790" s="77">
        <f t="shared" si="40"/>
        <v>12222</v>
      </c>
      <c r="F790" s="77">
        <f t="shared" si="38"/>
        <v>0</v>
      </c>
    </row>
    <row r="791" spans="1:6" x14ac:dyDescent="0.25">
      <c r="A791" s="79">
        <f t="shared" si="37"/>
        <v>10788</v>
      </c>
      <c r="B791" s="77">
        <f t="shared" si="39"/>
        <v>2</v>
      </c>
      <c r="C791" s="77">
        <v>2</v>
      </c>
      <c r="D791" s="77">
        <v>2</v>
      </c>
      <c r="E791" s="77">
        <f t="shared" si="40"/>
        <v>12223</v>
      </c>
      <c r="F791" s="77">
        <f t="shared" si="38"/>
        <v>0</v>
      </c>
    </row>
    <row r="792" spans="1:6" x14ac:dyDescent="0.25">
      <c r="A792" s="79">
        <f t="shared" si="37"/>
        <v>10789</v>
      </c>
      <c r="B792" s="77">
        <f t="shared" si="39"/>
        <v>2</v>
      </c>
      <c r="C792" s="77">
        <v>2</v>
      </c>
      <c r="D792" s="77">
        <v>2</v>
      </c>
      <c r="E792" s="77">
        <f t="shared" si="40"/>
        <v>12224</v>
      </c>
      <c r="F792" s="77">
        <f t="shared" si="38"/>
        <v>0</v>
      </c>
    </row>
    <row r="793" spans="1:6" x14ac:dyDescent="0.25">
      <c r="A793" s="79">
        <f t="shared" si="37"/>
        <v>10790</v>
      </c>
      <c r="B793" s="77">
        <f t="shared" si="39"/>
        <v>2</v>
      </c>
      <c r="C793" s="77">
        <v>2</v>
      </c>
      <c r="D793" s="77">
        <v>2</v>
      </c>
      <c r="E793" s="77">
        <f t="shared" si="40"/>
        <v>12225</v>
      </c>
      <c r="F793" s="77">
        <f t="shared" si="38"/>
        <v>0</v>
      </c>
    </row>
    <row r="794" spans="1:6" x14ac:dyDescent="0.25">
      <c r="A794" s="79">
        <f t="shared" si="37"/>
        <v>10791</v>
      </c>
      <c r="B794" s="77">
        <f t="shared" si="39"/>
        <v>2</v>
      </c>
      <c r="C794" s="77">
        <v>2</v>
      </c>
      <c r="D794" s="77">
        <v>2</v>
      </c>
      <c r="E794" s="77">
        <f t="shared" si="40"/>
        <v>12226</v>
      </c>
      <c r="F794" s="77">
        <f t="shared" si="38"/>
        <v>0</v>
      </c>
    </row>
    <row r="795" spans="1:6" x14ac:dyDescent="0.25">
      <c r="A795" s="79">
        <f t="shared" si="37"/>
        <v>10792</v>
      </c>
      <c r="B795" s="77">
        <f t="shared" si="39"/>
        <v>2</v>
      </c>
      <c r="C795" s="77">
        <v>2</v>
      </c>
      <c r="D795" s="77">
        <v>2</v>
      </c>
      <c r="E795" s="77">
        <f t="shared" si="40"/>
        <v>12227</v>
      </c>
      <c r="F795" s="77">
        <f t="shared" si="38"/>
        <v>0</v>
      </c>
    </row>
    <row r="796" spans="1:6" x14ac:dyDescent="0.25">
      <c r="A796" s="79">
        <f t="shared" si="37"/>
        <v>10793</v>
      </c>
      <c r="B796" s="77">
        <f t="shared" si="39"/>
        <v>2</v>
      </c>
      <c r="C796" s="77">
        <v>2</v>
      </c>
      <c r="D796" s="77">
        <v>2</v>
      </c>
      <c r="E796" s="77">
        <f t="shared" si="40"/>
        <v>12228</v>
      </c>
      <c r="F796" s="77">
        <f t="shared" si="38"/>
        <v>0</v>
      </c>
    </row>
    <row r="797" spans="1:6" x14ac:dyDescent="0.25">
      <c r="A797" s="79">
        <f t="shared" si="37"/>
        <v>10794</v>
      </c>
      <c r="B797" s="77">
        <f t="shared" si="39"/>
        <v>2</v>
      </c>
      <c r="C797" s="77">
        <v>2</v>
      </c>
      <c r="D797" s="77">
        <v>2</v>
      </c>
      <c r="E797" s="77">
        <f t="shared" si="40"/>
        <v>12229</v>
      </c>
      <c r="F797" s="77">
        <f t="shared" si="38"/>
        <v>0</v>
      </c>
    </row>
    <row r="798" spans="1:6" x14ac:dyDescent="0.25">
      <c r="A798" s="79">
        <f t="shared" si="37"/>
        <v>10795</v>
      </c>
      <c r="B798" s="77">
        <f t="shared" si="39"/>
        <v>2</v>
      </c>
      <c r="C798" s="77">
        <v>2</v>
      </c>
      <c r="D798" s="77">
        <v>2</v>
      </c>
      <c r="E798" s="77">
        <f t="shared" si="40"/>
        <v>12230</v>
      </c>
      <c r="F798" s="77">
        <f t="shared" si="38"/>
        <v>0</v>
      </c>
    </row>
    <row r="799" spans="1:6" x14ac:dyDescent="0.25">
      <c r="A799" s="79">
        <f t="shared" si="37"/>
        <v>10796</v>
      </c>
      <c r="B799" s="77">
        <f t="shared" si="39"/>
        <v>3</v>
      </c>
      <c r="C799" s="77">
        <v>2</v>
      </c>
      <c r="D799" s="77">
        <v>2</v>
      </c>
      <c r="E799" s="77">
        <f t="shared" si="40"/>
        <v>12201</v>
      </c>
      <c r="F799" s="77">
        <f t="shared" si="38"/>
        <v>0</v>
      </c>
    </row>
    <row r="800" spans="1:6" x14ac:dyDescent="0.25">
      <c r="A800" s="79">
        <f t="shared" si="37"/>
        <v>10797</v>
      </c>
      <c r="B800" s="77">
        <f t="shared" si="39"/>
        <v>3</v>
      </c>
      <c r="C800" s="77">
        <v>2</v>
      </c>
      <c r="D800" s="77">
        <v>2</v>
      </c>
      <c r="E800" s="77">
        <f t="shared" si="40"/>
        <v>12202</v>
      </c>
      <c r="F800" s="77">
        <f t="shared" si="38"/>
        <v>0</v>
      </c>
    </row>
    <row r="801" spans="1:6" x14ac:dyDescent="0.25">
      <c r="A801" s="79">
        <f t="shared" si="37"/>
        <v>10798</v>
      </c>
      <c r="B801" s="77">
        <f t="shared" si="39"/>
        <v>3</v>
      </c>
      <c r="C801" s="77">
        <v>2</v>
      </c>
      <c r="D801" s="77">
        <v>2</v>
      </c>
      <c r="E801" s="77">
        <f t="shared" si="40"/>
        <v>12203</v>
      </c>
      <c r="F801" s="77">
        <f t="shared" si="38"/>
        <v>0</v>
      </c>
    </row>
    <row r="802" spans="1:6" x14ac:dyDescent="0.25">
      <c r="A802" s="79">
        <f t="shared" si="37"/>
        <v>10799</v>
      </c>
      <c r="B802" s="77">
        <f t="shared" si="39"/>
        <v>3</v>
      </c>
      <c r="C802" s="77">
        <v>2</v>
      </c>
      <c r="D802" s="77">
        <v>2</v>
      </c>
      <c r="E802" s="77">
        <f t="shared" si="40"/>
        <v>12204</v>
      </c>
      <c r="F802" s="77">
        <f t="shared" si="38"/>
        <v>0</v>
      </c>
    </row>
    <row r="803" spans="1:6" x14ac:dyDescent="0.25">
      <c r="A803" s="79">
        <f t="shared" si="37"/>
        <v>10800</v>
      </c>
      <c r="B803" s="77">
        <f t="shared" si="39"/>
        <v>3</v>
      </c>
      <c r="C803" s="77">
        <v>2</v>
      </c>
      <c r="D803" s="77">
        <v>2</v>
      </c>
      <c r="E803" s="77">
        <f t="shared" si="40"/>
        <v>12205</v>
      </c>
      <c r="F803" s="77">
        <f t="shared" si="38"/>
        <v>0</v>
      </c>
    </row>
    <row r="804" spans="1:6" x14ac:dyDescent="0.25">
      <c r="A804" s="79">
        <f t="shared" ref="A804:A867" si="41">A803+1</f>
        <v>10801</v>
      </c>
      <c r="B804" s="77">
        <f t="shared" si="39"/>
        <v>3</v>
      </c>
      <c r="C804" s="77">
        <v>2</v>
      </c>
      <c r="D804" s="77">
        <v>2</v>
      </c>
      <c r="E804" s="77">
        <f t="shared" si="40"/>
        <v>12206</v>
      </c>
      <c r="F804" s="77">
        <f t="shared" ref="F804:F867" si="42">F594</f>
        <v>10</v>
      </c>
    </row>
    <row r="805" spans="1:6" x14ac:dyDescent="0.25">
      <c r="A805" s="79">
        <f t="shared" si="41"/>
        <v>10802</v>
      </c>
      <c r="B805" s="77">
        <f t="shared" si="39"/>
        <v>3</v>
      </c>
      <c r="C805" s="77">
        <v>2</v>
      </c>
      <c r="D805" s="77">
        <v>2</v>
      </c>
      <c r="E805" s="77">
        <f t="shared" si="40"/>
        <v>12207</v>
      </c>
      <c r="F805" s="77">
        <f t="shared" si="42"/>
        <v>10</v>
      </c>
    </row>
    <row r="806" spans="1:6" x14ac:dyDescent="0.25">
      <c r="A806" s="79">
        <f t="shared" si="41"/>
        <v>10803</v>
      </c>
      <c r="B806" s="77">
        <f t="shared" si="39"/>
        <v>3</v>
      </c>
      <c r="C806" s="77">
        <v>2</v>
      </c>
      <c r="D806" s="77">
        <v>2</v>
      </c>
      <c r="E806" s="77">
        <f t="shared" si="40"/>
        <v>12208</v>
      </c>
      <c r="F806" s="77">
        <f t="shared" si="42"/>
        <v>10</v>
      </c>
    </row>
    <row r="807" spans="1:6" x14ac:dyDescent="0.25">
      <c r="A807" s="79">
        <f t="shared" si="41"/>
        <v>10804</v>
      </c>
      <c r="B807" s="77">
        <f t="shared" si="39"/>
        <v>3</v>
      </c>
      <c r="C807" s="77">
        <v>2</v>
      </c>
      <c r="D807" s="77">
        <v>2</v>
      </c>
      <c r="E807" s="77">
        <f t="shared" si="40"/>
        <v>12209</v>
      </c>
      <c r="F807" s="77">
        <f t="shared" si="42"/>
        <v>10</v>
      </c>
    </row>
    <row r="808" spans="1:6" x14ac:dyDescent="0.25">
      <c r="A808" s="79">
        <f t="shared" si="41"/>
        <v>10805</v>
      </c>
      <c r="B808" s="77">
        <f t="shared" si="39"/>
        <v>3</v>
      </c>
      <c r="C808" s="77">
        <v>2</v>
      </c>
      <c r="D808" s="77">
        <v>2</v>
      </c>
      <c r="E808" s="77">
        <f t="shared" si="40"/>
        <v>12210</v>
      </c>
      <c r="F808" s="77">
        <f t="shared" si="42"/>
        <v>10</v>
      </c>
    </row>
    <row r="809" spans="1:6" x14ac:dyDescent="0.25">
      <c r="A809" s="79">
        <f t="shared" si="41"/>
        <v>10806</v>
      </c>
      <c r="B809" s="77">
        <f t="shared" si="39"/>
        <v>3</v>
      </c>
      <c r="C809" s="77">
        <v>2</v>
      </c>
      <c r="D809" s="77">
        <v>2</v>
      </c>
      <c r="E809" s="77">
        <f t="shared" si="40"/>
        <v>12211</v>
      </c>
      <c r="F809" s="77">
        <f t="shared" si="42"/>
        <v>10</v>
      </c>
    </row>
    <row r="810" spans="1:6" x14ac:dyDescent="0.25">
      <c r="A810" s="79">
        <f t="shared" si="41"/>
        <v>10807</v>
      </c>
      <c r="B810" s="77">
        <f t="shared" si="39"/>
        <v>3</v>
      </c>
      <c r="C810" s="77">
        <v>2</v>
      </c>
      <c r="D810" s="77">
        <v>2</v>
      </c>
      <c r="E810" s="77">
        <f t="shared" si="40"/>
        <v>12212</v>
      </c>
      <c r="F810" s="77">
        <f t="shared" si="42"/>
        <v>10</v>
      </c>
    </row>
    <row r="811" spans="1:6" x14ac:dyDescent="0.25">
      <c r="A811" s="79">
        <f t="shared" si="41"/>
        <v>10808</v>
      </c>
      <c r="B811" s="77">
        <f t="shared" si="39"/>
        <v>3</v>
      </c>
      <c r="C811" s="77">
        <v>2</v>
      </c>
      <c r="D811" s="77">
        <v>2</v>
      </c>
      <c r="E811" s="77">
        <f t="shared" si="40"/>
        <v>12213</v>
      </c>
      <c r="F811" s="77">
        <f t="shared" si="42"/>
        <v>10</v>
      </c>
    </row>
    <row r="812" spans="1:6" x14ac:dyDescent="0.25">
      <c r="A812" s="79">
        <f t="shared" si="41"/>
        <v>10809</v>
      </c>
      <c r="B812" s="77">
        <f t="shared" si="39"/>
        <v>3</v>
      </c>
      <c r="C812" s="77">
        <v>2</v>
      </c>
      <c r="D812" s="77">
        <v>2</v>
      </c>
      <c r="E812" s="77">
        <f t="shared" si="40"/>
        <v>12214</v>
      </c>
      <c r="F812" s="77">
        <f t="shared" si="42"/>
        <v>10</v>
      </c>
    </row>
    <row r="813" spans="1:6" x14ac:dyDescent="0.25">
      <c r="A813" s="79">
        <f t="shared" si="41"/>
        <v>10810</v>
      </c>
      <c r="B813" s="77">
        <f t="shared" si="39"/>
        <v>3</v>
      </c>
      <c r="C813" s="77">
        <v>2</v>
      </c>
      <c r="D813" s="77">
        <v>2</v>
      </c>
      <c r="E813" s="77">
        <f t="shared" si="40"/>
        <v>12215</v>
      </c>
      <c r="F813" s="77">
        <f t="shared" si="42"/>
        <v>10</v>
      </c>
    </row>
    <row r="814" spans="1:6" x14ac:dyDescent="0.25">
      <c r="A814" s="79">
        <f t="shared" si="41"/>
        <v>10811</v>
      </c>
      <c r="B814" s="77">
        <f t="shared" si="39"/>
        <v>3</v>
      </c>
      <c r="C814" s="77">
        <v>2</v>
      </c>
      <c r="D814" s="77">
        <v>2</v>
      </c>
      <c r="E814" s="77">
        <f t="shared" si="40"/>
        <v>12216</v>
      </c>
      <c r="F814" s="77">
        <f t="shared" si="42"/>
        <v>10</v>
      </c>
    </row>
    <row r="815" spans="1:6" x14ac:dyDescent="0.25">
      <c r="A815" s="79">
        <f t="shared" si="41"/>
        <v>10812</v>
      </c>
      <c r="B815" s="77">
        <f t="shared" si="39"/>
        <v>3</v>
      </c>
      <c r="C815" s="77">
        <v>2</v>
      </c>
      <c r="D815" s="77">
        <v>2</v>
      </c>
      <c r="E815" s="77">
        <f t="shared" si="40"/>
        <v>12217</v>
      </c>
      <c r="F815" s="77">
        <f t="shared" si="42"/>
        <v>10</v>
      </c>
    </row>
    <row r="816" spans="1:6" x14ac:dyDescent="0.25">
      <c r="A816" s="79">
        <f t="shared" si="41"/>
        <v>10813</v>
      </c>
      <c r="B816" s="77">
        <f t="shared" si="39"/>
        <v>3</v>
      </c>
      <c r="C816" s="77">
        <v>2</v>
      </c>
      <c r="D816" s="77">
        <v>2</v>
      </c>
      <c r="E816" s="77">
        <f t="shared" si="40"/>
        <v>12218</v>
      </c>
      <c r="F816" s="77">
        <f t="shared" si="42"/>
        <v>10</v>
      </c>
    </row>
    <row r="817" spans="1:6" x14ac:dyDescent="0.25">
      <c r="A817" s="79">
        <f t="shared" si="41"/>
        <v>10814</v>
      </c>
      <c r="B817" s="77">
        <f t="shared" si="39"/>
        <v>3</v>
      </c>
      <c r="C817" s="77">
        <v>2</v>
      </c>
      <c r="D817" s="77">
        <v>2</v>
      </c>
      <c r="E817" s="77">
        <f t="shared" si="40"/>
        <v>12219</v>
      </c>
      <c r="F817" s="77">
        <f t="shared" si="42"/>
        <v>10</v>
      </c>
    </row>
    <row r="818" spans="1:6" x14ac:dyDescent="0.25">
      <c r="A818" s="79">
        <f t="shared" si="41"/>
        <v>10815</v>
      </c>
      <c r="B818" s="77">
        <f t="shared" si="39"/>
        <v>3</v>
      </c>
      <c r="C818" s="77">
        <v>2</v>
      </c>
      <c r="D818" s="77">
        <v>2</v>
      </c>
      <c r="E818" s="77">
        <f t="shared" si="40"/>
        <v>12220</v>
      </c>
      <c r="F818" s="77">
        <f t="shared" si="42"/>
        <v>10</v>
      </c>
    </row>
    <row r="819" spans="1:6" x14ac:dyDescent="0.25">
      <c r="A819" s="79">
        <f t="shared" si="41"/>
        <v>10816</v>
      </c>
      <c r="B819" s="77">
        <f t="shared" si="39"/>
        <v>3</v>
      </c>
      <c r="C819" s="77">
        <v>2</v>
      </c>
      <c r="D819" s="77">
        <v>2</v>
      </c>
      <c r="E819" s="77">
        <f t="shared" si="40"/>
        <v>12221</v>
      </c>
      <c r="F819" s="77">
        <f t="shared" si="42"/>
        <v>10</v>
      </c>
    </row>
    <row r="820" spans="1:6" x14ac:dyDescent="0.25">
      <c r="A820" s="79">
        <f t="shared" si="41"/>
        <v>10817</v>
      </c>
      <c r="B820" s="77">
        <f t="shared" si="39"/>
        <v>3</v>
      </c>
      <c r="C820" s="77">
        <v>2</v>
      </c>
      <c r="D820" s="77">
        <v>2</v>
      </c>
      <c r="E820" s="77">
        <f t="shared" si="40"/>
        <v>12222</v>
      </c>
      <c r="F820" s="77">
        <f t="shared" si="42"/>
        <v>10</v>
      </c>
    </row>
    <row r="821" spans="1:6" x14ac:dyDescent="0.25">
      <c r="A821" s="79">
        <f t="shared" si="41"/>
        <v>10818</v>
      </c>
      <c r="B821" s="77">
        <f t="shared" si="39"/>
        <v>3</v>
      </c>
      <c r="C821" s="77">
        <v>2</v>
      </c>
      <c r="D821" s="77">
        <v>2</v>
      </c>
      <c r="E821" s="77">
        <f t="shared" si="40"/>
        <v>12223</v>
      </c>
      <c r="F821" s="77">
        <f t="shared" si="42"/>
        <v>0</v>
      </c>
    </row>
    <row r="822" spans="1:6" x14ac:dyDescent="0.25">
      <c r="A822" s="79">
        <f t="shared" si="41"/>
        <v>10819</v>
      </c>
      <c r="B822" s="77">
        <f t="shared" si="39"/>
        <v>3</v>
      </c>
      <c r="C822" s="77">
        <v>2</v>
      </c>
      <c r="D822" s="77">
        <v>2</v>
      </c>
      <c r="E822" s="77">
        <f t="shared" si="40"/>
        <v>12224</v>
      </c>
      <c r="F822" s="77">
        <f t="shared" si="42"/>
        <v>0</v>
      </c>
    </row>
    <row r="823" spans="1:6" x14ac:dyDescent="0.25">
      <c r="A823" s="79">
        <f t="shared" si="41"/>
        <v>10820</v>
      </c>
      <c r="B823" s="77">
        <f t="shared" si="39"/>
        <v>3</v>
      </c>
      <c r="C823" s="77">
        <v>2</v>
      </c>
      <c r="D823" s="77">
        <v>2</v>
      </c>
      <c r="E823" s="77">
        <f t="shared" si="40"/>
        <v>12225</v>
      </c>
      <c r="F823" s="77">
        <f t="shared" si="42"/>
        <v>0</v>
      </c>
    </row>
    <row r="824" spans="1:6" x14ac:dyDescent="0.25">
      <c r="A824" s="79">
        <f t="shared" si="41"/>
        <v>10821</v>
      </c>
      <c r="B824" s="77">
        <f t="shared" si="39"/>
        <v>3</v>
      </c>
      <c r="C824" s="77">
        <v>2</v>
      </c>
      <c r="D824" s="77">
        <v>2</v>
      </c>
      <c r="E824" s="77">
        <f t="shared" si="40"/>
        <v>12226</v>
      </c>
      <c r="F824" s="77">
        <f t="shared" si="42"/>
        <v>0</v>
      </c>
    </row>
    <row r="825" spans="1:6" x14ac:dyDescent="0.25">
      <c r="A825" s="79">
        <f t="shared" si="41"/>
        <v>10822</v>
      </c>
      <c r="B825" s="77">
        <f t="shared" si="39"/>
        <v>3</v>
      </c>
      <c r="C825" s="77">
        <v>2</v>
      </c>
      <c r="D825" s="77">
        <v>2</v>
      </c>
      <c r="E825" s="77">
        <f t="shared" si="40"/>
        <v>12227</v>
      </c>
      <c r="F825" s="77">
        <f t="shared" si="42"/>
        <v>0</v>
      </c>
    </row>
    <row r="826" spans="1:6" x14ac:dyDescent="0.25">
      <c r="A826" s="79">
        <f t="shared" si="41"/>
        <v>10823</v>
      </c>
      <c r="B826" s="77">
        <f t="shared" si="39"/>
        <v>3</v>
      </c>
      <c r="C826" s="77">
        <v>2</v>
      </c>
      <c r="D826" s="77">
        <v>2</v>
      </c>
      <c r="E826" s="77">
        <f t="shared" si="40"/>
        <v>12228</v>
      </c>
      <c r="F826" s="77">
        <f t="shared" si="42"/>
        <v>0</v>
      </c>
    </row>
    <row r="827" spans="1:6" x14ac:dyDescent="0.25">
      <c r="A827" s="79">
        <f t="shared" si="41"/>
        <v>10824</v>
      </c>
      <c r="B827" s="77">
        <f t="shared" si="39"/>
        <v>3</v>
      </c>
      <c r="C827" s="77">
        <v>2</v>
      </c>
      <c r="D827" s="77">
        <v>2</v>
      </c>
      <c r="E827" s="77">
        <f t="shared" si="40"/>
        <v>12229</v>
      </c>
      <c r="F827" s="77">
        <f t="shared" si="42"/>
        <v>0</v>
      </c>
    </row>
    <row r="828" spans="1:6" x14ac:dyDescent="0.25">
      <c r="A828" s="79">
        <f t="shared" si="41"/>
        <v>10825</v>
      </c>
      <c r="B828" s="77">
        <f t="shared" si="39"/>
        <v>3</v>
      </c>
      <c r="C828" s="77">
        <v>2</v>
      </c>
      <c r="D828" s="77">
        <v>2</v>
      </c>
      <c r="E828" s="77">
        <f t="shared" si="40"/>
        <v>12230</v>
      </c>
      <c r="F828" s="77">
        <f t="shared" si="42"/>
        <v>0</v>
      </c>
    </row>
    <row r="829" spans="1:6" x14ac:dyDescent="0.25">
      <c r="A829" s="79">
        <f t="shared" si="41"/>
        <v>10826</v>
      </c>
      <c r="B829" s="77">
        <f t="shared" si="39"/>
        <v>4</v>
      </c>
      <c r="C829" s="77">
        <v>2</v>
      </c>
      <c r="D829" s="77">
        <v>2</v>
      </c>
      <c r="E829" s="77">
        <f t="shared" si="40"/>
        <v>12201</v>
      </c>
      <c r="F829" s="77">
        <f t="shared" si="42"/>
        <v>0</v>
      </c>
    </row>
    <row r="830" spans="1:6" x14ac:dyDescent="0.25">
      <c r="A830" s="79">
        <f t="shared" si="41"/>
        <v>10827</v>
      </c>
      <c r="B830" s="77">
        <f t="shared" si="39"/>
        <v>4</v>
      </c>
      <c r="C830" s="77">
        <v>2</v>
      </c>
      <c r="D830" s="77">
        <v>2</v>
      </c>
      <c r="E830" s="77">
        <f t="shared" si="40"/>
        <v>12202</v>
      </c>
      <c r="F830" s="77">
        <f t="shared" si="42"/>
        <v>0</v>
      </c>
    </row>
    <row r="831" spans="1:6" x14ac:dyDescent="0.25">
      <c r="A831" s="79">
        <f t="shared" si="41"/>
        <v>10828</v>
      </c>
      <c r="B831" s="77">
        <f t="shared" si="39"/>
        <v>4</v>
      </c>
      <c r="C831" s="77">
        <v>2</v>
      </c>
      <c r="D831" s="77">
        <v>2</v>
      </c>
      <c r="E831" s="77">
        <f t="shared" si="40"/>
        <v>12203</v>
      </c>
      <c r="F831" s="77">
        <f t="shared" si="42"/>
        <v>0</v>
      </c>
    </row>
    <row r="832" spans="1:6" x14ac:dyDescent="0.25">
      <c r="A832" s="79">
        <f t="shared" si="41"/>
        <v>10829</v>
      </c>
      <c r="B832" s="77">
        <f t="shared" si="39"/>
        <v>4</v>
      </c>
      <c r="C832" s="77">
        <v>2</v>
      </c>
      <c r="D832" s="77">
        <v>2</v>
      </c>
      <c r="E832" s="77">
        <f t="shared" si="40"/>
        <v>12204</v>
      </c>
      <c r="F832" s="77">
        <f t="shared" si="42"/>
        <v>0</v>
      </c>
    </row>
    <row r="833" spans="1:6" x14ac:dyDescent="0.25">
      <c r="A833" s="79">
        <f t="shared" si="41"/>
        <v>10830</v>
      </c>
      <c r="B833" s="77">
        <f t="shared" si="39"/>
        <v>4</v>
      </c>
      <c r="C833" s="77">
        <v>2</v>
      </c>
      <c r="D833" s="77">
        <v>2</v>
      </c>
      <c r="E833" s="77">
        <f t="shared" si="40"/>
        <v>12205</v>
      </c>
      <c r="F833" s="77">
        <f t="shared" si="42"/>
        <v>0</v>
      </c>
    </row>
    <row r="834" spans="1:6" x14ac:dyDescent="0.25">
      <c r="A834" s="79">
        <f t="shared" si="41"/>
        <v>10831</v>
      </c>
      <c r="B834" s="77">
        <f t="shared" ref="B834:B871" si="43">B804+1</f>
        <v>4</v>
      </c>
      <c r="C834" s="77">
        <v>2</v>
      </c>
      <c r="D834" s="77">
        <v>2</v>
      </c>
      <c r="E834" s="77">
        <f t="shared" ref="E834:E897" si="44">E804</f>
        <v>12206</v>
      </c>
      <c r="F834" s="77">
        <f t="shared" si="42"/>
        <v>0</v>
      </c>
    </row>
    <row r="835" spans="1:6" x14ac:dyDescent="0.25">
      <c r="A835" s="79">
        <f t="shared" si="41"/>
        <v>10832</v>
      </c>
      <c r="B835" s="77">
        <f t="shared" si="43"/>
        <v>4</v>
      </c>
      <c r="C835" s="77">
        <v>2</v>
      </c>
      <c r="D835" s="77">
        <v>2</v>
      </c>
      <c r="E835" s="77">
        <f t="shared" si="44"/>
        <v>12207</v>
      </c>
      <c r="F835" s="77">
        <f t="shared" si="42"/>
        <v>0</v>
      </c>
    </row>
    <row r="836" spans="1:6" x14ac:dyDescent="0.25">
      <c r="A836" s="79">
        <f t="shared" si="41"/>
        <v>10833</v>
      </c>
      <c r="B836" s="77">
        <f t="shared" si="43"/>
        <v>4</v>
      </c>
      <c r="C836" s="77">
        <v>2</v>
      </c>
      <c r="D836" s="77">
        <v>2</v>
      </c>
      <c r="E836" s="77">
        <f t="shared" si="44"/>
        <v>12208</v>
      </c>
      <c r="F836" s="77">
        <f t="shared" si="42"/>
        <v>0</v>
      </c>
    </row>
    <row r="837" spans="1:6" x14ac:dyDescent="0.25">
      <c r="A837" s="79">
        <f t="shared" si="41"/>
        <v>10834</v>
      </c>
      <c r="B837" s="77">
        <f t="shared" si="43"/>
        <v>4</v>
      </c>
      <c r="C837" s="77">
        <v>2</v>
      </c>
      <c r="D837" s="77">
        <v>2</v>
      </c>
      <c r="E837" s="77">
        <f t="shared" si="44"/>
        <v>12209</v>
      </c>
      <c r="F837" s="77">
        <f t="shared" si="42"/>
        <v>10</v>
      </c>
    </row>
    <row r="838" spans="1:6" x14ac:dyDescent="0.25">
      <c r="A838" s="79">
        <f t="shared" si="41"/>
        <v>10835</v>
      </c>
      <c r="B838" s="77">
        <f t="shared" si="43"/>
        <v>4</v>
      </c>
      <c r="C838" s="77">
        <v>2</v>
      </c>
      <c r="D838" s="77">
        <v>2</v>
      </c>
      <c r="E838" s="77">
        <f t="shared" si="44"/>
        <v>12210</v>
      </c>
      <c r="F838" s="77">
        <f t="shared" si="42"/>
        <v>10</v>
      </c>
    </row>
    <row r="839" spans="1:6" x14ac:dyDescent="0.25">
      <c r="A839" s="79">
        <f t="shared" si="41"/>
        <v>10836</v>
      </c>
      <c r="B839" s="77">
        <f t="shared" si="43"/>
        <v>4</v>
      </c>
      <c r="C839" s="77">
        <v>2</v>
      </c>
      <c r="D839" s="77">
        <v>2</v>
      </c>
      <c r="E839" s="77">
        <f t="shared" si="44"/>
        <v>12211</v>
      </c>
      <c r="F839" s="77">
        <f t="shared" si="42"/>
        <v>10</v>
      </c>
    </row>
    <row r="840" spans="1:6" x14ac:dyDescent="0.25">
      <c r="A840" s="79">
        <f t="shared" si="41"/>
        <v>10837</v>
      </c>
      <c r="B840" s="77">
        <f t="shared" si="43"/>
        <v>4</v>
      </c>
      <c r="C840" s="77">
        <v>2</v>
      </c>
      <c r="D840" s="77">
        <v>2</v>
      </c>
      <c r="E840" s="77">
        <f t="shared" si="44"/>
        <v>12212</v>
      </c>
      <c r="F840" s="77">
        <f t="shared" si="42"/>
        <v>10</v>
      </c>
    </row>
    <row r="841" spans="1:6" x14ac:dyDescent="0.25">
      <c r="A841" s="79">
        <f t="shared" si="41"/>
        <v>10838</v>
      </c>
      <c r="B841" s="77">
        <f t="shared" si="43"/>
        <v>4</v>
      </c>
      <c r="C841" s="77">
        <v>2</v>
      </c>
      <c r="D841" s="77">
        <v>2</v>
      </c>
      <c r="E841" s="77">
        <f t="shared" si="44"/>
        <v>12213</v>
      </c>
      <c r="F841" s="77">
        <f t="shared" si="42"/>
        <v>10</v>
      </c>
    </row>
    <row r="842" spans="1:6" x14ac:dyDescent="0.25">
      <c r="A842" s="79">
        <f t="shared" si="41"/>
        <v>10839</v>
      </c>
      <c r="B842" s="77">
        <f t="shared" si="43"/>
        <v>4</v>
      </c>
      <c r="C842" s="77">
        <v>2</v>
      </c>
      <c r="D842" s="77">
        <v>2</v>
      </c>
      <c r="E842" s="77">
        <f t="shared" si="44"/>
        <v>12214</v>
      </c>
      <c r="F842" s="77">
        <f t="shared" si="42"/>
        <v>10</v>
      </c>
    </row>
    <row r="843" spans="1:6" x14ac:dyDescent="0.25">
      <c r="A843" s="79">
        <f t="shared" si="41"/>
        <v>10840</v>
      </c>
      <c r="B843" s="77">
        <f t="shared" si="43"/>
        <v>4</v>
      </c>
      <c r="C843" s="77">
        <v>2</v>
      </c>
      <c r="D843" s="77">
        <v>2</v>
      </c>
      <c r="E843" s="77">
        <f t="shared" si="44"/>
        <v>12215</v>
      </c>
      <c r="F843" s="77">
        <f t="shared" si="42"/>
        <v>10</v>
      </c>
    </row>
    <row r="844" spans="1:6" x14ac:dyDescent="0.25">
      <c r="A844" s="79">
        <f t="shared" si="41"/>
        <v>10841</v>
      </c>
      <c r="B844" s="77">
        <f t="shared" si="43"/>
        <v>4</v>
      </c>
      <c r="C844" s="77">
        <v>2</v>
      </c>
      <c r="D844" s="77">
        <v>2</v>
      </c>
      <c r="E844" s="77">
        <f t="shared" si="44"/>
        <v>12216</v>
      </c>
      <c r="F844" s="77">
        <f t="shared" si="42"/>
        <v>10</v>
      </c>
    </row>
    <row r="845" spans="1:6" x14ac:dyDescent="0.25">
      <c r="A845" s="79">
        <f t="shared" si="41"/>
        <v>10842</v>
      </c>
      <c r="B845" s="77">
        <f t="shared" si="43"/>
        <v>4</v>
      </c>
      <c r="C845" s="77">
        <v>2</v>
      </c>
      <c r="D845" s="77">
        <v>2</v>
      </c>
      <c r="E845" s="77">
        <f t="shared" si="44"/>
        <v>12217</v>
      </c>
      <c r="F845" s="77">
        <f t="shared" si="42"/>
        <v>10</v>
      </c>
    </row>
    <row r="846" spans="1:6" x14ac:dyDescent="0.25">
      <c r="A846" s="79">
        <f t="shared" si="41"/>
        <v>10843</v>
      </c>
      <c r="B846" s="77">
        <f t="shared" si="43"/>
        <v>4</v>
      </c>
      <c r="C846" s="77">
        <v>2</v>
      </c>
      <c r="D846" s="77">
        <v>2</v>
      </c>
      <c r="E846" s="77">
        <f t="shared" si="44"/>
        <v>12218</v>
      </c>
      <c r="F846" s="77">
        <f t="shared" si="42"/>
        <v>10</v>
      </c>
    </row>
    <row r="847" spans="1:6" x14ac:dyDescent="0.25">
      <c r="A847" s="79">
        <f t="shared" si="41"/>
        <v>10844</v>
      </c>
      <c r="B847" s="77">
        <f t="shared" si="43"/>
        <v>4</v>
      </c>
      <c r="C847" s="77">
        <v>2</v>
      </c>
      <c r="D847" s="77">
        <v>2</v>
      </c>
      <c r="E847" s="77">
        <f t="shared" si="44"/>
        <v>12219</v>
      </c>
      <c r="F847" s="77">
        <f t="shared" si="42"/>
        <v>10</v>
      </c>
    </row>
    <row r="848" spans="1:6" x14ac:dyDescent="0.25">
      <c r="A848" s="79">
        <f t="shared" si="41"/>
        <v>10845</v>
      </c>
      <c r="B848" s="77">
        <f t="shared" si="43"/>
        <v>4</v>
      </c>
      <c r="C848" s="77">
        <v>2</v>
      </c>
      <c r="D848" s="77">
        <v>2</v>
      </c>
      <c r="E848" s="77">
        <f t="shared" si="44"/>
        <v>12220</v>
      </c>
      <c r="F848" s="77">
        <f t="shared" si="42"/>
        <v>10</v>
      </c>
    </row>
    <row r="849" spans="1:6" x14ac:dyDescent="0.25">
      <c r="A849" s="79">
        <f t="shared" si="41"/>
        <v>10846</v>
      </c>
      <c r="B849" s="77">
        <f t="shared" si="43"/>
        <v>4</v>
      </c>
      <c r="C849" s="77">
        <v>2</v>
      </c>
      <c r="D849" s="77">
        <v>2</v>
      </c>
      <c r="E849" s="77">
        <f t="shared" si="44"/>
        <v>12221</v>
      </c>
      <c r="F849" s="77">
        <f t="shared" si="42"/>
        <v>10</v>
      </c>
    </row>
    <row r="850" spans="1:6" x14ac:dyDescent="0.25">
      <c r="A850" s="79">
        <f t="shared" si="41"/>
        <v>10847</v>
      </c>
      <c r="B850" s="77">
        <f t="shared" si="43"/>
        <v>4</v>
      </c>
      <c r="C850" s="77">
        <v>2</v>
      </c>
      <c r="D850" s="77">
        <v>2</v>
      </c>
      <c r="E850" s="77">
        <f t="shared" si="44"/>
        <v>12222</v>
      </c>
      <c r="F850" s="77">
        <f t="shared" si="42"/>
        <v>10</v>
      </c>
    </row>
    <row r="851" spans="1:6" x14ac:dyDescent="0.25">
      <c r="A851" s="79">
        <f t="shared" si="41"/>
        <v>10848</v>
      </c>
      <c r="B851" s="77">
        <f t="shared" si="43"/>
        <v>4</v>
      </c>
      <c r="C851" s="77">
        <v>2</v>
      </c>
      <c r="D851" s="77">
        <v>2</v>
      </c>
      <c r="E851" s="77">
        <f t="shared" si="44"/>
        <v>12223</v>
      </c>
      <c r="F851" s="77">
        <f t="shared" si="42"/>
        <v>10</v>
      </c>
    </row>
    <row r="852" spans="1:6" x14ac:dyDescent="0.25">
      <c r="A852" s="79">
        <f t="shared" si="41"/>
        <v>10849</v>
      </c>
      <c r="B852" s="77">
        <f t="shared" si="43"/>
        <v>4</v>
      </c>
      <c r="C852" s="77">
        <v>2</v>
      </c>
      <c r="D852" s="77">
        <v>2</v>
      </c>
      <c r="E852" s="77">
        <f t="shared" si="44"/>
        <v>12224</v>
      </c>
      <c r="F852" s="77">
        <f t="shared" si="42"/>
        <v>10</v>
      </c>
    </row>
    <row r="853" spans="1:6" x14ac:dyDescent="0.25">
      <c r="A853" s="79">
        <f t="shared" si="41"/>
        <v>10850</v>
      </c>
      <c r="B853" s="77">
        <f t="shared" si="43"/>
        <v>4</v>
      </c>
      <c r="C853" s="77">
        <v>2</v>
      </c>
      <c r="D853" s="77">
        <v>2</v>
      </c>
      <c r="E853" s="77">
        <f t="shared" si="44"/>
        <v>12225</v>
      </c>
      <c r="F853" s="77">
        <f t="shared" si="42"/>
        <v>10</v>
      </c>
    </row>
    <row r="854" spans="1:6" x14ac:dyDescent="0.25">
      <c r="A854" s="79">
        <f t="shared" si="41"/>
        <v>10851</v>
      </c>
      <c r="B854" s="77">
        <f t="shared" si="43"/>
        <v>4</v>
      </c>
      <c r="C854" s="77">
        <v>2</v>
      </c>
      <c r="D854" s="77">
        <v>2</v>
      </c>
      <c r="E854" s="77">
        <f t="shared" si="44"/>
        <v>12226</v>
      </c>
      <c r="F854" s="77">
        <f t="shared" si="42"/>
        <v>0</v>
      </c>
    </row>
    <row r="855" spans="1:6" x14ac:dyDescent="0.25">
      <c r="A855" s="79">
        <f t="shared" si="41"/>
        <v>10852</v>
      </c>
      <c r="B855" s="77">
        <f t="shared" si="43"/>
        <v>4</v>
      </c>
      <c r="C855" s="77">
        <v>2</v>
      </c>
      <c r="D855" s="77">
        <v>2</v>
      </c>
      <c r="E855" s="77">
        <f t="shared" si="44"/>
        <v>12227</v>
      </c>
      <c r="F855" s="77">
        <f t="shared" si="42"/>
        <v>0</v>
      </c>
    </row>
    <row r="856" spans="1:6" x14ac:dyDescent="0.25">
      <c r="A856" s="79">
        <f t="shared" si="41"/>
        <v>10853</v>
      </c>
      <c r="B856" s="77">
        <f t="shared" si="43"/>
        <v>4</v>
      </c>
      <c r="C856" s="77">
        <v>2</v>
      </c>
      <c r="D856" s="77">
        <v>2</v>
      </c>
      <c r="E856" s="77">
        <f t="shared" si="44"/>
        <v>12228</v>
      </c>
      <c r="F856" s="77">
        <f t="shared" si="42"/>
        <v>0</v>
      </c>
    </row>
    <row r="857" spans="1:6" x14ac:dyDescent="0.25">
      <c r="A857" s="79">
        <f t="shared" si="41"/>
        <v>10854</v>
      </c>
      <c r="B857" s="77">
        <f t="shared" si="43"/>
        <v>4</v>
      </c>
      <c r="C857" s="77">
        <v>2</v>
      </c>
      <c r="D857" s="77">
        <v>2</v>
      </c>
      <c r="E857" s="77">
        <f t="shared" si="44"/>
        <v>12229</v>
      </c>
      <c r="F857" s="77">
        <f t="shared" si="42"/>
        <v>0</v>
      </c>
    </row>
    <row r="858" spans="1:6" x14ac:dyDescent="0.25">
      <c r="A858" s="79">
        <f t="shared" si="41"/>
        <v>10855</v>
      </c>
      <c r="B858" s="77">
        <f t="shared" si="43"/>
        <v>4</v>
      </c>
      <c r="C858" s="77">
        <v>2</v>
      </c>
      <c r="D858" s="77">
        <v>2</v>
      </c>
      <c r="E858" s="77">
        <f t="shared" si="44"/>
        <v>12230</v>
      </c>
      <c r="F858" s="77">
        <f t="shared" si="42"/>
        <v>0</v>
      </c>
    </row>
    <row r="859" spans="1:6" x14ac:dyDescent="0.25">
      <c r="A859" s="79">
        <f t="shared" si="41"/>
        <v>10856</v>
      </c>
      <c r="B859" s="77">
        <f t="shared" si="43"/>
        <v>5</v>
      </c>
      <c r="C859" s="77">
        <v>2</v>
      </c>
      <c r="D859" s="77">
        <v>2</v>
      </c>
      <c r="E859" s="77">
        <f t="shared" si="44"/>
        <v>12201</v>
      </c>
      <c r="F859" s="77">
        <f t="shared" si="42"/>
        <v>0</v>
      </c>
    </row>
    <row r="860" spans="1:6" x14ac:dyDescent="0.25">
      <c r="A860" s="79">
        <f t="shared" si="41"/>
        <v>10857</v>
      </c>
      <c r="B860" s="77">
        <f t="shared" si="43"/>
        <v>5</v>
      </c>
      <c r="C860" s="77">
        <v>2</v>
      </c>
      <c r="D860" s="77">
        <v>2</v>
      </c>
      <c r="E860" s="77">
        <f t="shared" si="44"/>
        <v>12202</v>
      </c>
      <c r="F860" s="77">
        <f t="shared" si="42"/>
        <v>0</v>
      </c>
    </row>
    <row r="861" spans="1:6" x14ac:dyDescent="0.25">
      <c r="A861" s="79">
        <f t="shared" si="41"/>
        <v>10858</v>
      </c>
      <c r="B861" s="77">
        <f t="shared" si="43"/>
        <v>5</v>
      </c>
      <c r="C861" s="77">
        <v>2</v>
      </c>
      <c r="D861" s="77">
        <v>2</v>
      </c>
      <c r="E861" s="77">
        <f t="shared" si="44"/>
        <v>12203</v>
      </c>
      <c r="F861" s="77">
        <f t="shared" si="42"/>
        <v>0</v>
      </c>
    </row>
    <row r="862" spans="1:6" x14ac:dyDescent="0.25">
      <c r="A862" s="79">
        <f t="shared" si="41"/>
        <v>10859</v>
      </c>
      <c r="B862" s="77">
        <f t="shared" si="43"/>
        <v>5</v>
      </c>
      <c r="C862" s="77">
        <v>2</v>
      </c>
      <c r="D862" s="77">
        <v>2</v>
      </c>
      <c r="E862" s="77">
        <f t="shared" si="44"/>
        <v>12204</v>
      </c>
      <c r="F862" s="77">
        <f t="shared" si="42"/>
        <v>0</v>
      </c>
    </row>
    <row r="863" spans="1:6" x14ac:dyDescent="0.25">
      <c r="A863" s="79">
        <f t="shared" si="41"/>
        <v>10860</v>
      </c>
      <c r="B863" s="77">
        <f t="shared" si="43"/>
        <v>5</v>
      </c>
      <c r="C863" s="77">
        <v>2</v>
      </c>
      <c r="D863" s="77">
        <v>2</v>
      </c>
      <c r="E863" s="77">
        <f t="shared" si="44"/>
        <v>12205</v>
      </c>
      <c r="F863" s="77">
        <f t="shared" si="42"/>
        <v>0</v>
      </c>
    </row>
    <row r="864" spans="1:6" x14ac:dyDescent="0.25">
      <c r="A864" s="79">
        <f t="shared" si="41"/>
        <v>10861</v>
      </c>
      <c r="B864" s="77">
        <f t="shared" si="43"/>
        <v>5</v>
      </c>
      <c r="C864" s="77">
        <v>2</v>
      </c>
      <c r="D864" s="77">
        <v>2</v>
      </c>
      <c r="E864" s="77">
        <f t="shared" si="44"/>
        <v>12206</v>
      </c>
      <c r="F864" s="77">
        <f t="shared" si="42"/>
        <v>0</v>
      </c>
    </row>
    <row r="865" spans="1:6" x14ac:dyDescent="0.25">
      <c r="A865" s="79">
        <f t="shared" si="41"/>
        <v>10862</v>
      </c>
      <c r="B865" s="77">
        <f t="shared" si="43"/>
        <v>5</v>
      </c>
      <c r="C865" s="77">
        <v>2</v>
      </c>
      <c r="D865" s="77">
        <v>2</v>
      </c>
      <c r="E865" s="77">
        <f t="shared" si="44"/>
        <v>12207</v>
      </c>
      <c r="F865" s="77">
        <f t="shared" si="42"/>
        <v>0</v>
      </c>
    </row>
    <row r="866" spans="1:6" x14ac:dyDescent="0.25">
      <c r="A866" s="79">
        <f t="shared" si="41"/>
        <v>10863</v>
      </c>
      <c r="B866" s="77">
        <f t="shared" si="43"/>
        <v>5</v>
      </c>
      <c r="C866" s="77">
        <v>2</v>
      </c>
      <c r="D866" s="77">
        <v>2</v>
      </c>
      <c r="E866" s="77">
        <f t="shared" si="44"/>
        <v>12208</v>
      </c>
      <c r="F866" s="77">
        <f t="shared" si="42"/>
        <v>0</v>
      </c>
    </row>
    <row r="867" spans="1:6" x14ac:dyDescent="0.25">
      <c r="A867" s="79">
        <f t="shared" si="41"/>
        <v>10864</v>
      </c>
      <c r="B867" s="77">
        <f t="shared" si="43"/>
        <v>5</v>
      </c>
      <c r="C867" s="77">
        <v>2</v>
      </c>
      <c r="D867" s="77">
        <v>2</v>
      </c>
      <c r="E867" s="77">
        <f t="shared" si="44"/>
        <v>12209</v>
      </c>
      <c r="F867" s="77">
        <f t="shared" si="42"/>
        <v>0</v>
      </c>
    </row>
    <row r="868" spans="1:6" x14ac:dyDescent="0.25">
      <c r="A868" s="79">
        <f t="shared" ref="A868:A931" si="45">A867+1</f>
        <v>10865</v>
      </c>
      <c r="B868" s="77">
        <f t="shared" si="43"/>
        <v>5</v>
      </c>
      <c r="C868" s="77">
        <v>2</v>
      </c>
      <c r="D868" s="77">
        <v>2</v>
      </c>
      <c r="E868" s="77">
        <f t="shared" si="44"/>
        <v>12210</v>
      </c>
      <c r="F868" s="77">
        <f t="shared" ref="F868:F931" si="46">F658</f>
        <v>0</v>
      </c>
    </row>
    <row r="869" spans="1:6" x14ac:dyDescent="0.25">
      <c r="A869" s="79">
        <f t="shared" si="45"/>
        <v>10866</v>
      </c>
      <c r="B869" s="77">
        <f t="shared" si="43"/>
        <v>5</v>
      </c>
      <c r="C869" s="77">
        <v>2</v>
      </c>
      <c r="D869" s="77">
        <v>2</v>
      </c>
      <c r="E869" s="77">
        <f t="shared" si="44"/>
        <v>12211</v>
      </c>
      <c r="F869" s="77">
        <f t="shared" si="46"/>
        <v>0</v>
      </c>
    </row>
    <row r="870" spans="1:6" x14ac:dyDescent="0.25">
      <c r="A870" s="79">
        <f t="shared" si="45"/>
        <v>10867</v>
      </c>
      <c r="B870" s="77">
        <f t="shared" si="43"/>
        <v>5</v>
      </c>
      <c r="C870" s="77">
        <v>2</v>
      </c>
      <c r="D870" s="77">
        <v>2</v>
      </c>
      <c r="E870" s="77">
        <f t="shared" si="44"/>
        <v>12212</v>
      </c>
      <c r="F870" s="77">
        <f t="shared" si="46"/>
        <v>10</v>
      </c>
    </row>
    <row r="871" spans="1:6" x14ac:dyDescent="0.25">
      <c r="A871" s="79">
        <f t="shared" si="45"/>
        <v>10868</v>
      </c>
      <c r="B871" s="77">
        <f t="shared" si="43"/>
        <v>5</v>
      </c>
      <c r="C871" s="77">
        <v>2</v>
      </c>
      <c r="D871" s="77">
        <v>2</v>
      </c>
      <c r="E871" s="77">
        <f t="shared" si="44"/>
        <v>12213</v>
      </c>
      <c r="F871" s="77">
        <f t="shared" si="46"/>
        <v>10</v>
      </c>
    </row>
    <row r="872" spans="1:6" x14ac:dyDescent="0.25">
      <c r="A872" s="79">
        <f t="shared" si="45"/>
        <v>10869</v>
      </c>
      <c r="B872" s="77">
        <f t="shared" ref="B872:B935" si="47">B842+1</f>
        <v>5</v>
      </c>
      <c r="C872" s="77">
        <v>2</v>
      </c>
      <c r="D872" s="77">
        <v>2</v>
      </c>
      <c r="E872" s="77">
        <f t="shared" si="44"/>
        <v>12214</v>
      </c>
      <c r="F872" s="77">
        <f t="shared" si="46"/>
        <v>10</v>
      </c>
    </row>
    <row r="873" spans="1:6" x14ac:dyDescent="0.25">
      <c r="A873" s="79">
        <f t="shared" si="45"/>
        <v>10870</v>
      </c>
      <c r="B873" s="77">
        <f t="shared" si="47"/>
        <v>5</v>
      </c>
      <c r="C873" s="77">
        <v>2</v>
      </c>
      <c r="D873" s="77">
        <v>2</v>
      </c>
      <c r="E873" s="77">
        <f t="shared" si="44"/>
        <v>12215</v>
      </c>
      <c r="F873" s="77">
        <f t="shared" si="46"/>
        <v>10</v>
      </c>
    </row>
    <row r="874" spans="1:6" x14ac:dyDescent="0.25">
      <c r="A874" s="79">
        <f t="shared" si="45"/>
        <v>10871</v>
      </c>
      <c r="B874" s="77">
        <f t="shared" si="47"/>
        <v>5</v>
      </c>
      <c r="C874" s="77">
        <v>2</v>
      </c>
      <c r="D874" s="77">
        <v>2</v>
      </c>
      <c r="E874" s="77">
        <f t="shared" si="44"/>
        <v>12216</v>
      </c>
      <c r="F874" s="77">
        <f t="shared" si="46"/>
        <v>10</v>
      </c>
    </row>
    <row r="875" spans="1:6" x14ac:dyDescent="0.25">
      <c r="A875" s="79">
        <f t="shared" si="45"/>
        <v>10872</v>
      </c>
      <c r="B875" s="77">
        <f t="shared" si="47"/>
        <v>5</v>
      </c>
      <c r="C875" s="77">
        <v>2</v>
      </c>
      <c r="D875" s="77">
        <v>2</v>
      </c>
      <c r="E875" s="77">
        <f t="shared" si="44"/>
        <v>12217</v>
      </c>
      <c r="F875" s="77">
        <f t="shared" si="46"/>
        <v>10</v>
      </c>
    </row>
    <row r="876" spans="1:6" x14ac:dyDescent="0.25">
      <c r="A876" s="79">
        <f t="shared" si="45"/>
        <v>10873</v>
      </c>
      <c r="B876" s="77">
        <f t="shared" si="47"/>
        <v>5</v>
      </c>
      <c r="C876" s="77">
        <v>2</v>
      </c>
      <c r="D876" s="77">
        <v>2</v>
      </c>
      <c r="E876" s="77">
        <f t="shared" si="44"/>
        <v>12218</v>
      </c>
      <c r="F876" s="77">
        <f t="shared" si="46"/>
        <v>10</v>
      </c>
    </row>
    <row r="877" spans="1:6" x14ac:dyDescent="0.25">
      <c r="A877" s="79">
        <f t="shared" si="45"/>
        <v>10874</v>
      </c>
      <c r="B877" s="77">
        <f t="shared" si="47"/>
        <v>5</v>
      </c>
      <c r="C877" s="77">
        <v>2</v>
      </c>
      <c r="D877" s="77">
        <v>2</v>
      </c>
      <c r="E877" s="77">
        <f t="shared" si="44"/>
        <v>12219</v>
      </c>
      <c r="F877" s="77">
        <f t="shared" si="46"/>
        <v>10</v>
      </c>
    </row>
    <row r="878" spans="1:6" x14ac:dyDescent="0.25">
      <c r="A878" s="79">
        <f t="shared" si="45"/>
        <v>10875</v>
      </c>
      <c r="B878" s="77">
        <f t="shared" si="47"/>
        <v>5</v>
      </c>
      <c r="C878" s="77">
        <v>2</v>
      </c>
      <c r="D878" s="77">
        <v>2</v>
      </c>
      <c r="E878" s="77">
        <f t="shared" si="44"/>
        <v>12220</v>
      </c>
      <c r="F878" s="77">
        <f t="shared" si="46"/>
        <v>10</v>
      </c>
    </row>
    <row r="879" spans="1:6" x14ac:dyDescent="0.25">
      <c r="A879" s="79">
        <f t="shared" si="45"/>
        <v>10876</v>
      </c>
      <c r="B879" s="77">
        <f t="shared" si="47"/>
        <v>5</v>
      </c>
      <c r="C879" s="77">
        <v>2</v>
      </c>
      <c r="D879" s="77">
        <v>2</v>
      </c>
      <c r="E879" s="77">
        <f t="shared" si="44"/>
        <v>12221</v>
      </c>
      <c r="F879" s="77">
        <f t="shared" si="46"/>
        <v>10</v>
      </c>
    </row>
    <row r="880" spans="1:6" x14ac:dyDescent="0.25">
      <c r="A880" s="79">
        <f t="shared" si="45"/>
        <v>10877</v>
      </c>
      <c r="B880" s="77">
        <f t="shared" si="47"/>
        <v>5</v>
      </c>
      <c r="C880" s="77">
        <v>2</v>
      </c>
      <c r="D880" s="77">
        <v>2</v>
      </c>
      <c r="E880" s="77">
        <f t="shared" si="44"/>
        <v>12222</v>
      </c>
      <c r="F880" s="77">
        <f t="shared" si="46"/>
        <v>10</v>
      </c>
    </row>
    <row r="881" spans="1:6" x14ac:dyDescent="0.25">
      <c r="A881" s="79">
        <f t="shared" si="45"/>
        <v>10878</v>
      </c>
      <c r="B881" s="77">
        <f t="shared" si="47"/>
        <v>5</v>
      </c>
      <c r="C881" s="77">
        <v>2</v>
      </c>
      <c r="D881" s="77">
        <v>2</v>
      </c>
      <c r="E881" s="77">
        <f t="shared" si="44"/>
        <v>12223</v>
      </c>
      <c r="F881" s="77">
        <f t="shared" si="46"/>
        <v>10</v>
      </c>
    </row>
    <row r="882" spans="1:6" x14ac:dyDescent="0.25">
      <c r="A882" s="79">
        <f t="shared" si="45"/>
        <v>10879</v>
      </c>
      <c r="B882" s="77">
        <f t="shared" si="47"/>
        <v>5</v>
      </c>
      <c r="C882" s="77">
        <v>2</v>
      </c>
      <c r="D882" s="77">
        <v>2</v>
      </c>
      <c r="E882" s="77">
        <f t="shared" si="44"/>
        <v>12224</v>
      </c>
      <c r="F882" s="77">
        <f t="shared" si="46"/>
        <v>10</v>
      </c>
    </row>
    <row r="883" spans="1:6" x14ac:dyDescent="0.25">
      <c r="A883" s="79">
        <f t="shared" si="45"/>
        <v>10880</v>
      </c>
      <c r="B883" s="77">
        <f t="shared" si="47"/>
        <v>5</v>
      </c>
      <c r="C883" s="77">
        <v>2</v>
      </c>
      <c r="D883" s="77">
        <v>2</v>
      </c>
      <c r="E883" s="77">
        <f t="shared" si="44"/>
        <v>12225</v>
      </c>
      <c r="F883" s="77">
        <f t="shared" si="46"/>
        <v>10</v>
      </c>
    </row>
    <row r="884" spans="1:6" x14ac:dyDescent="0.25">
      <c r="A884" s="79">
        <f t="shared" si="45"/>
        <v>10881</v>
      </c>
      <c r="B884" s="77">
        <f t="shared" si="47"/>
        <v>5</v>
      </c>
      <c r="C884" s="77">
        <v>2</v>
      </c>
      <c r="D884" s="77">
        <v>2</v>
      </c>
      <c r="E884" s="77">
        <f t="shared" si="44"/>
        <v>12226</v>
      </c>
      <c r="F884" s="77">
        <f t="shared" si="46"/>
        <v>10</v>
      </c>
    </row>
    <row r="885" spans="1:6" x14ac:dyDescent="0.25">
      <c r="A885" s="79">
        <f t="shared" si="45"/>
        <v>10882</v>
      </c>
      <c r="B885" s="77">
        <f t="shared" si="47"/>
        <v>5</v>
      </c>
      <c r="C885" s="77">
        <v>2</v>
      </c>
      <c r="D885" s="77">
        <v>2</v>
      </c>
      <c r="E885" s="77">
        <f t="shared" si="44"/>
        <v>12227</v>
      </c>
      <c r="F885" s="77">
        <f t="shared" si="46"/>
        <v>10</v>
      </c>
    </row>
    <row r="886" spans="1:6" x14ac:dyDescent="0.25">
      <c r="A886" s="79">
        <f t="shared" si="45"/>
        <v>10883</v>
      </c>
      <c r="B886" s="77">
        <f t="shared" si="47"/>
        <v>5</v>
      </c>
      <c r="C886" s="77">
        <v>2</v>
      </c>
      <c r="D886" s="77">
        <v>2</v>
      </c>
      <c r="E886" s="77">
        <f t="shared" si="44"/>
        <v>12228</v>
      </c>
      <c r="F886" s="77">
        <f t="shared" si="46"/>
        <v>10</v>
      </c>
    </row>
    <row r="887" spans="1:6" x14ac:dyDescent="0.25">
      <c r="A887" s="79">
        <f t="shared" si="45"/>
        <v>10884</v>
      </c>
      <c r="B887" s="77">
        <f t="shared" si="47"/>
        <v>5</v>
      </c>
      <c r="C887" s="77">
        <v>2</v>
      </c>
      <c r="D887" s="77">
        <v>2</v>
      </c>
      <c r="E887" s="77">
        <f t="shared" si="44"/>
        <v>12229</v>
      </c>
      <c r="F887" s="77">
        <f t="shared" si="46"/>
        <v>0</v>
      </c>
    </row>
    <row r="888" spans="1:6" x14ac:dyDescent="0.25">
      <c r="A888" s="79">
        <f t="shared" si="45"/>
        <v>10885</v>
      </c>
      <c r="B888" s="77">
        <f t="shared" si="47"/>
        <v>5</v>
      </c>
      <c r="C888" s="77">
        <v>2</v>
      </c>
      <c r="D888" s="77">
        <v>2</v>
      </c>
      <c r="E888" s="77">
        <f t="shared" si="44"/>
        <v>12230</v>
      </c>
      <c r="F888" s="77">
        <f t="shared" si="46"/>
        <v>0</v>
      </c>
    </row>
    <row r="889" spans="1:6" x14ac:dyDescent="0.25">
      <c r="A889" s="79">
        <f t="shared" si="45"/>
        <v>10886</v>
      </c>
      <c r="B889" s="77">
        <f t="shared" si="47"/>
        <v>6</v>
      </c>
      <c r="C889" s="77">
        <v>2</v>
      </c>
      <c r="D889" s="77">
        <v>2</v>
      </c>
      <c r="E889" s="77">
        <f t="shared" si="44"/>
        <v>12201</v>
      </c>
      <c r="F889" s="77">
        <f t="shared" si="46"/>
        <v>0</v>
      </c>
    </row>
    <row r="890" spans="1:6" x14ac:dyDescent="0.25">
      <c r="A890" s="79">
        <f t="shared" si="45"/>
        <v>10887</v>
      </c>
      <c r="B890" s="77">
        <f t="shared" si="47"/>
        <v>6</v>
      </c>
      <c r="C890" s="77">
        <v>2</v>
      </c>
      <c r="D890" s="77">
        <v>2</v>
      </c>
      <c r="E890" s="77">
        <f t="shared" si="44"/>
        <v>12202</v>
      </c>
      <c r="F890" s="77">
        <f t="shared" si="46"/>
        <v>0</v>
      </c>
    </row>
    <row r="891" spans="1:6" x14ac:dyDescent="0.25">
      <c r="A891" s="79">
        <f t="shared" si="45"/>
        <v>10888</v>
      </c>
      <c r="B891" s="77">
        <f t="shared" si="47"/>
        <v>6</v>
      </c>
      <c r="C891" s="77">
        <v>2</v>
      </c>
      <c r="D891" s="77">
        <v>2</v>
      </c>
      <c r="E891" s="77">
        <f t="shared" si="44"/>
        <v>12203</v>
      </c>
      <c r="F891" s="77">
        <f t="shared" si="46"/>
        <v>0</v>
      </c>
    </row>
    <row r="892" spans="1:6" x14ac:dyDescent="0.25">
      <c r="A892" s="79">
        <f t="shared" si="45"/>
        <v>10889</v>
      </c>
      <c r="B892" s="77">
        <f t="shared" si="47"/>
        <v>6</v>
      </c>
      <c r="C892" s="77">
        <v>2</v>
      </c>
      <c r="D892" s="77">
        <v>2</v>
      </c>
      <c r="E892" s="77">
        <f t="shared" si="44"/>
        <v>12204</v>
      </c>
      <c r="F892" s="77">
        <f t="shared" si="46"/>
        <v>0</v>
      </c>
    </row>
    <row r="893" spans="1:6" x14ac:dyDescent="0.25">
      <c r="A893" s="79">
        <f t="shared" si="45"/>
        <v>10890</v>
      </c>
      <c r="B893" s="77">
        <f t="shared" si="47"/>
        <v>6</v>
      </c>
      <c r="C893" s="77">
        <v>2</v>
      </c>
      <c r="D893" s="77">
        <v>2</v>
      </c>
      <c r="E893" s="77">
        <f t="shared" si="44"/>
        <v>12205</v>
      </c>
      <c r="F893" s="77">
        <f t="shared" si="46"/>
        <v>0</v>
      </c>
    </row>
    <row r="894" spans="1:6" x14ac:dyDescent="0.25">
      <c r="A894" s="79">
        <f t="shared" si="45"/>
        <v>10891</v>
      </c>
      <c r="B894" s="77">
        <f t="shared" si="47"/>
        <v>6</v>
      </c>
      <c r="C894" s="77">
        <v>2</v>
      </c>
      <c r="D894" s="77">
        <v>2</v>
      </c>
      <c r="E894" s="77">
        <f t="shared" si="44"/>
        <v>12206</v>
      </c>
      <c r="F894" s="77">
        <f t="shared" si="46"/>
        <v>0</v>
      </c>
    </row>
    <row r="895" spans="1:6" x14ac:dyDescent="0.25">
      <c r="A895" s="79">
        <f t="shared" si="45"/>
        <v>10892</v>
      </c>
      <c r="B895" s="77">
        <f t="shared" si="47"/>
        <v>6</v>
      </c>
      <c r="C895" s="77">
        <v>2</v>
      </c>
      <c r="D895" s="77">
        <v>2</v>
      </c>
      <c r="E895" s="77">
        <f t="shared" si="44"/>
        <v>12207</v>
      </c>
      <c r="F895" s="77">
        <f t="shared" si="46"/>
        <v>0</v>
      </c>
    </row>
    <row r="896" spans="1:6" x14ac:dyDescent="0.25">
      <c r="A896" s="79">
        <f t="shared" si="45"/>
        <v>10893</v>
      </c>
      <c r="B896" s="77">
        <f t="shared" si="47"/>
        <v>6</v>
      </c>
      <c r="C896" s="77">
        <v>2</v>
      </c>
      <c r="D896" s="77">
        <v>2</v>
      </c>
      <c r="E896" s="77">
        <f t="shared" si="44"/>
        <v>12208</v>
      </c>
      <c r="F896" s="77">
        <f t="shared" si="46"/>
        <v>0</v>
      </c>
    </row>
    <row r="897" spans="1:6" x14ac:dyDescent="0.25">
      <c r="A897" s="79">
        <f t="shared" si="45"/>
        <v>10894</v>
      </c>
      <c r="B897" s="77">
        <f t="shared" si="47"/>
        <v>6</v>
      </c>
      <c r="C897" s="77">
        <v>2</v>
      </c>
      <c r="D897" s="77">
        <v>2</v>
      </c>
      <c r="E897" s="77">
        <f t="shared" si="44"/>
        <v>12209</v>
      </c>
      <c r="F897" s="77">
        <f t="shared" si="46"/>
        <v>0</v>
      </c>
    </row>
    <row r="898" spans="1:6" x14ac:dyDescent="0.25">
      <c r="A898" s="79">
        <f t="shared" si="45"/>
        <v>10895</v>
      </c>
      <c r="B898" s="77">
        <f t="shared" si="47"/>
        <v>6</v>
      </c>
      <c r="C898" s="77">
        <v>2</v>
      </c>
      <c r="D898" s="77">
        <v>2</v>
      </c>
      <c r="E898" s="77">
        <f t="shared" ref="E898:E948" si="48">E868</f>
        <v>12210</v>
      </c>
      <c r="F898" s="77">
        <f t="shared" si="46"/>
        <v>0</v>
      </c>
    </row>
    <row r="899" spans="1:6" x14ac:dyDescent="0.25">
      <c r="A899" s="79">
        <f t="shared" si="45"/>
        <v>10896</v>
      </c>
      <c r="B899" s="77">
        <f t="shared" si="47"/>
        <v>6</v>
      </c>
      <c r="C899" s="77">
        <v>2</v>
      </c>
      <c r="D899" s="77">
        <v>2</v>
      </c>
      <c r="E899" s="77">
        <f t="shared" si="48"/>
        <v>12211</v>
      </c>
      <c r="F899" s="77">
        <f t="shared" si="46"/>
        <v>0</v>
      </c>
    </row>
    <row r="900" spans="1:6" x14ac:dyDescent="0.25">
      <c r="A900" s="79">
        <f t="shared" si="45"/>
        <v>10897</v>
      </c>
      <c r="B900" s="77">
        <f t="shared" si="47"/>
        <v>6</v>
      </c>
      <c r="C900" s="77">
        <v>2</v>
      </c>
      <c r="D900" s="77">
        <v>2</v>
      </c>
      <c r="E900" s="77">
        <f t="shared" si="48"/>
        <v>12212</v>
      </c>
      <c r="F900" s="77">
        <f t="shared" si="46"/>
        <v>0</v>
      </c>
    </row>
    <row r="901" spans="1:6" x14ac:dyDescent="0.25">
      <c r="A901" s="79">
        <f t="shared" si="45"/>
        <v>10898</v>
      </c>
      <c r="B901" s="77">
        <f t="shared" si="47"/>
        <v>6</v>
      </c>
      <c r="C901" s="77">
        <v>2</v>
      </c>
      <c r="D901" s="77">
        <v>2</v>
      </c>
      <c r="E901" s="77">
        <f t="shared" si="48"/>
        <v>12213</v>
      </c>
      <c r="F901" s="77">
        <f t="shared" si="46"/>
        <v>0</v>
      </c>
    </row>
    <row r="902" spans="1:6" x14ac:dyDescent="0.25">
      <c r="A902" s="79">
        <f t="shared" si="45"/>
        <v>10899</v>
      </c>
      <c r="B902" s="77">
        <f t="shared" si="47"/>
        <v>6</v>
      </c>
      <c r="C902" s="77">
        <v>2</v>
      </c>
      <c r="D902" s="77">
        <v>2</v>
      </c>
      <c r="E902" s="77">
        <f t="shared" si="48"/>
        <v>12214</v>
      </c>
      <c r="F902" s="77">
        <f t="shared" si="46"/>
        <v>0</v>
      </c>
    </row>
    <row r="903" spans="1:6" x14ac:dyDescent="0.25">
      <c r="A903" s="79">
        <f t="shared" si="45"/>
        <v>10900</v>
      </c>
      <c r="B903" s="77">
        <f t="shared" si="47"/>
        <v>6</v>
      </c>
      <c r="C903" s="77">
        <v>2</v>
      </c>
      <c r="D903" s="77">
        <v>2</v>
      </c>
      <c r="E903" s="77">
        <f t="shared" si="48"/>
        <v>12215</v>
      </c>
      <c r="F903" s="77">
        <f t="shared" si="46"/>
        <v>0</v>
      </c>
    </row>
    <row r="904" spans="1:6" x14ac:dyDescent="0.25">
      <c r="A904" s="79">
        <f t="shared" si="45"/>
        <v>10901</v>
      </c>
      <c r="B904" s="77">
        <f t="shared" si="47"/>
        <v>6</v>
      </c>
      <c r="C904" s="77">
        <v>2</v>
      </c>
      <c r="D904" s="77">
        <v>2</v>
      </c>
      <c r="E904" s="77">
        <f t="shared" si="48"/>
        <v>12216</v>
      </c>
      <c r="F904" s="77">
        <f t="shared" si="46"/>
        <v>10</v>
      </c>
    </row>
    <row r="905" spans="1:6" x14ac:dyDescent="0.25">
      <c r="A905" s="79">
        <f t="shared" si="45"/>
        <v>10902</v>
      </c>
      <c r="B905" s="77">
        <f t="shared" si="47"/>
        <v>6</v>
      </c>
      <c r="C905" s="77">
        <v>2</v>
      </c>
      <c r="D905" s="77">
        <v>2</v>
      </c>
      <c r="E905" s="77">
        <f t="shared" si="48"/>
        <v>12217</v>
      </c>
      <c r="F905" s="77">
        <f t="shared" si="46"/>
        <v>10</v>
      </c>
    </row>
    <row r="906" spans="1:6" x14ac:dyDescent="0.25">
      <c r="A906" s="79">
        <f t="shared" si="45"/>
        <v>10903</v>
      </c>
      <c r="B906" s="77">
        <f t="shared" si="47"/>
        <v>6</v>
      </c>
      <c r="C906" s="77">
        <v>2</v>
      </c>
      <c r="D906" s="77">
        <v>2</v>
      </c>
      <c r="E906" s="77">
        <f t="shared" si="48"/>
        <v>12218</v>
      </c>
      <c r="F906" s="77">
        <f t="shared" si="46"/>
        <v>10</v>
      </c>
    </row>
    <row r="907" spans="1:6" x14ac:dyDescent="0.25">
      <c r="A907" s="79">
        <f t="shared" si="45"/>
        <v>10904</v>
      </c>
      <c r="B907" s="77">
        <f t="shared" si="47"/>
        <v>6</v>
      </c>
      <c r="C907" s="77">
        <v>2</v>
      </c>
      <c r="D907" s="77">
        <v>2</v>
      </c>
      <c r="E907" s="77">
        <f t="shared" si="48"/>
        <v>12219</v>
      </c>
      <c r="F907" s="77">
        <f t="shared" si="46"/>
        <v>10</v>
      </c>
    </row>
    <row r="908" spans="1:6" x14ac:dyDescent="0.25">
      <c r="A908" s="79">
        <f t="shared" si="45"/>
        <v>10905</v>
      </c>
      <c r="B908" s="77">
        <f t="shared" si="47"/>
        <v>6</v>
      </c>
      <c r="C908" s="77">
        <v>2</v>
      </c>
      <c r="D908" s="77">
        <v>2</v>
      </c>
      <c r="E908" s="77">
        <f t="shared" si="48"/>
        <v>12220</v>
      </c>
      <c r="F908" s="77">
        <f t="shared" si="46"/>
        <v>10</v>
      </c>
    </row>
    <row r="909" spans="1:6" x14ac:dyDescent="0.25">
      <c r="A909" s="79">
        <f t="shared" si="45"/>
        <v>10906</v>
      </c>
      <c r="B909" s="77">
        <f t="shared" si="47"/>
        <v>6</v>
      </c>
      <c r="C909" s="77">
        <v>2</v>
      </c>
      <c r="D909" s="77">
        <v>2</v>
      </c>
      <c r="E909" s="77">
        <f t="shared" si="48"/>
        <v>12221</v>
      </c>
      <c r="F909" s="77">
        <f t="shared" si="46"/>
        <v>10</v>
      </c>
    </row>
    <row r="910" spans="1:6" x14ac:dyDescent="0.25">
      <c r="A910" s="79">
        <f t="shared" si="45"/>
        <v>10907</v>
      </c>
      <c r="B910" s="77">
        <f t="shared" si="47"/>
        <v>6</v>
      </c>
      <c r="C910" s="77">
        <v>2</v>
      </c>
      <c r="D910" s="77">
        <v>2</v>
      </c>
      <c r="E910" s="77">
        <f t="shared" si="48"/>
        <v>12222</v>
      </c>
      <c r="F910" s="77">
        <f t="shared" si="46"/>
        <v>10</v>
      </c>
    </row>
    <row r="911" spans="1:6" x14ac:dyDescent="0.25">
      <c r="A911" s="79">
        <f t="shared" si="45"/>
        <v>10908</v>
      </c>
      <c r="B911" s="77">
        <f t="shared" si="47"/>
        <v>6</v>
      </c>
      <c r="C911" s="77">
        <v>2</v>
      </c>
      <c r="D911" s="77">
        <v>2</v>
      </c>
      <c r="E911" s="77">
        <f t="shared" si="48"/>
        <v>12223</v>
      </c>
      <c r="F911" s="77">
        <f t="shared" si="46"/>
        <v>10</v>
      </c>
    </row>
    <row r="912" spans="1:6" x14ac:dyDescent="0.25">
      <c r="A912" s="79">
        <f t="shared" si="45"/>
        <v>10909</v>
      </c>
      <c r="B912" s="77">
        <f t="shared" si="47"/>
        <v>6</v>
      </c>
      <c r="C912" s="77">
        <v>2</v>
      </c>
      <c r="D912" s="77">
        <v>2</v>
      </c>
      <c r="E912" s="77">
        <f t="shared" si="48"/>
        <v>12224</v>
      </c>
      <c r="F912" s="77">
        <f t="shared" si="46"/>
        <v>10</v>
      </c>
    </row>
    <row r="913" spans="1:6" x14ac:dyDescent="0.25">
      <c r="A913" s="79">
        <f t="shared" si="45"/>
        <v>10910</v>
      </c>
      <c r="B913" s="77">
        <f t="shared" si="47"/>
        <v>6</v>
      </c>
      <c r="C913" s="77">
        <v>2</v>
      </c>
      <c r="D913" s="77">
        <v>2</v>
      </c>
      <c r="E913" s="77">
        <f t="shared" si="48"/>
        <v>12225</v>
      </c>
      <c r="F913" s="77">
        <f t="shared" si="46"/>
        <v>10</v>
      </c>
    </row>
    <row r="914" spans="1:6" x14ac:dyDescent="0.25">
      <c r="A914" s="79">
        <f t="shared" si="45"/>
        <v>10911</v>
      </c>
      <c r="B914" s="77">
        <f t="shared" si="47"/>
        <v>6</v>
      </c>
      <c r="C914" s="77">
        <v>2</v>
      </c>
      <c r="D914" s="77">
        <v>2</v>
      </c>
      <c r="E914" s="77">
        <f t="shared" si="48"/>
        <v>12226</v>
      </c>
      <c r="F914" s="77">
        <f t="shared" si="46"/>
        <v>10</v>
      </c>
    </row>
    <row r="915" spans="1:6" x14ac:dyDescent="0.25">
      <c r="A915" s="79">
        <f t="shared" si="45"/>
        <v>10912</v>
      </c>
      <c r="B915" s="77">
        <f t="shared" si="47"/>
        <v>6</v>
      </c>
      <c r="C915" s="77">
        <v>2</v>
      </c>
      <c r="D915" s="77">
        <v>2</v>
      </c>
      <c r="E915" s="77">
        <f t="shared" si="48"/>
        <v>12227</v>
      </c>
      <c r="F915" s="77">
        <f t="shared" si="46"/>
        <v>10</v>
      </c>
    </row>
    <row r="916" spans="1:6" x14ac:dyDescent="0.25">
      <c r="A916" s="79">
        <f t="shared" si="45"/>
        <v>10913</v>
      </c>
      <c r="B916" s="77">
        <f t="shared" si="47"/>
        <v>6</v>
      </c>
      <c r="C916" s="77">
        <v>2</v>
      </c>
      <c r="D916" s="77">
        <v>2</v>
      </c>
      <c r="E916" s="77">
        <f t="shared" si="48"/>
        <v>12228</v>
      </c>
      <c r="F916" s="77">
        <f t="shared" si="46"/>
        <v>10</v>
      </c>
    </row>
    <row r="917" spans="1:6" x14ac:dyDescent="0.25">
      <c r="A917" s="79">
        <f t="shared" si="45"/>
        <v>10914</v>
      </c>
      <c r="B917" s="77">
        <f t="shared" si="47"/>
        <v>6</v>
      </c>
      <c r="C917" s="77">
        <v>2</v>
      </c>
      <c r="D917" s="77">
        <v>2</v>
      </c>
      <c r="E917" s="77">
        <f t="shared" si="48"/>
        <v>12229</v>
      </c>
      <c r="F917" s="77">
        <f t="shared" si="46"/>
        <v>10</v>
      </c>
    </row>
    <row r="918" spans="1:6" x14ac:dyDescent="0.25">
      <c r="A918" s="79">
        <f t="shared" si="45"/>
        <v>10915</v>
      </c>
      <c r="B918" s="77">
        <f t="shared" si="47"/>
        <v>6</v>
      </c>
      <c r="C918" s="77">
        <v>2</v>
      </c>
      <c r="D918" s="77">
        <v>2</v>
      </c>
      <c r="E918" s="77">
        <f t="shared" si="48"/>
        <v>12230</v>
      </c>
      <c r="F918" s="77">
        <f t="shared" si="46"/>
        <v>10</v>
      </c>
    </row>
    <row r="919" spans="1:6" x14ac:dyDescent="0.25">
      <c r="A919" s="79">
        <f t="shared" si="45"/>
        <v>10916</v>
      </c>
      <c r="B919" s="77">
        <f t="shared" si="47"/>
        <v>7</v>
      </c>
      <c r="C919" s="77">
        <v>2</v>
      </c>
      <c r="D919" s="77">
        <v>2</v>
      </c>
      <c r="E919" s="77">
        <f t="shared" si="48"/>
        <v>12201</v>
      </c>
      <c r="F919" s="77">
        <f t="shared" si="46"/>
        <v>0</v>
      </c>
    </row>
    <row r="920" spans="1:6" x14ac:dyDescent="0.25">
      <c r="A920" s="79">
        <f t="shared" si="45"/>
        <v>10917</v>
      </c>
      <c r="B920" s="77">
        <f t="shared" si="47"/>
        <v>7</v>
      </c>
      <c r="C920" s="77">
        <v>2</v>
      </c>
      <c r="D920" s="77">
        <v>2</v>
      </c>
      <c r="E920" s="77">
        <f t="shared" si="48"/>
        <v>12202</v>
      </c>
      <c r="F920" s="77">
        <f t="shared" si="46"/>
        <v>0</v>
      </c>
    </row>
    <row r="921" spans="1:6" x14ac:dyDescent="0.25">
      <c r="A921" s="79">
        <f t="shared" si="45"/>
        <v>10918</v>
      </c>
      <c r="B921" s="77">
        <f t="shared" si="47"/>
        <v>7</v>
      </c>
      <c r="C921" s="77">
        <v>2</v>
      </c>
      <c r="D921" s="77">
        <v>2</v>
      </c>
      <c r="E921" s="77">
        <f t="shared" si="48"/>
        <v>12203</v>
      </c>
      <c r="F921" s="77">
        <f t="shared" si="46"/>
        <v>0</v>
      </c>
    </row>
    <row r="922" spans="1:6" x14ac:dyDescent="0.25">
      <c r="A922" s="79">
        <f t="shared" si="45"/>
        <v>10919</v>
      </c>
      <c r="B922" s="77">
        <f t="shared" si="47"/>
        <v>7</v>
      </c>
      <c r="C922" s="77">
        <v>2</v>
      </c>
      <c r="D922" s="77">
        <v>2</v>
      </c>
      <c r="E922" s="77">
        <f t="shared" si="48"/>
        <v>12204</v>
      </c>
      <c r="F922" s="77">
        <f t="shared" si="46"/>
        <v>0</v>
      </c>
    </row>
    <row r="923" spans="1:6" x14ac:dyDescent="0.25">
      <c r="A923" s="79">
        <f t="shared" si="45"/>
        <v>10920</v>
      </c>
      <c r="B923" s="77">
        <f t="shared" si="47"/>
        <v>7</v>
      </c>
      <c r="C923" s="77">
        <v>2</v>
      </c>
      <c r="D923" s="77">
        <v>2</v>
      </c>
      <c r="E923" s="77">
        <f t="shared" si="48"/>
        <v>12205</v>
      </c>
      <c r="F923" s="77">
        <f t="shared" si="46"/>
        <v>0</v>
      </c>
    </row>
    <row r="924" spans="1:6" x14ac:dyDescent="0.25">
      <c r="A924" s="79">
        <f t="shared" si="45"/>
        <v>10921</v>
      </c>
      <c r="B924" s="77">
        <f t="shared" si="47"/>
        <v>7</v>
      </c>
      <c r="C924" s="77">
        <v>2</v>
      </c>
      <c r="D924" s="77">
        <v>2</v>
      </c>
      <c r="E924" s="77">
        <f t="shared" si="48"/>
        <v>12206</v>
      </c>
      <c r="F924" s="77">
        <f t="shared" si="46"/>
        <v>0</v>
      </c>
    </row>
    <row r="925" spans="1:6" x14ac:dyDescent="0.25">
      <c r="A925" s="79">
        <f t="shared" si="45"/>
        <v>10922</v>
      </c>
      <c r="B925" s="77">
        <f t="shared" si="47"/>
        <v>7</v>
      </c>
      <c r="C925" s="77">
        <v>2</v>
      </c>
      <c r="D925" s="77">
        <v>2</v>
      </c>
      <c r="E925" s="77">
        <f t="shared" si="48"/>
        <v>12207</v>
      </c>
      <c r="F925" s="77">
        <f t="shared" si="46"/>
        <v>0</v>
      </c>
    </row>
    <row r="926" spans="1:6" x14ac:dyDescent="0.25">
      <c r="A926" s="79">
        <f t="shared" si="45"/>
        <v>10923</v>
      </c>
      <c r="B926" s="77">
        <f t="shared" si="47"/>
        <v>7</v>
      </c>
      <c r="C926" s="77">
        <v>2</v>
      </c>
      <c r="D926" s="77">
        <v>2</v>
      </c>
      <c r="E926" s="77">
        <f t="shared" si="48"/>
        <v>12208</v>
      </c>
      <c r="F926" s="77">
        <f t="shared" si="46"/>
        <v>0</v>
      </c>
    </row>
    <row r="927" spans="1:6" x14ac:dyDescent="0.25">
      <c r="A927" s="79">
        <f t="shared" si="45"/>
        <v>10924</v>
      </c>
      <c r="B927" s="77">
        <f t="shared" si="47"/>
        <v>7</v>
      </c>
      <c r="C927" s="77">
        <v>2</v>
      </c>
      <c r="D927" s="77">
        <v>2</v>
      </c>
      <c r="E927" s="77">
        <f t="shared" si="48"/>
        <v>12209</v>
      </c>
      <c r="F927" s="77">
        <f t="shared" si="46"/>
        <v>0</v>
      </c>
    </row>
    <row r="928" spans="1:6" x14ac:dyDescent="0.25">
      <c r="A928" s="79">
        <f t="shared" si="45"/>
        <v>10925</v>
      </c>
      <c r="B928" s="77">
        <f t="shared" si="47"/>
        <v>7</v>
      </c>
      <c r="C928" s="77">
        <v>2</v>
      </c>
      <c r="D928" s="77">
        <v>2</v>
      </c>
      <c r="E928" s="77">
        <f t="shared" si="48"/>
        <v>12210</v>
      </c>
      <c r="F928" s="77">
        <f t="shared" si="46"/>
        <v>0</v>
      </c>
    </row>
    <row r="929" spans="1:6" x14ac:dyDescent="0.25">
      <c r="A929" s="79">
        <f t="shared" si="45"/>
        <v>10926</v>
      </c>
      <c r="B929" s="77">
        <f t="shared" si="47"/>
        <v>7</v>
      </c>
      <c r="C929" s="77">
        <v>2</v>
      </c>
      <c r="D929" s="77">
        <v>2</v>
      </c>
      <c r="E929" s="77">
        <f t="shared" si="48"/>
        <v>12211</v>
      </c>
      <c r="F929" s="77">
        <f t="shared" si="46"/>
        <v>0</v>
      </c>
    </row>
    <row r="930" spans="1:6" x14ac:dyDescent="0.25">
      <c r="A930" s="79">
        <f t="shared" si="45"/>
        <v>10927</v>
      </c>
      <c r="B930" s="77">
        <f t="shared" si="47"/>
        <v>7</v>
      </c>
      <c r="C930" s="77">
        <v>2</v>
      </c>
      <c r="D930" s="77">
        <v>2</v>
      </c>
      <c r="E930" s="77">
        <f t="shared" si="48"/>
        <v>12212</v>
      </c>
      <c r="F930" s="77">
        <f t="shared" si="46"/>
        <v>0</v>
      </c>
    </row>
    <row r="931" spans="1:6" x14ac:dyDescent="0.25">
      <c r="A931" s="79">
        <f t="shared" si="45"/>
        <v>10928</v>
      </c>
      <c r="B931" s="77">
        <f t="shared" si="47"/>
        <v>7</v>
      </c>
      <c r="C931" s="77">
        <v>2</v>
      </c>
      <c r="D931" s="77">
        <v>2</v>
      </c>
      <c r="E931" s="77">
        <f t="shared" si="48"/>
        <v>12213</v>
      </c>
      <c r="F931" s="77">
        <f t="shared" si="46"/>
        <v>0</v>
      </c>
    </row>
    <row r="932" spans="1:6" x14ac:dyDescent="0.25">
      <c r="A932" s="79">
        <f t="shared" ref="A932:A948" si="49">A931+1</f>
        <v>10929</v>
      </c>
      <c r="B932" s="77">
        <f t="shared" si="47"/>
        <v>7</v>
      </c>
      <c r="C932" s="77">
        <v>2</v>
      </c>
      <c r="D932" s="77">
        <v>2</v>
      </c>
      <c r="E932" s="77">
        <f t="shared" si="48"/>
        <v>12214</v>
      </c>
      <c r="F932" s="77">
        <f t="shared" ref="F932:F948" si="50">F722</f>
        <v>0</v>
      </c>
    </row>
    <row r="933" spans="1:6" x14ac:dyDescent="0.25">
      <c r="A933" s="79">
        <f t="shared" si="49"/>
        <v>10930</v>
      </c>
      <c r="B933" s="77">
        <f t="shared" si="47"/>
        <v>7</v>
      </c>
      <c r="C933" s="77">
        <v>2</v>
      </c>
      <c r="D933" s="77">
        <v>2</v>
      </c>
      <c r="E933" s="77">
        <f t="shared" si="48"/>
        <v>12215</v>
      </c>
      <c r="F933" s="77">
        <f t="shared" si="50"/>
        <v>0</v>
      </c>
    </row>
    <row r="934" spans="1:6" x14ac:dyDescent="0.25">
      <c r="A934" s="79">
        <f t="shared" si="49"/>
        <v>10931</v>
      </c>
      <c r="B934" s="77">
        <f t="shared" si="47"/>
        <v>7</v>
      </c>
      <c r="C934" s="77">
        <v>2</v>
      </c>
      <c r="D934" s="77">
        <v>2</v>
      </c>
      <c r="E934" s="77">
        <f t="shared" si="48"/>
        <v>12216</v>
      </c>
      <c r="F934" s="77">
        <f t="shared" si="50"/>
        <v>20</v>
      </c>
    </row>
    <row r="935" spans="1:6" x14ac:dyDescent="0.25">
      <c r="A935" s="79">
        <f t="shared" si="49"/>
        <v>10932</v>
      </c>
      <c r="B935" s="77">
        <f t="shared" si="47"/>
        <v>7</v>
      </c>
      <c r="C935" s="77">
        <v>2</v>
      </c>
      <c r="D935" s="77">
        <v>2</v>
      </c>
      <c r="E935" s="77">
        <f t="shared" si="48"/>
        <v>12217</v>
      </c>
      <c r="F935" s="77">
        <f t="shared" si="50"/>
        <v>20</v>
      </c>
    </row>
    <row r="936" spans="1:6" x14ac:dyDescent="0.25">
      <c r="A936" s="79">
        <f t="shared" si="49"/>
        <v>10933</v>
      </c>
      <c r="B936" s="77">
        <f t="shared" ref="B936:B948" si="51">B906+1</f>
        <v>7</v>
      </c>
      <c r="C936" s="77">
        <v>2</v>
      </c>
      <c r="D936" s="77">
        <v>2</v>
      </c>
      <c r="E936" s="77">
        <f t="shared" si="48"/>
        <v>12218</v>
      </c>
      <c r="F936" s="77">
        <f t="shared" si="50"/>
        <v>20</v>
      </c>
    </row>
    <row r="937" spans="1:6" x14ac:dyDescent="0.25">
      <c r="A937" s="79">
        <f t="shared" si="49"/>
        <v>10934</v>
      </c>
      <c r="B937" s="77">
        <f t="shared" si="51"/>
        <v>7</v>
      </c>
      <c r="C937" s="77">
        <v>2</v>
      </c>
      <c r="D937" s="77">
        <v>2</v>
      </c>
      <c r="E937" s="77">
        <f t="shared" si="48"/>
        <v>12219</v>
      </c>
      <c r="F937" s="77">
        <f t="shared" si="50"/>
        <v>20</v>
      </c>
    </row>
    <row r="938" spans="1:6" x14ac:dyDescent="0.25">
      <c r="A938" s="79">
        <f t="shared" si="49"/>
        <v>10935</v>
      </c>
      <c r="B938" s="77">
        <f t="shared" si="51"/>
        <v>7</v>
      </c>
      <c r="C938" s="77">
        <v>2</v>
      </c>
      <c r="D938" s="77">
        <v>2</v>
      </c>
      <c r="E938" s="77">
        <f t="shared" si="48"/>
        <v>12220</v>
      </c>
      <c r="F938" s="77">
        <f t="shared" si="50"/>
        <v>20</v>
      </c>
    </row>
    <row r="939" spans="1:6" x14ac:dyDescent="0.25">
      <c r="A939" s="79">
        <f t="shared" si="49"/>
        <v>10936</v>
      </c>
      <c r="B939" s="77">
        <f t="shared" si="51"/>
        <v>7</v>
      </c>
      <c r="C939" s="77">
        <v>2</v>
      </c>
      <c r="D939" s="77">
        <v>2</v>
      </c>
      <c r="E939" s="77">
        <f t="shared" si="48"/>
        <v>12221</v>
      </c>
      <c r="F939" s="77">
        <f t="shared" si="50"/>
        <v>20</v>
      </c>
    </row>
    <row r="940" spans="1:6" x14ac:dyDescent="0.25">
      <c r="A940" s="79">
        <f t="shared" si="49"/>
        <v>10937</v>
      </c>
      <c r="B940" s="77">
        <f t="shared" si="51"/>
        <v>7</v>
      </c>
      <c r="C940" s="77">
        <v>2</v>
      </c>
      <c r="D940" s="77">
        <v>2</v>
      </c>
      <c r="E940" s="77">
        <f t="shared" si="48"/>
        <v>12222</v>
      </c>
      <c r="F940" s="77">
        <f t="shared" si="50"/>
        <v>20</v>
      </c>
    </row>
    <row r="941" spans="1:6" x14ac:dyDescent="0.25">
      <c r="A941" s="79">
        <f t="shared" si="49"/>
        <v>10938</v>
      </c>
      <c r="B941" s="77">
        <f t="shared" si="51"/>
        <v>7</v>
      </c>
      <c r="C941" s="77">
        <v>2</v>
      </c>
      <c r="D941" s="77">
        <v>2</v>
      </c>
      <c r="E941" s="77">
        <f t="shared" si="48"/>
        <v>12223</v>
      </c>
      <c r="F941" s="77">
        <f t="shared" si="50"/>
        <v>20</v>
      </c>
    </row>
    <row r="942" spans="1:6" x14ac:dyDescent="0.25">
      <c r="A942" s="79">
        <f t="shared" si="49"/>
        <v>10939</v>
      </c>
      <c r="B942" s="77">
        <f t="shared" si="51"/>
        <v>7</v>
      </c>
      <c r="C942" s="77">
        <v>2</v>
      </c>
      <c r="D942" s="77">
        <v>2</v>
      </c>
      <c r="E942" s="77">
        <f t="shared" si="48"/>
        <v>12224</v>
      </c>
      <c r="F942" s="77">
        <f t="shared" si="50"/>
        <v>20</v>
      </c>
    </row>
    <row r="943" spans="1:6" x14ac:dyDescent="0.25">
      <c r="A943" s="79">
        <f t="shared" si="49"/>
        <v>10940</v>
      </c>
      <c r="B943" s="77">
        <f t="shared" si="51"/>
        <v>7</v>
      </c>
      <c r="C943" s="77">
        <v>2</v>
      </c>
      <c r="D943" s="77">
        <v>2</v>
      </c>
      <c r="E943" s="77">
        <f t="shared" si="48"/>
        <v>12225</v>
      </c>
      <c r="F943" s="77">
        <f t="shared" si="50"/>
        <v>20</v>
      </c>
    </row>
    <row r="944" spans="1:6" x14ac:dyDescent="0.25">
      <c r="A944" s="79">
        <f t="shared" si="49"/>
        <v>10941</v>
      </c>
      <c r="B944" s="77">
        <f t="shared" si="51"/>
        <v>7</v>
      </c>
      <c r="C944" s="77">
        <v>2</v>
      </c>
      <c r="D944" s="77">
        <v>2</v>
      </c>
      <c r="E944" s="77">
        <f t="shared" si="48"/>
        <v>12226</v>
      </c>
      <c r="F944" s="77">
        <f t="shared" si="50"/>
        <v>20</v>
      </c>
    </row>
    <row r="945" spans="1:6" x14ac:dyDescent="0.25">
      <c r="A945" s="79">
        <f t="shared" si="49"/>
        <v>10942</v>
      </c>
      <c r="B945" s="77">
        <f t="shared" si="51"/>
        <v>7</v>
      </c>
      <c r="C945" s="77">
        <v>2</v>
      </c>
      <c r="D945" s="77">
        <v>2</v>
      </c>
      <c r="E945" s="77">
        <f t="shared" si="48"/>
        <v>12227</v>
      </c>
      <c r="F945" s="77">
        <f t="shared" si="50"/>
        <v>20</v>
      </c>
    </row>
    <row r="946" spans="1:6" x14ac:dyDescent="0.25">
      <c r="A946" s="79">
        <f t="shared" si="49"/>
        <v>10943</v>
      </c>
      <c r="B946" s="77">
        <f t="shared" si="51"/>
        <v>7</v>
      </c>
      <c r="C946" s="77">
        <v>2</v>
      </c>
      <c r="D946" s="77">
        <v>2</v>
      </c>
      <c r="E946" s="77">
        <f t="shared" si="48"/>
        <v>12228</v>
      </c>
      <c r="F946" s="77">
        <f t="shared" si="50"/>
        <v>20</v>
      </c>
    </row>
    <row r="947" spans="1:6" x14ac:dyDescent="0.25">
      <c r="A947" s="79">
        <f t="shared" si="49"/>
        <v>10944</v>
      </c>
      <c r="B947" s="77">
        <f t="shared" si="51"/>
        <v>7</v>
      </c>
      <c r="C947" s="77">
        <v>2</v>
      </c>
      <c r="D947" s="77">
        <v>2</v>
      </c>
      <c r="E947" s="77">
        <f t="shared" si="48"/>
        <v>12229</v>
      </c>
      <c r="F947" s="77">
        <f t="shared" si="50"/>
        <v>20</v>
      </c>
    </row>
    <row r="948" spans="1:6" x14ac:dyDescent="0.25">
      <c r="A948" s="79">
        <f t="shared" si="49"/>
        <v>10945</v>
      </c>
      <c r="B948" s="77">
        <f t="shared" si="51"/>
        <v>7</v>
      </c>
      <c r="C948" s="77">
        <v>2</v>
      </c>
      <c r="D948" s="77">
        <v>2</v>
      </c>
      <c r="E948" s="77">
        <f t="shared" si="48"/>
        <v>12230</v>
      </c>
      <c r="F948" s="77">
        <f t="shared" si="50"/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 zoomScale="100" zoomScaleNormal="100">
      <selection activeCell="B42" sqref="B42"/>
    </sheetView>
  </sheetViews>
  <sheetFormatPr defaultRowHeight="14.25" outlineLevelRow="4" outlineLevelCol="2" x14ac:dyDescent="0" defaultColWidth="9" customHeight="1"/>
  <cols>
    <col min="1" max="1" width="9" style="82" customWidth="1"/>
    <col min="2" max="2" width="42.0833333333333" style="82" customWidth="1"/>
    <col min="3" max="3" width="15.5" style="82" customWidth="1"/>
    <col min="4" max="16384" width="9" style="82" customWidth="1"/>
  </cols>
  <sheetData>
    <row r="1" spans="1:3" x14ac:dyDescent="0.25">
      <c r="A1" s="82" t="s">
        <v>1787</v>
      </c>
      <c r="B1" s="82" t="s">
        <v>1788</v>
      </c>
      <c r="C1" s="82" t="s">
        <v>1789</v>
      </c>
    </row>
    <row r="2" spans="1:3" x14ac:dyDescent="0.25">
      <c r="A2" s="82" t="s">
        <v>1385</v>
      </c>
      <c r="B2" s="82" t="s">
        <v>1790</v>
      </c>
      <c r="C2" s="82" t="s">
        <v>1791</v>
      </c>
    </row>
    <row r="3" spans="1:3" x14ac:dyDescent="0.25">
      <c r="A3" s="82" t="s">
        <v>78</v>
      </c>
      <c r="B3" s="82" t="s">
        <v>79</v>
      </c>
      <c r="C3" s="82" t="s">
        <v>78</v>
      </c>
    </row>
    <row r="4" spans="1:3" x14ac:dyDescent="0.25">
      <c r="A4" s="82">
        <v>1</v>
      </c>
      <c r="B4" s="82" t="s">
        <v>1792</v>
      </c>
      <c r="C4" s="82">
        <v>1</v>
      </c>
    </row>
    <row r="5" spans="1:3" x14ac:dyDescent="0.25">
      <c r="A5" s="82">
        <v>2</v>
      </c>
      <c r="B5" s="82" t="s">
        <v>1793</v>
      </c>
      <c r="C5" s="82">
        <v>2</v>
      </c>
    </row>
  </sheetData>
  <pageMargins left="0.7" right="0.7" top="0.75" bottom="0.75" header="0.3" footer="0.3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6"/>
  <sheetViews>
    <sheetView workbookViewId="0" zoomScale="100" zoomScaleNormal="100">
      <selection activeCell="E316" sqref="E316"/>
    </sheetView>
  </sheetViews>
  <sheetFormatPr defaultRowHeight="14.25" outlineLevelRow="0" outlineLevelCol="3" x14ac:dyDescent="0" defaultColWidth="9" customHeight="1"/>
  <cols>
    <col min="1" max="1" width="20.3333333333333" style="63" customWidth="1"/>
    <col min="2" max="2" width="38.3333333333333" customWidth="1"/>
    <col min="3" max="3" width="41.8333333333333" customWidth="1"/>
  </cols>
  <sheetData>
    <row r="1" spans="1:2" x14ac:dyDescent="0.25">
      <c r="A1" s="64" t="s">
        <v>1385</v>
      </c>
      <c r="B1" s="65" t="s">
        <v>1391</v>
      </c>
    </row>
    <row r="2" spans="1:2" x14ac:dyDescent="0.25">
      <c r="A2" s="64" t="s">
        <v>1385</v>
      </c>
      <c r="B2" s="65" t="s">
        <v>1392</v>
      </c>
    </row>
    <row r="3" spans="1:2" x14ac:dyDescent="0.25">
      <c r="A3" s="64" t="s">
        <v>78</v>
      </c>
      <c r="B3" s="65" t="s">
        <v>80</v>
      </c>
    </row>
    <row r="4" spans="1:2" x14ac:dyDescent="0.25">
      <c r="A4" s="64">
        <v>10001</v>
      </c>
      <c r="B4" s="64" t="s">
        <v>1393</v>
      </c>
    </row>
    <row r="5" spans="1:2" x14ac:dyDescent="0.25">
      <c r="A5" s="64">
        <v>10002</v>
      </c>
      <c r="B5" s="64" t="s">
        <v>1394</v>
      </c>
    </row>
    <row r="6" spans="1:2" x14ac:dyDescent="0.25">
      <c r="A6" s="64">
        <v>10003</v>
      </c>
      <c r="B6" s="64" t="s">
        <v>1395</v>
      </c>
    </row>
    <row r="7" spans="1:2" x14ac:dyDescent="0.25">
      <c r="A7" s="66">
        <v>10004</v>
      </c>
      <c r="B7" s="66" t="s">
        <v>1396</v>
      </c>
    </row>
    <row r="8" spans="1:2" x14ac:dyDescent="0.25">
      <c r="A8" s="64">
        <v>10005</v>
      </c>
      <c r="B8" s="64" t="s">
        <v>1397</v>
      </c>
    </row>
    <row r="9" spans="1:2" x14ac:dyDescent="0.25">
      <c r="A9" s="64">
        <v>10006</v>
      </c>
      <c r="B9" t="s">
        <v>1398</v>
      </c>
    </row>
    <row r="10" spans="1:2" x14ac:dyDescent="0.25">
      <c r="A10" s="64">
        <v>10007</v>
      </c>
      <c r="B10" t="s">
        <v>1399</v>
      </c>
    </row>
    <row r="11" spans="1:2" x14ac:dyDescent="0.25">
      <c r="A11" s="66">
        <v>10008</v>
      </c>
      <c r="B11" s="23" t="s">
        <v>1400</v>
      </c>
    </row>
    <row r="12" spans="1:2" x14ac:dyDescent="0.25">
      <c r="A12" s="64">
        <v>10009</v>
      </c>
      <c r="B12" t="s">
        <v>1401</v>
      </c>
    </row>
    <row r="13" spans="1:2" x14ac:dyDescent="0.25">
      <c r="A13" s="64">
        <v>10010</v>
      </c>
      <c r="B13" t="s">
        <v>1402</v>
      </c>
    </row>
    <row r="14" spans="1:2" x14ac:dyDescent="0.25">
      <c r="A14" s="64">
        <v>10011</v>
      </c>
      <c r="B14" t="s">
        <v>1403</v>
      </c>
    </row>
    <row r="15" spans="1:2" x14ac:dyDescent="0.25">
      <c r="A15" s="66">
        <v>10012</v>
      </c>
      <c r="B15" s="23" t="s">
        <v>1404</v>
      </c>
    </row>
    <row r="16" spans="1:2" x14ac:dyDescent="0.25">
      <c r="A16" s="64">
        <v>10013</v>
      </c>
      <c r="B16" t="s">
        <v>1405</v>
      </c>
    </row>
    <row r="17" spans="1:2" x14ac:dyDescent="0.25">
      <c r="A17" s="64">
        <v>10014</v>
      </c>
      <c r="B17" t="s">
        <v>1406</v>
      </c>
    </row>
    <row r="18" spans="1:2" x14ac:dyDescent="0.25">
      <c r="A18" s="64">
        <v>10015</v>
      </c>
      <c r="B18" t="s">
        <v>1407</v>
      </c>
    </row>
    <row r="19" spans="1:2" x14ac:dyDescent="0.25">
      <c r="A19" s="66">
        <v>10016</v>
      </c>
      <c r="B19" s="23" t="s">
        <v>1408</v>
      </c>
    </row>
    <row r="20" spans="1:2" x14ac:dyDescent="0.25">
      <c r="A20" s="64">
        <v>10017</v>
      </c>
      <c r="B20" t="s">
        <v>1409</v>
      </c>
    </row>
    <row r="21" spans="1:2" x14ac:dyDescent="0.25">
      <c r="A21" s="64">
        <v>10018</v>
      </c>
      <c r="B21" t="s">
        <v>1410</v>
      </c>
    </row>
    <row r="22" spans="1:2" x14ac:dyDescent="0.25">
      <c r="A22" s="64">
        <v>10019</v>
      </c>
      <c r="B22" t="s">
        <v>1411</v>
      </c>
    </row>
    <row r="23" spans="1:2" x14ac:dyDescent="0.25">
      <c r="A23" s="66">
        <v>10020</v>
      </c>
      <c r="B23" s="23" t="s">
        <v>1412</v>
      </c>
    </row>
    <row r="24" spans="1:2" x14ac:dyDescent="0.25">
      <c r="A24" s="64">
        <v>10021</v>
      </c>
      <c r="B24" t="s">
        <v>1413</v>
      </c>
    </row>
    <row r="25" spans="1:2" x14ac:dyDescent="0.25">
      <c r="A25" s="64">
        <v>10022</v>
      </c>
      <c r="B25" t="s">
        <v>1414</v>
      </c>
    </row>
    <row r="26" spans="1:2" x14ac:dyDescent="0.25">
      <c r="A26" s="64">
        <v>10023</v>
      </c>
      <c r="B26" t="s">
        <v>1415</v>
      </c>
    </row>
    <row r="27" spans="1:2" x14ac:dyDescent="0.25">
      <c r="A27" s="66">
        <v>10024</v>
      </c>
      <c r="B27" s="23" t="s">
        <v>1416</v>
      </c>
    </row>
    <row r="28" spans="1:2" x14ac:dyDescent="0.25">
      <c r="A28" s="64">
        <v>10025</v>
      </c>
      <c r="B28" t="s">
        <v>1417</v>
      </c>
    </row>
    <row r="29" spans="1:2" x14ac:dyDescent="0.25">
      <c r="A29" s="64">
        <v>10026</v>
      </c>
      <c r="B29" t="s">
        <v>1418</v>
      </c>
    </row>
    <row r="30" spans="1:2" x14ac:dyDescent="0.25">
      <c r="A30" s="64">
        <v>10027</v>
      </c>
      <c r="B30" t="s">
        <v>1419</v>
      </c>
    </row>
    <row r="31" spans="1:2" x14ac:dyDescent="0.25">
      <c r="A31" s="66">
        <v>10028</v>
      </c>
      <c r="B31" s="23" t="s">
        <v>1420</v>
      </c>
    </row>
    <row r="32" spans="1:2" x14ac:dyDescent="0.25">
      <c r="A32" s="64">
        <v>10029</v>
      </c>
      <c r="B32" t="s">
        <v>1421</v>
      </c>
    </row>
    <row r="33" spans="1:2" x14ac:dyDescent="0.25">
      <c r="A33" s="64">
        <v>10030</v>
      </c>
      <c r="B33" t="s">
        <v>1422</v>
      </c>
    </row>
    <row r="34" spans="1:2" x14ac:dyDescent="0.25">
      <c r="A34" s="64">
        <v>10031</v>
      </c>
      <c r="B34" t="s">
        <v>1423</v>
      </c>
    </row>
    <row r="35" spans="1:2" x14ac:dyDescent="0.25">
      <c r="A35" s="66">
        <v>10032</v>
      </c>
      <c r="B35" s="23" t="s">
        <v>1424</v>
      </c>
    </row>
    <row r="36" spans="1:2" x14ac:dyDescent="0.25">
      <c r="A36" s="64">
        <v>10033</v>
      </c>
      <c r="B36" t="s">
        <v>1425</v>
      </c>
    </row>
    <row r="37" spans="1:2" x14ac:dyDescent="0.25">
      <c r="A37" s="64">
        <v>10034</v>
      </c>
      <c r="B37" t="s">
        <v>1426</v>
      </c>
    </row>
    <row r="38" spans="1:2" x14ac:dyDescent="0.25">
      <c r="A38" s="64">
        <v>10035</v>
      </c>
      <c r="B38" t="s">
        <v>1427</v>
      </c>
    </row>
    <row r="39" spans="1:2" x14ac:dyDescent="0.25">
      <c r="A39" s="66">
        <v>10036</v>
      </c>
      <c r="B39" s="23" t="s">
        <v>1428</v>
      </c>
    </row>
    <row r="40" spans="1:2" x14ac:dyDescent="0.25">
      <c r="A40" s="64">
        <v>10037</v>
      </c>
      <c r="B40" t="s">
        <v>1429</v>
      </c>
    </row>
    <row r="41" spans="1:2" x14ac:dyDescent="0.25">
      <c r="A41" s="64">
        <v>10038</v>
      </c>
      <c r="B41" t="s">
        <v>1430</v>
      </c>
    </row>
    <row r="42" spans="1:2" x14ac:dyDescent="0.25">
      <c r="A42" s="64">
        <v>10039</v>
      </c>
      <c r="B42" t="s">
        <v>1431</v>
      </c>
    </row>
    <row r="43" spans="1:2" x14ac:dyDescent="0.25">
      <c r="A43" s="66">
        <v>10040</v>
      </c>
      <c r="B43" s="23" t="s">
        <v>1432</v>
      </c>
    </row>
    <row r="44" spans="1:2" x14ac:dyDescent="0.25">
      <c r="A44" s="64">
        <v>10041</v>
      </c>
      <c r="B44" t="s">
        <v>1433</v>
      </c>
    </row>
    <row r="45" spans="1:2" x14ac:dyDescent="0.25">
      <c r="A45" s="64">
        <v>10042</v>
      </c>
      <c r="B45" t="s">
        <v>1434</v>
      </c>
    </row>
    <row r="46" spans="1:2" x14ac:dyDescent="0.25">
      <c r="A46" s="64">
        <v>10043</v>
      </c>
      <c r="B46" t="s">
        <v>1435</v>
      </c>
    </row>
    <row r="47" spans="1:2" x14ac:dyDescent="0.25">
      <c r="A47" s="66">
        <v>10044</v>
      </c>
      <c r="B47" s="23" t="s">
        <v>1436</v>
      </c>
    </row>
    <row r="48" spans="1:2" x14ac:dyDescent="0.25">
      <c r="A48" s="64">
        <v>10045</v>
      </c>
      <c r="B48" t="s">
        <v>1437</v>
      </c>
    </row>
    <row r="49" spans="1:2" x14ac:dyDescent="0.25">
      <c r="A49" s="64">
        <v>10046</v>
      </c>
      <c r="B49" t="s">
        <v>1438</v>
      </c>
    </row>
    <row r="50" spans="1:2" x14ac:dyDescent="0.25">
      <c r="A50" s="64">
        <v>10047</v>
      </c>
      <c r="B50" t="s">
        <v>1439</v>
      </c>
    </row>
    <row r="51" spans="1:2" x14ac:dyDescent="0.25">
      <c r="A51" s="66">
        <v>10048</v>
      </c>
      <c r="B51" s="23" t="s">
        <v>1440</v>
      </c>
    </row>
    <row r="52" spans="1:2" x14ac:dyDescent="0.25">
      <c r="A52" s="64">
        <v>10049</v>
      </c>
      <c r="B52" t="s">
        <v>1441</v>
      </c>
    </row>
    <row r="53" spans="1:2" x14ac:dyDescent="0.25">
      <c r="A53" s="64">
        <v>10050</v>
      </c>
      <c r="B53" t="s">
        <v>1442</v>
      </c>
    </row>
    <row r="54" spans="1:2" x14ac:dyDescent="0.25">
      <c r="A54" s="64">
        <v>10051</v>
      </c>
      <c r="B54" t="s">
        <v>1443</v>
      </c>
    </row>
    <row r="55" spans="1:2" x14ac:dyDescent="0.25">
      <c r="A55" s="66">
        <v>10052</v>
      </c>
      <c r="B55" s="23" t="s">
        <v>1444</v>
      </c>
    </row>
    <row r="56" spans="1:2" x14ac:dyDescent="0.25">
      <c r="A56" s="64">
        <v>10053</v>
      </c>
      <c r="B56" t="s">
        <v>1445</v>
      </c>
    </row>
    <row r="57" spans="1:2" x14ac:dyDescent="0.25">
      <c r="A57" s="64">
        <v>10054</v>
      </c>
      <c r="B57" t="s">
        <v>1446</v>
      </c>
    </row>
    <row r="58" spans="1:2" x14ac:dyDescent="0.25">
      <c r="A58" s="64">
        <v>10055</v>
      </c>
      <c r="B58" t="s">
        <v>1447</v>
      </c>
    </row>
    <row r="59" spans="1:2" x14ac:dyDescent="0.25">
      <c r="A59" s="66">
        <v>10056</v>
      </c>
      <c r="B59" s="23" t="s">
        <v>1448</v>
      </c>
    </row>
    <row r="60" spans="1:2" x14ac:dyDescent="0.25">
      <c r="A60" s="64">
        <v>10057</v>
      </c>
      <c r="B60" s="23" t="s">
        <v>1449</v>
      </c>
    </row>
    <row r="61" spans="1:2" x14ac:dyDescent="0.25">
      <c r="A61" s="64">
        <v>10058</v>
      </c>
      <c r="B61" t="s">
        <v>1450</v>
      </c>
    </row>
    <row r="62" spans="1:2" x14ac:dyDescent="0.25">
      <c r="A62" s="64">
        <v>10059</v>
      </c>
      <c r="B62" t="s">
        <v>1451</v>
      </c>
    </row>
    <row r="63" spans="1:2" x14ac:dyDescent="0.25">
      <c r="A63" s="66">
        <v>10060</v>
      </c>
      <c r="B63" s="23" t="s">
        <v>1452</v>
      </c>
    </row>
    <row r="64" spans="1:2" x14ac:dyDescent="0.25">
      <c r="A64" s="64">
        <v>10061</v>
      </c>
      <c r="B64" t="s">
        <v>1453</v>
      </c>
    </row>
    <row r="65" spans="1:2" x14ac:dyDescent="0.25">
      <c r="A65" s="64">
        <v>10062</v>
      </c>
      <c r="B65" t="s">
        <v>1454</v>
      </c>
    </row>
    <row r="66" spans="1:2" x14ac:dyDescent="0.25">
      <c r="A66" s="64">
        <v>10063</v>
      </c>
      <c r="B66" t="s">
        <v>1455</v>
      </c>
    </row>
    <row r="67" spans="1:2" x14ac:dyDescent="0.25">
      <c r="A67" s="66">
        <v>10064</v>
      </c>
      <c r="B67" s="23" t="s">
        <v>1456</v>
      </c>
    </row>
    <row r="68" spans="1:2" x14ac:dyDescent="0.25">
      <c r="A68" s="64">
        <v>10065</v>
      </c>
      <c r="B68" t="s">
        <v>1457</v>
      </c>
    </row>
    <row r="69" spans="1:2" x14ac:dyDescent="0.25">
      <c r="A69" s="64">
        <v>10066</v>
      </c>
      <c r="B69" t="s">
        <v>1458</v>
      </c>
    </row>
    <row r="70" spans="1:2" x14ac:dyDescent="0.25">
      <c r="A70" s="64">
        <v>10067</v>
      </c>
      <c r="B70" t="s">
        <v>1459</v>
      </c>
    </row>
    <row r="71" spans="1:2" x14ac:dyDescent="0.25">
      <c r="A71" s="66">
        <v>10068</v>
      </c>
      <c r="B71" s="23" t="s">
        <v>1460</v>
      </c>
    </row>
    <row r="72" spans="1:2" x14ac:dyDescent="0.25">
      <c r="A72" s="64">
        <v>10069</v>
      </c>
      <c r="B72" t="s">
        <v>1461</v>
      </c>
    </row>
    <row r="73" spans="1:2" x14ac:dyDescent="0.25">
      <c r="A73" s="64">
        <v>10070</v>
      </c>
      <c r="B73" t="s">
        <v>1462</v>
      </c>
    </row>
    <row r="74" spans="1:2" x14ac:dyDescent="0.25">
      <c r="A74" s="64">
        <v>10071</v>
      </c>
      <c r="B74" t="s">
        <v>1463</v>
      </c>
    </row>
    <row r="75" spans="1:2" x14ac:dyDescent="0.25">
      <c r="A75" s="66">
        <v>10072</v>
      </c>
      <c r="B75" s="23" t="s">
        <v>1464</v>
      </c>
    </row>
    <row r="76" spans="1:2" x14ac:dyDescent="0.25">
      <c r="A76" s="64">
        <v>10073</v>
      </c>
      <c r="B76" t="s">
        <v>1465</v>
      </c>
    </row>
    <row r="77" spans="1:2" x14ac:dyDescent="0.25">
      <c r="A77" s="64">
        <v>10074</v>
      </c>
      <c r="B77" t="s">
        <v>1466</v>
      </c>
    </row>
    <row r="78" spans="1:2" x14ac:dyDescent="0.25">
      <c r="A78" s="64">
        <v>10075</v>
      </c>
      <c r="B78" t="s">
        <v>1467</v>
      </c>
    </row>
    <row r="79" spans="1:2" x14ac:dyDescent="0.25">
      <c r="A79" s="66">
        <v>10076</v>
      </c>
      <c r="B79" s="23" t="s">
        <v>1468</v>
      </c>
    </row>
    <row r="80" spans="1:2" x14ac:dyDescent="0.25">
      <c r="A80" s="64">
        <v>10077</v>
      </c>
      <c r="B80" t="s">
        <v>1469</v>
      </c>
    </row>
    <row r="81" spans="1:2" x14ac:dyDescent="0.25">
      <c r="A81" s="64">
        <v>10078</v>
      </c>
      <c r="B81" t="s">
        <v>1470</v>
      </c>
    </row>
    <row r="82" spans="1:2" x14ac:dyDescent="0.25">
      <c r="A82" s="64">
        <v>10079</v>
      </c>
      <c r="B82" t="s">
        <v>1471</v>
      </c>
    </row>
    <row r="83" spans="1:2" x14ac:dyDescent="0.25">
      <c r="A83" s="66">
        <v>10080</v>
      </c>
      <c r="B83" s="23" t="s">
        <v>1472</v>
      </c>
    </row>
    <row r="84" spans="1:2" x14ac:dyDescent="0.25">
      <c r="A84" s="64">
        <v>10081</v>
      </c>
      <c r="B84" t="s">
        <v>1473</v>
      </c>
    </row>
    <row r="85" spans="1:2" x14ac:dyDescent="0.25">
      <c r="A85" s="64">
        <v>10082</v>
      </c>
      <c r="B85" t="s">
        <v>1474</v>
      </c>
    </row>
    <row r="86" spans="1:2" x14ac:dyDescent="0.25">
      <c r="A86" s="64">
        <v>10083</v>
      </c>
      <c r="B86" t="s">
        <v>1475</v>
      </c>
    </row>
    <row r="87" spans="1:2" x14ac:dyDescent="0.25">
      <c r="A87" s="66">
        <v>10084</v>
      </c>
      <c r="B87" s="23" t="s">
        <v>1476</v>
      </c>
    </row>
    <row r="88" spans="1:2" x14ac:dyDescent="0.25">
      <c r="A88" s="64">
        <v>10085</v>
      </c>
      <c r="B88" t="s">
        <v>1477</v>
      </c>
    </row>
    <row r="89" spans="1:2" x14ac:dyDescent="0.25">
      <c r="A89" s="64">
        <v>10086</v>
      </c>
      <c r="B89" t="s">
        <v>1478</v>
      </c>
    </row>
    <row r="90" spans="1:2" x14ac:dyDescent="0.25">
      <c r="A90" s="64">
        <v>10087</v>
      </c>
      <c r="B90" t="s">
        <v>1479</v>
      </c>
    </row>
    <row r="91" spans="1:2" x14ac:dyDescent="0.25">
      <c r="A91" s="66">
        <v>10088</v>
      </c>
      <c r="B91" s="23" t="s">
        <v>1480</v>
      </c>
    </row>
    <row r="92" spans="1:2" x14ac:dyDescent="0.25">
      <c r="A92" s="64">
        <v>10089</v>
      </c>
      <c r="B92" t="s">
        <v>1481</v>
      </c>
    </row>
    <row r="93" spans="1:2" x14ac:dyDescent="0.25">
      <c r="A93" s="64">
        <v>10090</v>
      </c>
      <c r="B93" t="s">
        <v>1482</v>
      </c>
    </row>
    <row r="94" spans="1:2" x14ac:dyDescent="0.25">
      <c r="A94" s="64">
        <v>10091</v>
      </c>
      <c r="B94" t="s">
        <v>1483</v>
      </c>
    </row>
    <row r="95" spans="1:2" x14ac:dyDescent="0.25">
      <c r="A95" s="66">
        <v>10092</v>
      </c>
      <c r="B95" s="23" t="s">
        <v>1484</v>
      </c>
    </row>
    <row r="96" spans="1:2" x14ac:dyDescent="0.25">
      <c r="A96" s="64">
        <v>10093</v>
      </c>
      <c r="B96" t="s">
        <v>1485</v>
      </c>
    </row>
    <row r="97" spans="1:2" x14ac:dyDescent="0.25">
      <c r="A97" s="64">
        <v>10094</v>
      </c>
      <c r="B97" t="s">
        <v>1486</v>
      </c>
    </row>
    <row r="98" spans="1:2" x14ac:dyDescent="0.25">
      <c r="A98" s="64">
        <v>10095</v>
      </c>
      <c r="B98" t="s">
        <v>1487</v>
      </c>
    </row>
    <row r="99" spans="1:2" x14ac:dyDescent="0.25">
      <c r="A99" s="66">
        <v>10096</v>
      </c>
      <c r="B99" s="23" t="s">
        <v>1488</v>
      </c>
    </row>
    <row r="100" spans="1:2" x14ac:dyDescent="0.25">
      <c r="A100" s="64">
        <v>10097</v>
      </c>
      <c r="B100" t="s">
        <v>1489</v>
      </c>
    </row>
    <row r="101" spans="1:2" x14ac:dyDescent="0.25">
      <c r="A101" s="64">
        <v>10098</v>
      </c>
      <c r="B101" t="s">
        <v>1490</v>
      </c>
    </row>
    <row r="102" spans="1:2" x14ac:dyDescent="0.25">
      <c r="A102" s="64">
        <v>10099</v>
      </c>
      <c r="B102" t="s">
        <v>1491</v>
      </c>
    </row>
    <row r="103" spans="1:2" x14ac:dyDescent="0.25">
      <c r="A103" s="66">
        <v>10100</v>
      </c>
      <c r="B103" s="66" t="s">
        <v>1492</v>
      </c>
    </row>
    <row r="104" spans="1:2" x14ac:dyDescent="0.25">
      <c r="A104" s="64">
        <v>10101</v>
      </c>
      <c r="B104" s="64" t="s">
        <v>1493</v>
      </c>
    </row>
    <row r="105" spans="1:2" x14ac:dyDescent="0.25">
      <c r="A105" s="64">
        <v>10102</v>
      </c>
      <c r="B105" s="64" t="s">
        <v>1493</v>
      </c>
    </row>
    <row r="106" spans="1:2" x14ac:dyDescent="0.25">
      <c r="A106" s="64">
        <v>10103</v>
      </c>
      <c r="B106" s="64" t="s">
        <v>1493</v>
      </c>
    </row>
    <row r="107" spans="1:2" x14ac:dyDescent="0.25">
      <c r="A107" s="64">
        <v>10104</v>
      </c>
      <c r="B107" s="64" t="s">
        <v>1493</v>
      </c>
    </row>
    <row r="108" spans="1:2" x14ac:dyDescent="0.25">
      <c r="A108" s="64">
        <v>10105</v>
      </c>
      <c r="B108" s="64" t="s">
        <v>1493</v>
      </c>
    </row>
    <row r="109" spans="1:2" x14ac:dyDescent="0.25">
      <c r="A109" s="64">
        <v>10106</v>
      </c>
      <c r="B109" s="64" t="s">
        <v>1493</v>
      </c>
    </row>
    <row r="110" spans="1:2" x14ac:dyDescent="0.25">
      <c r="A110" s="64">
        <v>10107</v>
      </c>
      <c r="B110" s="64" t="s">
        <v>1493</v>
      </c>
    </row>
    <row r="111" spans="1:2" x14ac:dyDescent="0.25">
      <c r="A111" s="64">
        <v>10108</v>
      </c>
      <c r="B111" s="64" t="s">
        <v>1493</v>
      </c>
    </row>
    <row r="112" spans="1:2" x14ac:dyDescent="0.25">
      <c r="A112" s="64">
        <v>10109</v>
      </c>
      <c r="B112" s="64" t="s">
        <v>1493</v>
      </c>
    </row>
    <row r="113" spans="1:2" x14ac:dyDescent="0.25">
      <c r="A113" s="64">
        <v>10110</v>
      </c>
      <c r="B113" s="64" t="s">
        <v>1493</v>
      </c>
    </row>
    <row r="114" spans="1:2" x14ac:dyDescent="0.25">
      <c r="A114" s="67">
        <v>20001</v>
      </c>
      <c r="B114" s="67" t="s">
        <v>1494</v>
      </c>
    </row>
    <row r="115" spans="1:2" x14ac:dyDescent="0.25">
      <c r="A115" s="67">
        <v>20002</v>
      </c>
      <c r="B115" s="67" t="s">
        <v>1495</v>
      </c>
    </row>
    <row r="116" spans="1:2" x14ac:dyDescent="0.25">
      <c r="A116" s="67">
        <v>20003</v>
      </c>
      <c r="B116" s="67" t="s">
        <v>1496</v>
      </c>
    </row>
    <row r="117" spans="1:2" x14ac:dyDescent="0.25">
      <c r="A117" s="66">
        <v>20004</v>
      </c>
      <c r="B117" s="66" t="s">
        <v>1497</v>
      </c>
    </row>
    <row r="118" spans="1:2" x14ac:dyDescent="0.25">
      <c r="A118" s="67">
        <v>20005</v>
      </c>
      <c r="B118" s="67" t="s">
        <v>1498</v>
      </c>
    </row>
    <row r="119" spans="1:2" x14ac:dyDescent="0.25">
      <c r="A119" s="66">
        <v>20006</v>
      </c>
      <c r="B119" s="66" t="s">
        <v>1499</v>
      </c>
    </row>
    <row r="120" spans="1:2" x14ac:dyDescent="0.25">
      <c r="A120" s="67">
        <v>20007</v>
      </c>
      <c r="B120" s="68" t="s">
        <v>1398</v>
      </c>
    </row>
    <row r="121" spans="1:2" x14ac:dyDescent="0.25">
      <c r="A121" s="67">
        <v>20008</v>
      </c>
      <c r="B121" s="68" t="s">
        <v>1399</v>
      </c>
    </row>
    <row r="122" spans="1:2" x14ac:dyDescent="0.25">
      <c r="A122" s="66">
        <v>20009</v>
      </c>
      <c r="B122" s="69" t="s">
        <v>1500</v>
      </c>
    </row>
    <row r="123" spans="1:2" x14ac:dyDescent="0.25">
      <c r="A123" s="67">
        <v>20010</v>
      </c>
      <c r="B123" s="68" t="s">
        <v>1501</v>
      </c>
    </row>
    <row r="124" spans="1:2" x14ac:dyDescent="0.25">
      <c r="A124" s="67">
        <v>20011</v>
      </c>
      <c r="B124" s="68" t="s">
        <v>1499</v>
      </c>
    </row>
    <row r="125" spans="1:2" x14ac:dyDescent="0.25">
      <c r="A125" s="66">
        <v>20012</v>
      </c>
      <c r="B125" s="69" t="s">
        <v>1502</v>
      </c>
    </row>
    <row r="126" spans="1:2" x14ac:dyDescent="0.25">
      <c r="A126" s="67">
        <v>20013</v>
      </c>
      <c r="B126" s="68" t="s">
        <v>1398</v>
      </c>
    </row>
    <row r="127" spans="1:2" x14ac:dyDescent="0.25">
      <c r="A127" s="67">
        <v>20014</v>
      </c>
      <c r="B127" s="68" t="s">
        <v>1399</v>
      </c>
    </row>
    <row r="128" spans="1:2" x14ac:dyDescent="0.25">
      <c r="A128" s="67">
        <v>20015</v>
      </c>
      <c r="B128" s="68" t="s">
        <v>1501</v>
      </c>
    </row>
    <row r="129" spans="1:2" x14ac:dyDescent="0.25">
      <c r="A129" s="66">
        <v>20016</v>
      </c>
      <c r="B129" s="68" t="s">
        <v>1503</v>
      </c>
    </row>
    <row r="130" spans="1:2" x14ac:dyDescent="0.25">
      <c r="A130" s="67">
        <v>20017</v>
      </c>
      <c r="B130" s="68" t="s">
        <v>1499</v>
      </c>
    </row>
    <row r="131" spans="1:2" x14ac:dyDescent="0.25">
      <c r="A131" s="67">
        <v>20018</v>
      </c>
      <c r="B131" s="68" t="s">
        <v>1398</v>
      </c>
    </row>
    <row r="132" spans="1:2" x14ac:dyDescent="0.25">
      <c r="A132" s="67">
        <v>20019</v>
      </c>
      <c r="B132" s="68" t="s">
        <v>1399</v>
      </c>
    </row>
    <row r="133" spans="1:2" x14ac:dyDescent="0.25">
      <c r="A133" s="66">
        <v>20020</v>
      </c>
      <c r="B133" s="68" t="s">
        <v>1501</v>
      </c>
    </row>
    <row r="134" spans="1:2" x14ac:dyDescent="0.25">
      <c r="A134" s="67">
        <v>20021</v>
      </c>
      <c r="B134" s="68" t="s">
        <v>1499</v>
      </c>
    </row>
    <row r="135" spans="1:2" x14ac:dyDescent="0.25">
      <c r="A135" s="67">
        <v>20022</v>
      </c>
      <c r="B135" s="68" t="s">
        <v>1398</v>
      </c>
    </row>
    <row r="136" spans="1:2" x14ac:dyDescent="0.25">
      <c r="A136" s="67">
        <v>20023</v>
      </c>
      <c r="B136" s="68" t="s">
        <v>1501</v>
      </c>
    </row>
    <row r="137" spans="1:2" x14ac:dyDescent="0.25">
      <c r="A137" s="66">
        <v>20024</v>
      </c>
      <c r="B137" s="68" t="s">
        <v>1503</v>
      </c>
    </row>
    <row r="138" spans="1:2" x14ac:dyDescent="0.25">
      <c r="A138" s="67">
        <v>20025</v>
      </c>
      <c r="B138" s="68" t="s">
        <v>1499</v>
      </c>
    </row>
    <row r="139" spans="1:2" x14ac:dyDescent="0.25">
      <c r="A139" s="67">
        <v>20026</v>
      </c>
      <c r="B139" s="68" t="s">
        <v>1399</v>
      </c>
    </row>
    <row r="140" spans="1:2" x14ac:dyDescent="0.25">
      <c r="A140" s="67">
        <v>20027</v>
      </c>
      <c r="B140" s="68" t="s">
        <v>1501</v>
      </c>
    </row>
    <row r="141" spans="1:2" x14ac:dyDescent="0.25">
      <c r="A141" s="66">
        <v>20028</v>
      </c>
      <c r="B141" s="68" t="s">
        <v>1502</v>
      </c>
    </row>
    <row r="142" spans="1:2" x14ac:dyDescent="0.25">
      <c r="A142" s="67">
        <v>20029</v>
      </c>
      <c r="B142" s="68" t="s">
        <v>1499</v>
      </c>
    </row>
    <row r="143" spans="1:2" x14ac:dyDescent="0.25">
      <c r="A143" s="67">
        <v>20030</v>
      </c>
      <c r="B143" s="68" t="s">
        <v>1398</v>
      </c>
    </row>
    <row r="144" spans="1:2" x14ac:dyDescent="0.25">
      <c r="A144" s="67">
        <v>20031</v>
      </c>
      <c r="B144" s="68" t="s">
        <v>1399</v>
      </c>
    </row>
    <row r="145" spans="1:2" x14ac:dyDescent="0.25">
      <c r="A145" s="66">
        <v>20032</v>
      </c>
      <c r="B145" s="68" t="s">
        <v>1500</v>
      </c>
    </row>
    <row r="146" spans="1:2" x14ac:dyDescent="0.25">
      <c r="A146" s="67">
        <v>20033</v>
      </c>
      <c r="B146" s="68" t="s">
        <v>1398</v>
      </c>
    </row>
    <row r="147" spans="1:2" x14ac:dyDescent="0.25">
      <c r="A147" s="67">
        <v>20034</v>
      </c>
      <c r="B147" s="68" t="s">
        <v>1399</v>
      </c>
    </row>
    <row r="148" spans="1:2" x14ac:dyDescent="0.25">
      <c r="A148" s="67">
        <v>20035</v>
      </c>
      <c r="B148" s="68" t="s">
        <v>1501</v>
      </c>
    </row>
    <row r="149" spans="1:2" x14ac:dyDescent="0.25">
      <c r="A149" s="66">
        <v>20036</v>
      </c>
      <c r="B149" s="68" t="s">
        <v>1503</v>
      </c>
    </row>
    <row r="150" spans="1:2" x14ac:dyDescent="0.25">
      <c r="A150" s="67">
        <v>20037</v>
      </c>
      <c r="B150" s="68" t="s">
        <v>1499</v>
      </c>
    </row>
    <row r="151" spans="1:2" x14ac:dyDescent="0.25">
      <c r="A151" s="67">
        <v>20038</v>
      </c>
      <c r="B151" s="68" t="s">
        <v>1398</v>
      </c>
    </row>
    <row r="152" spans="1:2" x14ac:dyDescent="0.25">
      <c r="A152" s="67">
        <v>20039</v>
      </c>
      <c r="B152" s="68" t="s">
        <v>1399</v>
      </c>
    </row>
    <row r="153" spans="1:2" x14ac:dyDescent="0.25">
      <c r="A153" s="66">
        <v>20040</v>
      </c>
      <c r="B153" s="68" t="s">
        <v>1502</v>
      </c>
    </row>
    <row r="154" spans="1:2" x14ac:dyDescent="0.25">
      <c r="A154" s="67">
        <v>20041</v>
      </c>
      <c r="B154" s="68" t="s">
        <v>1398</v>
      </c>
    </row>
    <row r="155" spans="1:2" x14ac:dyDescent="0.25">
      <c r="A155" s="67">
        <v>20042</v>
      </c>
      <c r="B155" s="68" t="s">
        <v>1399</v>
      </c>
    </row>
    <row r="156" spans="1:2" x14ac:dyDescent="0.25">
      <c r="A156" s="67">
        <v>20043</v>
      </c>
      <c r="B156" s="68" t="s">
        <v>1501</v>
      </c>
    </row>
    <row r="157" spans="1:2" x14ac:dyDescent="0.25">
      <c r="A157" s="66">
        <v>20044</v>
      </c>
      <c r="B157" s="68" t="s">
        <v>1503</v>
      </c>
    </row>
    <row r="158" spans="1:2" x14ac:dyDescent="0.25">
      <c r="A158" s="67">
        <v>20045</v>
      </c>
      <c r="B158" s="68" t="s">
        <v>1499</v>
      </c>
    </row>
    <row r="159" spans="1:2" x14ac:dyDescent="0.25">
      <c r="A159" s="67">
        <v>20046</v>
      </c>
      <c r="B159" s="68" t="s">
        <v>1398</v>
      </c>
    </row>
    <row r="160" spans="1:2" x14ac:dyDescent="0.25">
      <c r="A160" s="67">
        <v>20047</v>
      </c>
      <c r="B160" s="68" t="s">
        <v>1399</v>
      </c>
    </row>
    <row r="161" spans="1:2" x14ac:dyDescent="0.25">
      <c r="A161" s="66">
        <v>20048</v>
      </c>
      <c r="B161" s="68" t="s">
        <v>1501</v>
      </c>
    </row>
    <row r="162" spans="1:3" x14ac:dyDescent="0.25">
      <c r="A162" s="70">
        <v>300001</v>
      </c>
      <c r="B162" s="71" t="s">
        <v>1504</v>
      </c>
      <c r="C162" s="71" t="s">
        <v>1505</v>
      </c>
    </row>
    <row r="163" spans="1:3" x14ac:dyDescent="0.25">
      <c r="A163" s="70">
        <v>300002</v>
      </c>
      <c r="B163" s="71" t="s">
        <v>1506</v>
      </c>
      <c r="C163" s="71" t="s">
        <v>1507</v>
      </c>
    </row>
    <row r="164" spans="1:3" x14ac:dyDescent="0.25">
      <c r="A164" s="70">
        <v>300003</v>
      </c>
      <c r="B164" s="71" t="s">
        <v>1508</v>
      </c>
      <c r="C164" s="71" t="s">
        <v>1509</v>
      </c>
    </row>
    <row r="165" spans="1:3" x14ac:dyDescent="0.25">
      <c r="A165" s="70">
        <v>300004</v>
      </c>
      <c r="B165" s="71" t="s">
        <v>1510</v>
      </c>
      <c r="C165" s="71" t="s">
        <v>1511</v>
      </c>
    </row>
    <row r="166" spans="1:3" x14ac:dyDescent="0.25">
      <c r="A166" s="70">
        <v>300005</v>
      </c>
      <c r="B166" s="71" t="s">
        <v>1512</v>
      </c>
      <c r="C166" s="71" t="s">
        <v>1513</v>
      </c>
    </row>
    <row r="167" spans="1:3" x14ac:dyDescent="0.25">
      <c r="A167" s="70">
        <v>300006</v>
      </c>
      <c r="B167" s="71" t="s">
        <v>1514</v>
      </c>
      <c r="C167" s="71" t="s">
        <v>1515</v>
      </c>
    </row>
    <row r="168" spans="1:3" x14ac:dyDescent="0.25">
      <c r="A168" s="70">
        <v>300007</v>
      </c>
      <c r="B168" s="71" t="s">
        <v>1516</v>
      </c>
      <c r="C168" s="71" t="s">
        <v>1517</v>
      </c>
    </row>
    <row r="169" spans="1:3" x14ac:dyDescent="0.25">
      <c r="A169" s="70">
        <v>300008</v>
      </c>
      <c r="B169" s="71" t="s">
        <v>1518</v>
      </c>
      <c r="C169" s="71" t="s">
        <v>1519</v>
      </c>
    </row>
    <row r="170" spans="1:3" x14ac:dyDescent="0.25">
      <c r="A170" s="70">
        <v>300009</v>
      </c>
      <c r="B170" s="71" t="s">
        <v>1520</v>
      </c>
      <c r="C170" s="71" t="s">
        <v>1521</v>
      </c>
    </row>
    <row r="171" spans="1:3" x14ac:dyDescent="0.25">
      <c r="A171" s="70">
        <v>300010</v>
      </c>
      <c r="B171" s="71" t="s">
        <v>1522</v>
      </c>
      <c r="C171" s="71" t="s">
        <v>1523</v>
      </c>
    </row>
    <row r="172" spans="1:3" x14ac:dyDescent="0.25">
      <c r="A172" s="70">
        <v>300011</v>
      </c>
      <c r="B172" s="71" t="s">
        <v>1524</v>
      </c>
      <c r="C172" s="71" t="s">
        <v>1525</v>
      </c>
    </row>
    <row r="173" spans="1:3" x14ac:dyDescent="0.25">
      <c r="A173" s="70">
        <v>300012</v>
      </c>
      <c r="B173" s="71" t="s">
        <v>1526</v>
      </c>
      <c r="C173" s="71" t="s">
        <v>1527</v>
      </c>
    </row>
    <row r="174" spans="1:3" x14ac:dyDescent="0.25">
      <c r="A174" s="72">
        <v>310001</v>
      </c>
      <c r="B174" s="73" t="s">
        <v>1528</v>
      </c>
      <c r="C174" s="73" t="s">
        <v>1529</v>
      </c>
    </row>
    <row r="175" spans="1:3" x14ac:dyDescent="0.25">
      <c r="A175" s="72">
        <v>310002</v>
      </c>
      <c r="B175" s="73" t="s">
        <v>1530</v>
      </c>
      <c r="C175" s="73" t="s">
        <v>1531</v>
      </c>
    </row>
    <row r="176" spans="1:3" x14ac:dyDescent="0.25">
      <c r="A176" s="72">
        <v>310003</v>
      </c>
      <c r="B176" s="73" t="s">
        <v>1532</v>
      </c>
      <c r="C176" s="73" t="s">
        <v>1533</v>
      </c>
    </row>
    <row r="177" spans="1:3" x14ac:dyDescent="0.25">
      <c r="A177" s="72">
        <v>310004</v>
      </c>
      <c r="B177" s="73" t="s">
        <v>1534</v>
      </c>
      <c r="C177" s="73" t="s">
        <v>1535</v>
      </c>
    </row>
    <row r="178" spans="1:3" x14ac:dyDescent="0.25">
      <c r="A178" s="72">
        <v>310005</v>
      </c>
      <c r="B178" s="73" t="s">
        <v>1536</v>
      </c>
      <c r="C178" s="73" t="s">
        <v>1537</v>
      </c>
    </row>
    <row r="179" spans="1:3" x14ac:dyDescent="0.25">
      <c r="A179" s="72">
        <v>310006</v>
      </c>
      <c r="B179" s="73" t="s">
        <v>1538</v>
      </c>
      <c r="C179" s="73" t="s">
        <v>1539</v>
      </c>
    </row>
    <row r="180" spans="1:3" x14ac:dyDescent="0.25">
      <c r="A180" s="72">
        <v>310007</v>
      </c>
      <c r="B180" s="73" t="s">
        <v>1540</v>
      </c>
      <c r="C180" s="73" t="s">
        <v>1541</v>
      </c>
    </row>
    <row r="181" spans="1:3" x14ac:dyDescent="0.25">
      <c r="A181" s="72">
        <v>310008</v>
      </c>
      <c r="B181" s="73" t="s">
        <v>1542</v>
      </c>
      <c r="C181" s="73" t="s">
        <v>1543</v>
      </c>
    </row>
    <row r="182" spans="1:3" x14ac:dyDescent="0.25">
      <c r="A182" s="72">
        <v>310009</v>
      </c>
      <c r="B182" s="73" t="s">
        <v>1544</v>
      </c>
      <c r="C182" s="73" t="s">
        <v>1545</v>
      </c>
    </row>
    <row r="183" spans="1:3" x14ac:dyDescent="0.25">
      <c r="A183" s="72">
        <v>310010</v>
      </c>
      <c r="B183" s="73" t="s">
        <v>1546</v>
      </c>
      <c r="C183" s="73" t="s">
        <v>1547</v>
      </c>
    </row>
    <row r="184" spans="1:3" x14ac:dyDescent="0.25">
      <c r="A184" s="72">
        <v>310011</v>
      </c>
      <c r="B184" s="73" t="s">
        <v>1548</v>
      </c>
      <c r="C184" s="73" t="s">
        <v>1549</v>
      </c>
    </row>
    <row r="185" spans="1:3" x14ac:dyDescent="0.25">
      <c r="A185" s="72">
        <v>310012</v>
      </c>
      <c r="B185" s="73" t="s">
        <v>1550</v>
      </c>
      <c r="C185" s="73" t="s">
        <v>1551</v>
      </c>
    </row>
    <row r="186" spans="1:3" x14ac:dyDescent="0.25">
      <c r="A186" s="72">
        <v>310013</v>
      </c>
      <c r="B186" s="73" t="s">
        <v>1552</v>
      </c>
      <c r="C186" s="73" t="s">
        <v>1553</v>
      </c>
    </row>
    <row r="187" spans="1:3" x14ac:dyDescent="0.25">
      <c r="A187" s="72">
        <v>310014</v>
      </c>
      <c r="B187" s="73" t="s">
        <v>1554</v>
      </c>
      <c r="C187" s="73" t="s">
        <v>1555</v>
      </c>
    </row>
    <row r="188" spans="1:3" x14ac:dyDescent="0.25">
      <c r="A188" s="72">
        <v>310015</v>
      </c>
      <c r="B188" s="73" t="s">
        <v>1556</v>
      </c>
      <c r="C188" s="73" t="s">
        <v>1557</v>
      </c>
    </row>
    <row r="189" spans="1:3" x14ac:dyDescent="0.25">
      <c r="A189" s="72">
        <v>310016</v>
      </c>
      <c r="B189" s="73" t="s">
        <v>1558</v>
      </c>
      <c r="C189" s="73" t="s">
        <v>1559</v>
      </c>
    </row>
    <row r="190" spans="1:3" x14ac:dyDescent="0.25">
      <c r="A190" s="72">
        <v>310017</v>
      </c>
      <c r="B190" s="73" t="s">
        <v>1560</v>
      </c>
      <c r="C190" s="73" t="s">
        <v>1561</v>
      </c>
    </row>
    <row r="191" spans="1:3" x14ac:dyDescent="0.25">
      <c r="A191" s="72">
        <v>310018</v>
      </c>
      <c r="B191" s="73" t="s">
        <v>1562</v>
      </c>
      <c r="C191" s="73" t="s">
        <v>1563</v>
      </c>
    </row>
    <row r="192" spans="1:3" x14ac:dyDescent="0.25">
      <c r="A192" s="72">
        <v>310019</v>
      </c>
      <c r="B192" s="73" t="s">
        <v>1564</v>
      </c>
      <c r="C192" s="73" t="s">
        <v>1565</v>
      </c>
    </row>
    <row r="193" spans="1:3" x14ac:dyDescent="0.25">
      <c r="A193" s="72">
        <v>310020</v>
      </c>
      <c r="B193" s="73" t="s">
        <v>1566</v>
      </c>
      <c r="C193" s="73" t="s">
        <v>1567</v>
      </c>
    </row>
    <row r="194" spans="1:3" x14ac:dyDescent="0.25">
      <c r="A194" s="72">
        <v>310021</v>
      </c>
      <c r="B194" s="73" t="s">
        <v>1568</v>
      </c>
      <c r="C194" s="73" t="s">
        <v>1569</v>
      </c>
    </row>
    <row r="195" spans="1:3" x14ac:dyDescent="0.25">
      <c r="A195" s="72">
        <v>310022</v>
      </c>
      <c r="B195" s="73" t="s">
        <v>1570</v>
      </c>
      <c r="C195" s="73" t="s">
        <v>1571</v>
      </c>
    </row>
    <row r="196" spans="1:3" x14ac:dyDescent="0.25">
      <c r="A196" s="72">
        <v>310023</v>
      </c>
      <c r="B196" s="73" t="s">
        <v>1572</v>
      </c>
      <c r="C196" s="73" t="s">
        <v>1573</v>
      </c>
    </row>
    <row r="197" spans="1:3" x14ac:dyDescent="0.25">
      <c r="A197" s="72">
        <v>310024</v>
      </c>
      <c r="B197" s="73" t="s">
        <v>1574</v>
      </c>
      <c r="C197" s="73" t="s">
        <v>1575</v>
      </c>
    </row>
    <row r="198" spans="1:3" x14ac:dyDescent="0.25">
      <c r="A198" s="72">
        <v>310025</v>
      </c>
      <c r="B198" s="73" t="s">
        <v>1576</v>
      </c>
      <c r="C198" s="73" t="s">
        <v>1577</v>
      </c>
    </row>
    <row r="199" spans="1:3" x14ac:dyDescent="0.25">
      <c r="A199" s="72">
        <v>310026</v>
      </c>
      <c r="B199" s="73" t="s">
        <v>1578</v>
      </c>
      <c r="C199" s="73" t="s">
        <v>1579</v>
      </c>
    </row>
    <row r="200" spans="1:3" x14ac:dyDescent="0.25">
      <c r="A200" s="72">
        <v>310027</v>
      </c>
      <c r="B200" s="73" t="s">
        <v>1580</v>
      </c>
      <c r="C200" s="73" t="s">
        <v>1581</v>
      </c>
    </row>
    <row r="201" spans="1:3" x14ac:dyDescent="0.25">
      <c r="A201" s="72">
        <v>310028</v>
      </c>
      <c r="B201" s="73" t="s">
        <v>1582</v>
      </c>
      <c r="C201" s="73" t="s">
        <v>1583</v>
      </c>
    </row>
    <row r="202" spans="1:3" x14ac:dyDescent="0.25">
      <c r="A202" s="72">
        <v>310029</v>
      </c>
      <c r="B202" s="73" t="s">
        <v>1584</v>
      </c>
      <c r="C202" s="73" t="s">
        <v>1585</v>
      </c>
    </row>
    <row r="203" spans="1:3" x14ac:dyDescent="0.25">
      <c r="A203" s="72">
        <v>310030</v>
      </c>
      <c r="B203" s="73" t="s">
        <v>1586</v>
      </c>
      <c r="C203" s="73" t="s">
        <v>1587</v>
      </c>
    </row>
    <row r="204" spans="1:3" x14ac:dyDescent="0.25">
      <c r="A204" s="72">
        <v>310031</v>
      </c>
      <c r="B204" s="73" t="s">
        <v>1588</v>
      </c>
      <c r="C204" s="73" t="s">
        <v>1589</v>
      </c>
    </row>
    <row r="205" spans="1:3" x14ac:dyDescent="0.25">
      <c r="A205" s="72">
        <v>310032</v>
      </c>
      <c r="B205" s="73" t="s">
        <v>1590</v>
      </c>
      <c r="C205" s="73" t="s">
        <v>1591</v>
      </c>
    </row>
    <row r="206" spans="1:3" x14ac:dyDescent="0.25">
      <c r="A206" s="72">
        <v>310033</v>
      </c>
      <c r="B206" s="73" t="s">
        <v>1592</v>
      </c>
      <c r="C206" s="73" t="s">
        <v>1593</v>
      </c>
    </row>
    <row r="207" spans="1:3" x14ac:dyDescent="0.25">
      <c r="A207" s="72">
        <v>310034</v>
      </c>
      <c r="B207" s="73" t="s">
        <v>1594</v>
      </c>
      <c r="C207" s="73" t="s">
        <v>1595</v>
      </c>
    </row>
    <row r="208" spans="1:3" x14ac:dyDescent="0.25">
      <c r="A208" s="72">
        <v>310035</v>
      </c>
      <c r="B208" s="73" t="s">
        <v>1596</v>
      </c>
      <c r="C208" s="73" t="s">
        <v>1597</v>
      </c>
    </row>
    <row r="209" spans="1:3" x14ac:dyDescent="0.25">
      <c r="A209" s="72">
        <v>310036</v>
      </c>
      <c r="B209" s="73" t="s">
        <v>1598</v>
      </c>
      <c r="C209" s="73" t="s">
        <v>1599</v>
      </c>
    </row>
    <row r="210" spans="1:3" x14ac:dyDescent="0.25">
      <c r="A210" s="74">
        <v>320001</v>
      </c>
      <c r="B210" s="75" t="s">
        <v>1600</v>
      </c>
      <c r="C210" s="75" t="s">
        <v>1601</v>
      </c>
    </row>
    <row r="211" spans="1:3" x14ac:dyDescent="0.25">
      <c r="A211" s="74">
        <v>320002</v>
      </c>
      <c r="B211" s="75" t="s">
        <v>1602</v>
      </c>
      <c r="C211" s="75" t="s">
        <v>1603</v>
      </c>
    </row>
    <row r="212" spans="1:3" x14ac:dyDescent="0.25">
      <c r="A212" s="74">
        <v>320003</v>
      </c>
      <c r="B212" s="75" t="s">
        <v>1604</v>
      </c>
      <c r="C212" s="75" t="s">
        <v>1605</v>
      </c>
    </row>
    <row r="213" spans="1:3" x14ac:dyDescent="0.25">
      <c r="A213" s="74">
        <v>320004</v>
      </c>
      <c r="B213" s="75" t="s">
        <v>1606</v>
      </c>
      <c r="C213" s="75" t="s">
        <v>1607</v>
      </c>
    </row>
    <row r="214" spans="1:3" x14ac:dyDescent="0.25">
      <c r="A214" s="74">
        <v>320005</v>
      </c>
      <c r="B214" s="75" t="s">
        <v>1608</v>
      </c>
      <c r="C214" s="75" t="s">
        <v>1609</v>
      </c>
    </row>
    <row r="215" spans="1:3" x14ac:dyDescent="0.25">
      <c r="A215" s="74">
        <v>320006</v>
      </c>
      <c r="B215" s="75" t="s">
        <v>1610</v>
      </c>
      <c r="C215" s="75" t="s">
        <v>1611</v>
      </c>
    </row>
    <row r="216" spans="1:3" x14ac:dyDescent="0.25">
      <c r="A216" s="74">
        <v>320007</v>
      </c>
      <c r="B216" s="75" t="s">
        <v>1612</v>
      </c>
      <c r="C216" s="75" t="s">
        <v>1613</v>
      </c>
    </row>
    <row r="217" spans="1:3" x14ac:dyDescent="0.25">
      <c r="A217" s="74">
        <v>320008</v>
      </c>
      <c r="B217" s="75" t="s">
        <v>1614</v>
      </c>
      <c r="C217" s="75" t="s">
        <v>1615</v>
      </c>
    </row>
    <row r="218" spans="1:3" x14ac:dyDescent="0.25">
      <c r="A218" s="74">
        <v>320009</v>
      </c>
      <c r="B218" s="75" t="s">
        <v>1616</v>
      </c>
      <c r="C218" s="75" t="s">
        <v>1617</v>
      </c>
    </row>
    <row r="219" spans="1:3" x14ac:dyDescent="0.25">
      <c r="A219" s="74">
        <v>320010</v>
      </c>
      <c r="B219" s="75" t="s">
        <v>1618</v>
      </c>
      <c r="C219" s="75" t="s">
        <v>1619</v>
      </c>
    </row>
    <row r="220" spans="1:3" x14ac:dyDescent="0.25">
      <c r="A220" s="74">
        <v>320011</v>
      </c>
      <c r="B220" s="75" t="s">
        <v>1620</v>
      </c>
      <c r="C220" s="75" t="s">
        <v>1621</v>
      </c>
    </row>
    <row r="221" spans="1:3" x14ac:dyDescent="0.25">
      <c r="A221" s="74">
        <v>320012</v>
      </c>
      <c r="B221" s="75" t="s">
        <v>1622</v>
      </c>
      <c r="C221" s="75" t="s">
        <v>1623</v>
      </c>
    </row>
    <row r="222" spans="1:3" x14ac:dyDescent="0.25">
      <c r="A222" s="74">
        <v>320013</v>
      </c>
      <c r="B222" s="75" t="s">
        <v>1624</v>
      </c>
      <c r="C222" s="75" t="s">
        <v>1625</v>
      </c>
    </row>
    <row r="223" spans="1:3" x14ac:dyDescent="0.25">
      <c r="A223" s="74">
        <v>320014</v>
      </c>
      <c r="B223" s="75" t="s">
        <v>1626</v>
      </c>
      <c r="C223" s="75" t="s">
        <v>1627</v>
      </c>
    </row>
    <row r="224" spans="1:3" x14ac:dyDescent="0.25">
      <c r="A224" s="74">
        <v>320015</v>
      </c>
      <c r="B224" s="75" t="s">
        <v>1628</v>
      </c>
      <c r="C224" s="75" t="s">
        <v>1629</v>
      </c>
    </row>
    <row r="225" spans="1:3" x14ac:dyDescent="0.25">
      <c r="A225" s="74">
        <v>320016</v>
      </c>
      <c r="B225" s="75" t="s">
        <v>1630</v>
      </c>
      <c r="C225" s="75" t="s">
        <v>1631</v>
      </c>
    </row>
    <row r="226" spans="1:3" x14ac:dyDescent="0.25">
      <c r="A226" s="74">
        <v>320017</v>
      </c>
      <c r="B226" s="75" t="s">
        <v>1632</v>
      </c>
      <c r="C226" s="75" t="s">
        <v>1633</v>
      </c>
    </row>
    <row r="227" spans="1:3" x14ac:dyDescent="0.25">
      <c r="A227" s="74">
        <v>320018</v>
      </c>
      <c r="B227" s="75" t="s">
        <v>1634</v>
      </c>
      <c r="C227" s="75" t="s">
        <v>1635</v>
      </c>
    </row>
    <row r="228" spans="1:3" x14ac:dyDescent="0.25">
      <c r="A228" s="74">
        <v>320019</v>
      </c>
      <c r="B228" s="75" t="s">
        <v>1636</v>
      </c>
      <c r="C228" s="75" t="s">
        <v>1637</v>
      </c>
    </row>
    <row r="229" spans="1:3" x14ac:dyDescent="0.25">
      <c r="A229" s="74">
        <v>320020</v>
      </c>
      <c r="B229" s="75" t="s">
        <v>1638</v>
      </c>
      <c r="C229" s="75" t="s">
        <v>1639</v>
      </c>
    </row>
    <row r="230" spans="1:3" x14ac:dyDescent="0.25">
      <c r="A230" s="74">
        <v>320021</v>
      </c>
      <c r="B230" s="75" t="s">
        <v>1640</v>
      </c>
      <c r="C230" s="75" t="s">
        <v>1641</v>
      </c>
    </row>
    <row r="231" spans="1:3" x14ac:dyDescent="0.25">
      <c r="A231" s="74">
        <v>320022</v>
      </c>
      <c r="B231" s="75" t="s">
        <v>1642</v>
      </c>
      <c r="C231" s="75" t="s">
        <v>1643</v>
      </c>
    </row>
    <row r="232" spans="1:3" x14ac:dyDescent="0.25">
      <c r="A232" s="74">
        <v>320023</v>
      </c>
      <c r="B232" s="75" t="s">
        <v>1644</v>
      </c>
      <c r="C232" s="75" t="s">
        <v>1645</v>
      </c>
    </row>
    <row r="233" spans="1:3" x14ac:dyDescent="0.25">
      <c r="A233" s="74">
        <v>320024</v>
      </c>
      <c r="B233" s="75" t="s">
        <v>1646</v>
      </c>
      <c r="C233" s="75" t="s">
        <v>1647</v>
      </c>
    </row>
    <row r="234" spans="1:3" x14ac:dyDescent="0.25">
      <c r="A234" s="74">
        <v>320025</v>
      </c>
      <c r="B234" s="75" t="s">
        <v>1648</v>
      </c>
      <c r="C234" s="75" t="s">
        <v>1649</v>
      </c>
    </row>
    <row r="235" spans="1:3" x14ac:dyDescent="0.25">
      <c r="A235" s="74">
        <v>320026</v>
      </c>
      <c r="B235" s="75" t="s">
        <v>1650</v>
      </c>
      <c r="C235" s="75" t="s">
        <v>1651</v>
      </c>
    </row>
    <row r="236" spans="1:3" x14ac:dyDescent="0.25">
      <c r="A236" s="74">
        <v>320027</v>
      </c>
      <c r="B236" s="75" t="s">
        <v>1652</v>
      </c>
      <c r="C236" s="75" t="s">
        <v>1653</v>
      </c>
    </row>
    <row r="237" spans="1:3" x14ac:dyDescent="0.25">
      <c r="A237" s="74">
        <v>320028</v>
      </c>
      <c r="B237" s="75" t="s">
        <v>1654</v>
      </c>
      <c r="C237" s="75" t="s">
        <v>1655</v>
      </c>
    </row>
    <row r="238" spans="1:3" x14ac:dyDescent="0.25">
      <c r="A238" s="74">
        <v>320029</v>
      </c>
      <c r="B238" s="75" t="s">
        <v>1656</v>
      </c>
      <c r="C238" s="75" t="s">
        <v>1657</v>
      </c>
    </row>
    <row r="239" spans="1:3" x14ac:dyDescent="0.25">
      <c r="A239" s="74">
        <v>320030</v>
      </c>
      <c r="B239" s="75" t="s">
        <v>1658</v>
      </c>
      <c r="C239" s="75" t="s">
        <v>1659</v>
      </c>
    </row>
    <row r="240" spans="1:3" x14ac:dyDescent="0.25">
      <c r="A240" s="74">
        <v>320031</v>
      </c>
      <c r="B240" s="75" t="s">
        <v>1660</v>
      </c>
      <c r="C240" s="75" t="s">
        <v>1661</v>
      </c>
    </row>
    <row r="241" spans="1:3" x14ac:dyDescent="0.25">
      <c r="A241" s="74">
        <v>320032</v>
      </c>
      <c r="B241" s="75" t="s">
        <v>1662</v>
      </c>
      <c r="C241" s="75" t="s">
        <v>1663</v>
      </c>
    </row>
    <row r="242" spans="1:3" x14ac:dyDescent="0.25">
      <c r="A242" s="74">
        <v>320033</v>
      </c>
      <c r="B242" s="75" t="s">
        <v>1664</v>
      </c>
      <c r="C242" s="75" t="s">
        <v>1665</v>
      </c>
    </row>
    <row r="243" spans="1:3" x14ac:dyDescent="0.25">
      <c r="A243" s="74">
        <v>320034</v>
      </c>
      <c r="B243" s="75" t="s">
        <v>1666</v>
      </c>
      <c r="C243" s="75" t="s">
        <v>1667</v>
      </c>
    </row>
    <row r="244" spans="1:3" x14ac:dyDescent="0.25">
      <c r="A244" s="74">
        <v>320035</v>
      </c>
      <c r="B244" s="75" t="s">
        <v>1668</v>
      </c>
      <c r="C244" s="75" t="s">
        <v>1669</v>
      </c>
    </row>
    <row r="245" spans="1:3" x14ac:dyDescent="0.25">
      <c r="A245" s="74">
        <v>320036</v>
      </c>
      <c r="B245" s="75" t="s">
        <v>1670</v>
      </c>
      <c r="C245" s="75" t="s">
        <v>1671</v>
      </c>
    </row>
    <row r="246" spans="1:3" x14ac:dyDescent="0.25">
      <c r="A246" s="74">
        <v>320037</v>
      </c>
      <c r="B246" s="75" t="s">
        <v>1672</v>
      </c>
      <c r="C246" s="75" t="s">
        <v>1673</v>
      </c>
    </row>
    <row r="247" spans="1:3" x14ac:dyDescent="0.25">
      <c r="A247" s="74">
        <v>320038</v>
      </c>
      <c r="B247" s="75" t="s">
        <v>1674</v>
      </c>
      <c r="C247" s="75" t="s">
        <v>1675</v>
      </c>
    </row>
    <row r="248" spans="1:3" x14ac:dyDescent="0.25">
      <c r="A248" s="74">
        <v>320039</v>
      </c>
      <c r="B248" s="75" t="s">
        <v>1676</v>
      </c>
      <c r="C248" s="75" t="s">
        <v>1677</v>
      </c>
    </row>
    <row r="249" spans="1:3" x14ac:dyDescent="0.25">
      <c r="A249" s="74">
        <v>320040</v>
      </c>
      <c r="B249" s="75" t="s">
        <v>1678</v>
      </c>
      <c r="C249" s="75" t="s">
        <v>1679</v>
      </c>
    </row>
    <row r="250" spans="1:3" x14ac:dyDescent="0.25">
      <c r="A250" s="74">
        <v>320041</v>
      </c>
      <c r="B250" s="75" t="s">
        <v>1680</v>
      </c>
      <c r="C250" s="75" t="s">
        <v>1681</v>
      </c>
    </row>
    <row r="251" spans="1:3" x14ac:dyDescent="0.25">
      <c r="A251" s="74">
        <v>320042</v>
      </c>
      <c r="B251" s="75" t="s">
        <v>1682</v>
      </c>
      <c r="C251" s="75" t="s">
        <v>1683</v>
      </c>
    </row>
    <row r="252" spans="1:3" x14ac:dyDescent="0.25">
      <c r="A252" s="74">
        <v>320043</v>
      </c>
      <c r="B252" s="75" t="s">
        <v>1684</v>
      </c>
      <c r="C252" s="75" t="s">
        <v>1685</v>
      </c>
    </row>
    <row r="253" spans="1:3" x14ac:dyDescent="0.25">
      <c r="A253" s="74">
        <v>320044</v>
      </c>
      <c r="B253" s="75" t="s">
        <v>1686</v>
      </c>
      <c r="C253" s="75" t="s">
        <v>1687</v>
      </c>
    </row>
    <row r="254" spans="1:3" x14ac:dyDescent="0.25">
      <c r="A254" s="74">
        <v>320045</v>
      </c>
      <c r="B254" s="75" t="s">
        <v>1688</v>
      </c>
      <c r="C254" s="75" t="s">
        <v>1689</v>
      </c>
    </row>
    <row r="255" spans="1:4" x14ac:dyDescent="0.25">
      <c r="A255" s="70">
        <v>400001</v>
      </c>
      <c r="B255" s="70" t="s">
        <v>1690</v>
      </c>
      <c r="C255" s="70" t="s">
        <v>1505</v>
      </c>
      <c r="D255" t="str">
        <f>_xlfn.XLOOKUP(B255,B:B,C:C,999,0,1)</f>
        <v>刘备,1|夏侯惇,4</v>
      </c>
    </row>
    <row r="256" spans="1:4" x14ac:dyDescent="0.25">
      <c r="A256" s="70">
        <v>400002</v>
      </c>
      <c r="B256" s="70" t="s">
        <v>1691</v>
      </c>
      <c r="C256" s="70" t="s">
        <v>1507</v>
      </c>
      <c r="D256" t="str">
        <f t="shared" ref="D256:D319" si="0">_xlfn.XLOOKUP(B256,B:B,C:C,999,0,1)</f>
        <v>刘备,1|孙权,4</v>
      </c>
    </row>
    <row r="257" spans="1:4" x14ac:dyDescent="0.25">
      <c r="A257" s="70">
        <v>400003</v>
      </c>
      <c r="B257" s="70" t="s">
        <v>1692</v>
      </c>
      <c r="C257" s="70" t="s">
        <v>1509</v>
      </c>
      <c r="D257" t="str">
        <f t="shared" si="0"/>
        <v>曹操,1|夏侯惇,4</v>
      </c>
    </row>
    <row r="258" spans="1:4" x14ac:dyDescent="0.25">
      <c r="A258" s="70">
        <v>400004</v>
      </c>
      <c r="B258" s="70" t="s">
        <v>1693</v>
      </c>
      <c r="C258" s="70" t="s">
        <v>1511</v>
      </c>
      <c r="D258" t="str">
        <f t="shared" si="0"/>
        <v>曹操,1|孙权,4</v>
      </c>
    </row>
    <row r="259" spans="1:4" x14ac:dyDescent="0.25">
      <c r="A259" s="70">
        <v>400005</v>
      </c>
      <c r="B259" s="70" t="s">
        <v>1694</v>
      </c>
      <c r="C259" s="70" t="s">
        <v>1513</v>
      </c>
      <c r="D259" t="str">
        <f t="shared" si="0"/>
        <v>关羽,1|夏侯惇,4</v>
      </c>
    </row>
    <row r="260" spans="1:4" x14ac:dyDescent="0.25">
      <c r="A260" s="70">
        <v>400006</v>
      </c>
      <c r="B260" s="70" t="s">
        <v>1695</v>
      </c>
      <c r="C260" s="70" t="s">
        <v>1515</v>
      </c>
      <c r="D260" t="str">
        <f t="shared" si="0"/>
        <v>关羽,1|孙权,4</v>
      </c>
    </row>
    <row r="261" spans="1:4" x14ac:dyDescent="0.25">
      <c r="A261" s="70">
        <v>400007</v>
      </c>
      <c r="B261" s="70" t="s">
        <v>1696</v>
      </c>
      <c r="C261" s="70" t="s">
        <v>1517</v>
      </c>
      <c r="D261" t="str">
        <f t="shared" si="0"/>
        <v>吕布,1|夏侯惇,4</v>
      </c>
    </row>
    <row r="262" spans="1:4" x14ac:dyDescent="0.25">
      <c r="A262" s="70">
        <v>400008</v>
      </c>
      <c r="B262" s="70" t="s">
        <v>1697</v>
      </c>
      <c r="C262" s="70" t="s">
        <v>1519</v>
      </c>
      <c r="D262" t="str">
        <f t="shared" si="0"/>
        <v>吕布,1|孙权,4</v>
      </c>
    </row>
    <row r="263" spans="1:4" x14ac:dyDescent="0.25">
      <c r="A263" s="70">
        <v>400009</v>
      </c>
      <c r="B263" s="70" t="s">
        <v>1698</v>
      </c>
      <c r="C263" s="70" t="s">
        <v>1521</v>
      </c>
      <c r="D263" t="str">
        <f t="shared" si="0"/>
        <v>诸葛亮,1|夏侯惇,4</v>
      </c>
    </row>
    <row r="264" spans="1:4" x14ac:dyDescent="0.25">
      <c r="A264" s="70">
        <v>400010</v>
      </c>
      <c r="B264" s="70" t="s">
        <v>1699</v>
      </c>
      <c r="C264" s="70" t="s">
        <v>1523</v>
      </c>
      <c r="D264" t="str">
        <f t="shared" si="0"/>
        <v>诸葛亮,1|孙权,4</v>
      </c>
    </row>
    <row r="265" spans="1:4" x14ac:dyDescent="0.25">
      <c r="A265" s="70">
        <v>400011</v>
      </c>
      <c r="B265" s="70" t="s">
        <v>1700</v>
      </c>
      <c r="C265" s="70" t="s">
        <v>1525</v>
      </c>
      <c r="D265" t="str">
        <f t="shared" si="0"/>
        <v>周瑜,1|夏侯惇,4</v>
      </c>
    </row>
    <row r="266" spans="1:4" x14ac:dyDescent="0.25">
      <c r="A266" s="70">
        <v>400012</v>
      </c>
      <c r="B266" s="70" t="s">
        <v>1701</v>
      </c>
      <c r="C266" s="70" t="s">
        <v>1527</v>
      </c>
      <c r="D266" t="str">
        <f t="shared" si="0"/>
        <v>周瑜,1|孙权,4</v>
      </c>
    </row>
    <row r="267" spans="1:4" x14ac:dyDescent="0.25">
      <c r="A267" s="76">
        <v>400013</v>
      </c>
      <c r="B267" s="76" t="s">
        <v>1702</v>
      </c>
      <c r="C267" s="76" t="s">
        <v>1529</v>
      </c>
      <c r="D267" t="str">
        <f t="shared" si="0"/>
        <v>刘备,1|夏侯惇,2|糜夫人,4</v>
      </c>
    </row>
    <row r="268" spans="1:4" x14ac:dyDescent="0.25">
      <c r="A268" s="76">
        <v>400014</v>
      </c>
      <c r="B268" s="76" t="s">
        <v>1703</v>
      </c>
      <c r="C268" s="76" t="s">
        <v>1539</v>
      </c>
      <c r="D268" t="str">
        <f t="shared" si="0"/>
        <v>刘备,1|孙权,2|貂蝉,4</v>
      </c>
    </row>
    <row r="269" spans="1:4" x14ac:dyDescent="0.25">
      <c r="A269" s="76">
        <v>400015</v>
      </c>
      <c r="B269" s="76" t="s">
        <v>1704</v>
      </c>
      <c r="C269" s="76" t="s">
        <v>1545</v>
      </c>
      <c r="D269" t="str">
        <f t="shared" si="0"/>
        <v>曹操,1|夏侯惇,2|貂蝉,4</v>
      </c>
    </row>
    <row r="270" spans="1:4" x14ac:dyDescent="0.25">
      <c r="A270" s="76">
        <v>400016</v>
      </c>
      <c r="B270" s="76" t="s">
        <v>1705</v>
      </c>
      <c r="C270" s="76" t="s">
        <v>1547</v>
      </c>
      <c r="D270" t="str">
        <f t="shared" si="0"/>
        <v>曹操,1|孙权,2|糜夫人,4</v>
      </c>
    </row>
    <row r="271" spans="1:4" x14ac:dyDescent="0.25">
      <c r="A271" s="76">
        <v>400017</v>
      </c>
      <c r="B271" s="76" t="s">
        <v>1706</v>
      </c>
      <c r="C271" s="76" t="s">
        <v>1557</v>
      </c>
      <c r="D271" t="str">
        <f t="shared" si="0"/>
        <v>关羽,1|夏侯惇,2|貂蝉,4</v>
      </c>
    </row>
    <row r="272" spans="1:4" x14ac:dyDescent="0.25">
      <c r="A272" s="76">
        <v>400018</v>
      </c>
      <c r="B272" s="76" t="s">
        <v>1707</v>
      </c>
      <c r="C272" s="76" t="s">
        <v>1559</v>
      </c>
      <c r="D272" t="str">
        <f t="shared" si="0"/>
        <v>关羽,1|孙权,2|糜夫人,4</v>
      </c>
    </row>
    <row r="273" spans="1:4" x14ac:dyDescent="0.25">
      <c r="A273" s="76">
        <v>400019</v>
      </c>
      <c r="B273" s="76" t="s">
        <v>1708</v>
      </c>
      <c r="C273" s="76" t="s">
        <v>1569</v>
      </c>
      <c r="D273" t="str">
        <f t="shared" si="0"/>
        <v>吕布,1|夏侯惇,2|貂蝉,4</v>
      </c>
    </row>
    <row r="274" spans="1:4" x14ac:dyDescent="0.25">
      <c r="A274" s="76">
        <v>400020</v>
      </c>
      <c r="B274" s="76" t="s">
        <v>1709</v>
      </c>
      <c r="C274" s="76" t="s">
        <v>1571</v>
      </c>
      <c r="D274" t="str">
        <f t="shared" si="0"/>
        <v>吕布,1|孙权,2|糜夫人,4</v>
      </c>
    </row>
    <row r="275" spans="1:4" x14ac:dyDescent="0.25">
      <c r="A275" s="76">
        <v>400021</v>
      </c>
      <c r="B275" s="76" t="s">
        <v>1710</v>
      </c>
      <c r="C275" s="76" t="s">
        <v>1581</v>
      </c>
      <c r="D275" t="str">
        <f t="shared" si="0"/>
        <v>诸葛亮,1|夏侯惇,2|貂蝉,4</v>
      </c>
    </row>
    <row r="276" spans="1:4" x14ac:dyDescent="0.25">
      <c r="A276" s="76">
        <v>400022</v>
      </c>
      <c r="B276" s="76" t="s">
        <v>1711</v>
      </c>
      <c r="C276" s="76" t="s">
        <v>1583</v>
      </c>
      <c r="D276" t="str">
        <f t="shared" si="0"/>
        <v>诸葛亮,1|孙权,2|糜夫人,4</v>
      </c>
    </row>
    <row r="277" spans="1:4" x14ac:dyDescent="0.25">
      <c r="A277" s="76">
        <v>400023</v>
      </c>
      <c r="B277" s="76" t="s">
        <v>1712</v>
      </c>
      <c r="C277" s="76" t="s">
        <v>1593</v>
      </c>
      <c r="D277" t="str">
        <f t="shared" si="0"/>
        <v>周瑜,1|夏侯惇,2|貂蝉,4</v>
      </c>
    </row>
    <row r="278" spans="1:4" x14ac:dyDescent="0.25">
      <c r="A278" s="76">
        <v>400024</v>
      </c>
      <c r="B278" s="76" t="s">
        <v>1713</v>
      </c>
      <c r="C278" s="76" t="s">
        <v>1595</v>
      </c>
      <c r="D278" t="str">
        <f t="shared" si="0"/>
        <v>周瑜,1|孙权,2|糜夫人,4</v>
      </c>
    </row>
    <row r="279" spans="1:4" x14ac:dyDescent="0.25">
      <c r="A279" s="70">
        <v>400025</v>
      </c>
      <c r="B279" s="70" t="s">
        <v>1714</v>
      </c>
      <c r="C279" s="70" t="s">
        <v>1715</v>
      </c>
      <c r="D279" t="str">
        <f t="shared" si="0"/>
        <v>刘备|曹操|夏侯惇|孙权|貂蝉</v>
      </c>
    </row>
    <row r="280" spans="1:4" x14ac:dyDescent="0.25">
      <c r="A280" s="70">
        <v>400026</v>
      </c>
      <c r="B280" s="70" t="s">
        <v>1716</v>
      </c>
      <c r="C280" s="70" t="s">
        <v>1717</v>
      </c>
      <c r="D280" t="str">
        <f t="shared" si="0"/>
        <v>刘备|吕布|夏侯惇|孙权|貂蝉</v>
      </c>
    </row>
    <row r="281" spans="1:4" x14ac:dyDescent="0.25">
      <c r="A281" s="70">
        <v>400027</v>
      </c>
      <c r="B281" s="70" t="s">
        <v>1718</v>
      </c>
      <c r="C281" s="70" t="s">
        <v>1719</v>
      </c>
      <c r="D281" t="str">
        <f t="shared" si="0"/>
        <v>曹操|关羽|夏侯惇|孙权|貂蝉</v>
      </c>
    </row>
    <row r="282" spans="1:4" x14ac:dyDescent="0.25">
      <c r="A282" s="70">
        <v>400028</v>
      </c>
      <c r="B282" s="70" t="s">
        <v>1720</v>
      </c>
      <c r="C282" s="70" t="s">
        <v>1721</v>
      </c>
      <c r="D282" t="str">
        <f t="shared" si="0"/>
        <v>曹操|吕布|夏侯惇|孙权|小乔</v>
      </c>
    </row>
    <row r="283" spans="1:4" x14ac:dyDescent="0.25">
      <c r="A283" s="70">
        <v>400029</v>
      </c>
      <c r="B283" s="70" t="s">
        <v>1722</v>
      </c>
      <c r="C283" s="70" t="s">
        <v>1723</v>
      </c>
      <c r="D283" t="str">
        <f t="shared" si="0"/>
        <v>曹操|诸葛亮|夏侯惇|孙权|小乔</v>
      </c>
    </row>
    <row r="284" spans="1:4" x14ac:dyDescent="0.25">
      <c r="A284" s="70">
        <v>400030</v>
      </c>
      <c r="B284" s="70" t="s">
        <v>1724</v>
      </c>
      <c r="C284" s="70" t="s">
        <v>1725</v>
      </c>
      <c r="D284" t="str">
        <f t="shared" si="0"/>
        <v>曹操|周瑜|夏侯惇|孙权|貂蝉</v>
      </c>
    </row>
    <row r="285" spans="1:4" x14ac:dyDescent="0.25">
      <c r="A285" s="70">
        <v>400031</v>
      </c>
      <c r="B285" s="70" t="s">
        <v>1726</v>
      </c>
      <c r="C285" s="70" t="s">
        <v>1727</v>
      </c>
      <c r="D285" t="str">
        <f t="shared" si="0"/>
        <v>关羽|吕布|夏侯惇|孙权|貂蝉</v>
      </c>
    </row>
    <row r="286" spans="1:4" x14ac:dyDescent="0.25">
      <c r="A286" s="70">
        <v>400032</v>
      </c>
      <c r="B286" s="70" t="s">
        <v>1728</v>
      </c>
      <c r="C286" s="70" t="s">
        <v>1729</v>
      </c>
      <c r="D286" t="str">
        <f t="shared" si="0"/>
        <v>关羽|诸葛亮|夏侯惇|孙权|小乔</v>
      </c>
    </row>
    <row r="287" spans="1:4" x14ac:dyDescent="0.25">
      <c r="A287" s="70">
        <v>400033</v>
      </c>
      <c r="B287" s="70" t="s">
        <v>1730</v>
      </c>
      <c r="C287" s="70" t="s">
        <v>1731</v>
      </c>
      <c r="D287" t="str">
        <f t="shared" si="0"/>
        <v>关羽|周瑜|夏侯惇|孙权|糜夫人</v>
      </c>
    </row>
    <row r="288" spans="1:4" x14ac:dyDescent="0.25">
      <c r="A288" s="70">
        <v>400034</v>
      </c>
      <c r="B288" s="70" t="s">
        <v>1732</v>
      </c>
      <c r="C288" s="70" t="s">
        <v>1733</v>
      </c>
      <c r="D288" t="str">
        <f t="shared" si="0"/>
        <v>关羽|周瑜|夏侯惇|孙权|貂蝉</v>
      </c>
    </row>
    <row r="289" spans="1:4" x14ac:dyDescent="0.25">
      <c r="A289" s="70">
        <v>400035</v>
      </c>
      <c r="B289" s="70" t="s">
        <v>1734</v>
      </c>
      <c r="C289" s="70" t="s">
        <v>1735</v>
      </c>
      <c r="D289" t="str">
        <f t="shared" si="0"/>
        <v>吕布|周瑜|夏侯惇|孙权|糜夫人</v>
      </c>
    </row>
    <row r="290" spans="1:4" x14ac:dyDescent="0.25">
      <c r="A290" s="70">
        <v>400036</v>
      </c>
      <c r="B290" s="70" t="s">
        <v>1736</v>
      </c>
      <c r="C290" s="70" t="s">
        <v>1737</v>
      </c>
      <c r="D290" t="str">
        <f t="shared" si="0"/>
        <v>吕布|周瑜|夏侯惇|孙权|貂蝉</v>
      </c>
    </row>
    <row r="291" spans="1:4" x14ac:dyDescent="0.25">
      <c r="A291" s="76">
        <v>400037</v>
      </c>
      <c r="B291" s="76" t="s">
        <v>1738</v>
      </c>
      <c r="C291" s="76" t="s">
        <v>1715</v>
      </c>
      <c r="D291" t="str">
        <f t="shared" si="0"/>
        <v>刘备|曹操|夏侯惇|孙权|貂蝉</v>
      </c>
    </row>
    <row r="292" spans="1:4" x14ac:dyDescent="0.25">
      <c r="A292" s="76">
        <v>400038</v>
      </c>
      <c r="B292" s="76" t="s">
        <v>1739</v>
      </c>
      <c r="C292" s="76" t="s">
        <v>1717</v>
      </c>
      <c r="D292" t="str">
        <f t="shared" si="0"/>
        <v>刘备|吕布|夏侯惇|孙权|貂蝉</v>
      </c>
    </row>
    <row r="293" spans="1:4" x14ac:dyDescent="0.25">
      <c r="A293" s="76">
        <v>400039</v>
      </c>
      <c r="B293" s="76" t="s">
        <v>1740</v>
      </c>
      <c r="C293" s="76" t="s">
        <v>1719</v>
      </c>
      <c r="D293" t="str">
        <f t="shared" si="0"/>
        <v>曹操|关羽|夏侯惇|孙权|貂蝉</v>
      </c>
    </row>
    <row r="294" spans="1:4" x14ac:dyDescent="0.25">
      <c r="A294" s="76">
        <v>400040</v>
      </c>
      <c r="B294" s="76" t="s">
        <v>1741</v>
      </c>
      <c r="C294" s="76" t="s">
        <v>1721</v>
      </c>
      <c r="D294" t="str">
        <f t="shared" si="0"/>
        <v>曹操|吕布|夏侯惇|孙权|小乔</v>
      </c>
    </row>
    <row r="295" spans="1:4" x14ac:dyDescent="0.25">
      <c r="A295" s="76">
        <v>400041</v>
      </c>
      <c r="B295" s="76" t="s">
        <v>1742</v>
      </c>
      <c r="C295" s="76" t="s">
        <v>1723</v>
      </c>
      <c r="D295" t="str">
        <f t="shared" si="0"/>
        <v>曹操|诸葛亮|夏侯惇|孙权|小乔</v>
      </c>
    </row>
    <row r="296" spans="1:4" x14ac:dyDescent="0.25">
      <c r="A296" s="76">
        <v>400042</v>
      </c>
      <c r="B296" s="76" t="s">
        <v>1743</v>
      </c>
      <c r="C296" s="76" t="s">
        <v>1725</v>
      </c>
      <c r="D296" t="str">
        <f t="shared" si="0"/>
        <v>曹操|周瑜|夏侯惇|孙权|貂蝉</v>
      </c>
    </row>
    <row r="297" spans="1:4" x14ac:dyDescent="0.25">
      <c r="A297" s="76">
        <v>400043</v>
      </c>
      <c r="B297" s="76" t="s">
        <v>1744</v>
      </c>
      <c r="C297" s="76" t="s">
        <v>1727</v>
      </c>
      <c r="D297" t="str">
        <f t="shared" si="0"/>
        <v>关羽|吕布|夏侯惇|孙权|貂蝉</v>
      </c>
    </row>
    <row r="298" spans="1:4" x14ac:dyDescent="0.25">
      <c r="A298" s="76">
        <v>400044</v>
      </c>
      <c r="B298" s="76" t="s">
        <v>1745</v>
      </c>
      <c r="C298" s="76" t="s">
        <v>1729</v>
      </c>
      <c r="D298" t="str">
        <f t="shared" si="0"/>
        <v>关羽|诸葛亮|夏侯惇|孙权|小乔</v>
      </c>
    </row>
    <row r="299" spans="1:4" x14ac:dyDescent="0.25">
      <c r="A299" s="76">
        <v>400045</v>
      </c>
      <c r="B299" s="76" t="s">
        <v>1746</v>
      </c>
      <c r="C299" s="76" t="s">
        <v>1731</v>
      </c>
      <c r="D299" t="str">
        <f t="shared" si="0"/>
        <v>关羽|周瑜|夏侯惇|孙权|糜夫人</v>
      </c>
    </row>
    <row r="300" spans="1:4" x14ac:dyDescent="0.25">
      <c r="A300" s="76">
        <v>400046</v>
      </c>
      <c r="B300" s="76" t="s">
        <v>1747</v>
      </c>
      <c r="C300" s="76" t="s">
        <v>1733</v>
      </c>
      <c r="D300" t="str">
        <f t="shared" si="0"/>
        <v>关羽|周瑜|夏侯惇|孙权|貂蝉</v>
      </c>
    </row>
    <row r="301" spans="1:4" x14ac:dyDescent="0.25">
      <c r="A301" s="76">
        <v>400047</v>
      </c>
      <c r="B301" s="76" t="s">
        <v>1748</v>
      </c>
      <c r="C301" s="76" t="s">
        <v>1735</v>
      </c>
      <c r="D301" t="str">
        <f t="shared" si="0"/>
        <v>吕布|周瑜|夏侯惇|孙权|糜夫人</v>
      </c>
    </row>
    <row r="302" spans="1:4" x14ac:dyDescent="0.25">
      <c r="A302" s="76">
        <v>400048</v>
      </c>
      <c r="B302" s="76" t="s">
        <v>1749</v>
      </c>
      <c r="C302" s="76" t="s">
        <v>1737</v>
      </c>
      <c r="D302" t="str">
        <f t="shared" si="0"/>
        <v>吕布|周瑜|夏侯惇|孙权|貂蝉</v>
      </c>
    </row>
    <row r="303" spans="1:4" x14ac:dyDescent="0.25">
      <c r="A303" s="70">
        <v>400049</v>
      </c>
      <c r="B303" s="70" t="s">
        <v>1750</v>
      </c>
      <c r="C303" s="70" t="s">
        <v>1715</v>
      </c>
      <c r="D303" t="str">
        <f t="shared" si="0"/>
        <v>刘备|曹操|夏侯惇|孙权|貂蝉</v>
      </c>
    </row>
    <row r="304" spans="1:4" x14ac:dyDescent="0.25">
      <c r="A304" s="70">
        <v>400050</v>
      </c>
      <c r="B304" s="70" t="s">
        <v>1751</v>
      </c>
      <c r="C304" s="70" t="s">
        <v>1717</v>
      </c>
      <c r="D304" t="str">
        <f t="shared" si="0"/>
        <v>刘备|吕布|夏侯惇|孙权|貂蝉</v>
      </c>
    </row>
    <row r="305" spans="1:4" x14ac:dyDescent="0.25">
      <c r="A305" s="70">
        <v>400051</v>
      </c>
      <c r="B305" s="70" t="s">
        <v>1752</v>
      </c>
      <c r="C305" s="70" t="s">
        <v>1719</v>
      </c>
      <c r="D305" t="str">
        <f t="shared" si="0"/>
        <v>曹操|关羽|夏侯惇|孙权|貂蝉</v>
      </c>
    </row>
    <row r="306" spans="1:4" x14ac:dyDescent="0.25">
      <c r="A306" s="70">
        <v>400052</v>
      </c>
      <c r="B306" s="70" t="s">
        <v>1753</v>
      </c>
      <c r="C306" s="70" t="s">
        <v>1721</v>
      </c>
      <c r="D306" t="str">
        <f t="shared" si="0"/>
        <v>曹操|吕布|夏侯惇|孙权|小乔</v>
      </c>
    </row>
    <row r="307" spans="1:4" x14ac:dyDescent="0.25">
      <c r="A307" s="70">
        <v>400053</v>
      </c>
      <c r="B307" s="70" t="s">
        <v>1754</v>
      </c>
      <c r="C307" s="70" t="s">
        <v>1723</v>
      </c>
      <c r="D307" t="str">
        <f t="shared" si="0"/>
        <v>曹操|诸葛亮|夏侯惇|孙权|小乔</v>
      </c>
    </row>
    <row r="308" spans="1:4" x14ac:dyDescent="0.25">
      <c r="A308" s="70">
        <v>400054</v>
      </c>
      <c r="B308" s="70" t="s">
        <v>1755</v>
      </c>
      <c r="C308" s="70" t="s">
        <v>1725</v>
      </c>
      <c r="D308" t="str">
        <f t="shared" si="0"/>
        <v>曹操|周瑜|夏侯惇|孙权|貂蝉</v>
      </c>
    </row>
    <row r="309" spans="1:4" x14ac:dyDescent="0.25">
      <c r="A309" s="70">
        <v>400055</v>
      </c>
      <c r="B309" s="70" t="s">
        <v>1756</v>
      </c>
      <c r="C309" s="70" t="s">
        <v>1727</v>
      </c>
      <c r="D309" t="str">
        <f t="shared" si="0"/>
        <v>关羽|吕布|夏侯惇|孙权|貂蝉</v>
      </c>
    </row>
    <row r="310" spans="1:4" x14ac:dyDescent="0.25">
      <c r="A310" s="70">
        <v>400056</v>
      </c>
      <c r="B310" s="70" t="s">
        <v>1757</v>
      </c>
      <c r="C310" s="70" t="s">
        <v>1729</v>
      </c>
      <c r="D310" t="str">
        <f t="shared" si="0"/>
        <v>关羽|诸葛亮|夏侯惇|孙权|小乔</v>
      </c>
    </row>
    <row r="311" spans="1:4" x14ac:dyDescent="0.25">
      <c r="A311" s="70">
        <v>400057</v>
      </c>
      <c r="B311" s="70" t="s">
        <v>1758</v>
      </c>
      <c r="C311" s="70" t="s">
        <v>1731</v>
      </c>
      <c r="D311" t="str">
        <f t="shared" si="0"/>
        <v>关羽|周瑜|夏侯惇|孙权|糜夫人</v>
      </c>
    </row>
    <row r="312" spans="1:4" x14ac:dyDescent="0.25">
      <c r="A312" s="70">
        <v>400058</v>
      </c>
      <c r="B312" s="70" t="s">
        <v>1759</v>
      </c>
      <c r="C312" s="70" t="s">
        <v>1733</v>
      </c>
      <c r="D312" t="str">
        <f t="shared" si="0"/>
        <v>关羽|周瑜|夏侯惇|孙权|貂蝉</v>
      </c>
    </row>
    <row r="313" spans="1:4" x14ac:dyDescent="0.25">
      <c r="A313" s="70">
        <v>400059</v>
      </c>
      <c r="B313" s="70" t="s">
        <v>1760</v>
      </c>
      <c r="C313" s="70" t="s">
        <v>1735</v>
      </c>
      <c r="D313" t="str">
        <f t="shared" si="0"/>
        <v>吕布|周瑜|夏侯惇|孙权|糜夫人</v>
      </c>
    </row>
    <row r="314" spans="1:4" x14ac:dyDescent="0.25">
      <c r="A314" s="70">
        <v>400060</v>
      </c>
      <c r="B314" s="70" t="s">
        <v>1761</v>
      </c>
      <c r="C314" s="70" t="s">
        <v>1737</v>
      </c>
      <c r="D314" t="str">
        <f t="shared" si="0"/>
        <v>吕布|周瑜|夏侯惇|孙权|貂蝉</v>
      </c>
    </row>
    <row r="315" spans="1:4" x14ac:dyDescent="0.25">
      <c r="A315" s="76">
        <v>400061</v>
      </c>
      <c r="B315" s="76" t="s">
        <v>1762</v>
      </c>
      <c r="C315" s="76" t="s">
        <v>1715</v>
      </c>
      <c r="D315" t="str">
        <f t="shared" si="0"/>
        <v>刘备|曹操|夏侯惇|孙权|貂蝉</v>
      </c>
    </row>
    <row r="316" spans="1:4" x14ac:dyDescent="0.25">
      <c r="A316" s="76">
        <v>400062</v>
      </c>
      <c r="B316" s="76" t="s">
        <v>1763</v>
      </c>
      <c r="C316" s="76" t="s">
        <v>1717</v>
      </c>
      <c r="D316" t="str">
        <f t="shared" si="0"/>
        <v>刘备|吕布|夏侯惇|孙权|貂蝉</v>
      </c>
    </row>
    <row r="317" spans="1:4" x14ac:dyDescent="0.25">
      <c r="A317" s="76">
        <v>400063</v>
      </c>
      <c r="B317" s="76" t="s">
        <v>1764</v>
      </c>
      <c r="C317" s="76" t="s">
        <v>1719</v>
      </c>
      <c r="D317" t="str">
        <f t="shared" si="0"/>
        <v>曹操|关羽|夏侯惇|孙权|貂蝉</v>
      </c>
    </row>
    <row r="318" spans="1:4" x14ac:dyDescent="0.25">
      <c r="A318" s="76">
        <v>400064</v>
      </c>
      <c r="B318" s="76" t="s">
        <v>1765</v>
      </c>
      <c r="C318" s="76" t="s">
        <v>1721</v>
      </c>
      <c r="D318" t="str">
        <f t="shared" si="0"/>
        <v>曹操|吕布|夏侯惇|孙权|小乔</v>
      </c>
    </row>
    <row r="319" spans="1:4" x14ac:dyDescent="0.25">
      <c r="A319" s="76">
        <v>400065</v>
      </c>
      <c r="B319" s="76" t="s">
        <v>1766</v>
      </c>
      <c r="C319" s="76" t="s">
        <v>1723</v>
      </c>
      <c r="D319" t="str">
        <f t="shared" si="0"/>
        <v>曹操|诸葛亮|夏侯惇|孙权|小乔</v>
      </c>
    </row>
    <row r="320" spans="1:4" x14ac:dyDescent="0.25">
      <c r="A320" s="76">
        <v>400066</v>
      </c>
      <c r="B320" s="76" t="s">
        <v>1767</v>
      </c>
      <c r="C320" s="76" t="s">
        <v>1725</v>
      </c>
      <c r="D320" t="str">
        <f t="shared" ref="D320:D326" si="1">_xlfn.XLOOKUP(B320,B:B,C:C,999,0,1)</f>
        <v>曹操|周瑜|夏侯惇|孙权|貂蝉</v>
      </c>
    </row>
    <row r="321" spans="1:4" x14ac:dyDescent="0.25">
      <c r="A321" s="76">
        <v>400067</v>
      </c>
      <c r="B321" s="76" t="s">
        <v>1768</v>
      </c>
      <c r="C321" s="76" t="s">
        <v>1727</v>
      </c>
      <c r="D321" t="str">
        <f t="shared" si="1"/>
        <v>关羽|吕布|夏侯惇|孙权|貂蝉</v>
      </c>
    </row>
    <row r="322" spans="1:4" x14ac:dyDescent="0.25">
      <c r="A322" s="76">
        <v>400068</v>
      </c>
      <c r="B322" s="76" t="s">
        <v>1769</v>
      </c>
      <c r="C322" s="76" t="s">
        <v>1729</v>
      </c>
      <c r="D322" t="str">
        <f t="shared" si="1"/>
        <v>关羽|诸葛亮|夏侯惇|孙权|小乔</v>
      </c>
    </row>
    <row r="323" spans="1:4" x14ac:dyDescent="0.25">
      <c r="A323" s="76">
        <v>400069</v>
      </c>
      <c r="B323" s="76" t="s">
        <v>1770</v>
      </c>
      <c r="C323" s="76" t="s">
        <v>1731</v>
      </c>
      <c r="D323" t="str">
        <f t="shared" si="1"/>
        <v>关羽|周瑜|夏侯惇|孙权|糜夫人</v>
      </c>
    </row>
    <row r="324" spans="1:4" x14ac:dyDescent="0.25">
      <c r="A324" s="76">
        <v>400070</v>
      </c>
      <c r="B324" s="76" t="s">
        <v>1771</v>
      </c>
      <c r="C324" s="76" t="s">
        <v>1733</v>
      </c>
      <c r="D324" t="str">
        <f t="shared" si="1"/>
        <v>关羽|周瑜|夏侯惇|孙权|貂蝉</v>
      </c>
    </row>
    <row r="325" spans="1:4" x14ac:dyDescent="0.25">
      <c r="A325" s="76">
        <v>400071</v>
      </c>
      <c r="B325" s="76" t="s">
        <v>1772</v>
      </c>
      <c r="C325" s="76" t="s">
        <v>1735</v>
      </c>
      <c r="D325" t="str">
        <f t="shared" si="1"/>
        <v>吕布|周瑜|夏侯惇|孙权|糜夫人</v>
      </c>
    </row>
    <row r="326" spans="1:4" x14ac:dyDescent="0.25">
      <c r="A326" s="76">
        <v>400072</v>
      </c>
      <c r="B326" s="76" t="s">
        <v>1773</v>
      </c>
      <c r="C326" s="76" t="s">
        <v>1737</v>
      </c>
      <c r="D326" t="str">
        <f t="shared" si="1"/>
        <v>吕布|周瑜|夏侯惇|孙权|貂蝉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0"/>
  <sheetViews>
    <sheetView workbookViewId="0" zoomScale="100" zoomScaleNormal="100">
      <selection activeCell="I114" sqref="I114"/>
    </sheetView>
  </sheetViews>
  <sheetFormatPr defaultRowHeight="16.5" outlineLevelRow="0" outlineLevelCol="5" x14ac:dyDescent="0" defaultColWidth="9" customHeight="1"/>
  <cols>
    <col min="1" max="1" width="8.5" style="1" customWidth="1"/>
  </cols>
  <sheetData>
    <row r="1" spans="1:5" x14ac:dyDescent="0.25">
      <c r="A1" s="5" t="s">
        <v>0</v>
      </c>
      <c r="B1" s="23" t="s">
        <v>1381</v>
      </c>
      <c r="C1" s="23" t="s">
        <v>1382</v>
      </c>
      <c r="D1" s="23" t="s">
        <v>1383</v>
      </c>
      <c r="E1" s="23" t="s">
        <v>1384</v>
      </c>
    </row>
    <row r="2" spans="1:5" x14ac:dyDescent="0.25">
      <c r="A2" s="11" t="s">
        <v>1385</v>
      </c>
      <c r="B2" t="s">
        <v>1386</v>
      </c>
      <c r="C2" s="23" t="s">
        <v>1387</v>
      </c>
      <c r="D2" s="23" t="s">
        <v>1388</v>
      </c>
      <c r="E2" s="23" t="s">
        <v>1389</v>
      </c>
    </row>
    <row r="3" spans="1:5" x14ac:dyDescent="0.25">
      <c r="A3" s="14" t="s">
        <v>78</v>
      </c>
      <c r="B3" s="23" t="s">
        <v>1390</v>
      </c>
      <c r="C3" s="23" t="s">
        <v>1390</v>
      </c>
      <c r="D3" s="23" t="s">
        <v>1390</v>
      </c>
      <c r="E3" s="23" t="s">
        <v>1390</v>
      </c>
    </row>
    <row r="4" ht="14.25" customHeight="1" spans="1:5" x14ac:dyDescent="0.25">
      <c r="A4" s="21">
        <v>11101</v>
      </c>
      <c r="B4" s="23" t="s">
        <v>1386</v>
      </c>
      <c r="C4" s="23" t="s">
        <v>1387</v>
      </c>
      <c r="D4" s="23" t="s">
        <v>1388</v>
      </c>
      <c r="E4" s="23" t="s">
        <v>1389</v>
      </c>
    </row>
    <row r="5" ht="14.25" customHeight="1" spans="1:5" x14ac:dyDescent="0.25">
      <c r="A5" s="19">
        <v>12001</v>
      </c>
      <c r="B5" s="23" t="s">
        <v>1386</v>
      </c>
      <c r="C5" s="23" t="s">
        <v>1387</v>
      </c>
      <c r="D5" s="23" t="s">
        <v>1388</v>
      </c>
      <c r="E5" s="23" t="s">
        <v>1389</v>
      </c>
    </row>
    <row r="6" ht="14.25" customHeight="1" spans="1:5" x14ac:dyDescent="0.25">
      <c r="A6" s="19">
        <v>12002</v>
      </c>
      <c r="B6" s="23" t="s">
        <v>1386</v>
      </c>
      <c r="C6" s="23" t="s">
        <v>1387</v>
      </c>
      <c r="D6" s="23" t="s">
        <v>1388</v>
      </c>
      <c r="E6" s="23" t="s">
        <v>1389</v>
      </c>
    </row>
    <row r="7" ht="14.25" customHeight="1" spans="1:5" x14ac:dyDescent="0.25">
      <c r="A7" s="19">
        <v>12003</v>
      </c>
      <c r="B7" s="23" t="s">
        <v>1386</v>
      </c>
      <c r="C7" s="23" t="s">
        <v>1387</v>
      </c>
      <c r="D7" s="23" t="s">
        <v>1388</v>
      </c>
      <c r="E7" s="23" t="s">
        <v>1389</v>
      </c>
    </row>
    <row r="8" ht="14.25" customHeight="1" spans="1:5" x14ac:dyDescent="0.25">
      <c r="A8" s="19">
        <v>12004</v>
      </c>
      <c r="B8" s="23" t="s">
        <v>1386</v>
      </c>
      <c r="C8" s="23" t="s">
        <v>1387</v>
      </c>
      <c r="D8" s="23" t="s">
        <v>1388</v>
      </c>
      <c r="E8" s="23" t="s">
        <v>1389</v>
      </c>
    </row>
    <row r="9" ht="14.25" customHeight="1" spans="1:5" x14ac:dyDescent="0.25">
      <c r="A9" s="19">
        <v>12005</v>
      </c>
      <c r="B9" s="23" t="s">
        <v>1386</v>
      </c>
      <c r="C9" s="23" t="s">
        <v>1387</v>
      </c>
      <c r="D9" s="23" t="s">
        <v>1388</v>
      </c>
      <c r="E9" s="23" t="s">
        <v>1389</v>
      </c>
    </row>
    <row r="10" ht="14.25" customHeight="1" spans="1:5" x14ac:dyDescent="0.25">
      <c r="A10" s="30">
        <v>11001</v>
      </c>
      <c r="B10" s="23" t="s">
        <v>1386</v>
      </c>
      <c r="C10" s="23" t="s">
        <v>1387</v>
      </c>
      <c r="D10" s="23" t="s">
        <v>1388</v>
      </c>
      <c r="E10" s="23" t="s">
        <v>1389</v>
      </c>
    </row>
    <row r="11" ht="14.25" customHeight="1" spans="1:5" x14ac:dyDescent="0.25">
      <c r="A11" s="30">
        <v>11002</v>
      </c>
      <c r="B11" s="23" t="s">
        <v>1386</v>
      </c>
      <c r="C11" s="23" t="s">
        <v>1387</v>
      </c>
      <c r="D11" s="23" t="s">
        <v>1388</v>
      </c>
      <c r="E11" s="23" t="s">
        <v>1389</v>
      </c>
    </row>
    <row r="12" ht="14.25" customHeight="1" spans="1:5" x14ac:dyDescent="0.25">
      <c r="A12" s="30">
        <v>11003</v>
      </c>
      <c r="B12" s="23" t="s">
        <v>1386</v>
      </c>
      <c r="C12" s="23" t="s">
        <v>1387</v>
      </c>
      <c r="D12" s="23" t="s">
        <v>1388</v>
      </c>
      <c r="E12" s="23" t="s">
        <v>1389</v>
      </c>
    </row>
    <row r="13" ht="14.25" customHeight="1" spans="1:5" x14ac:dyDescent="0.25">
      <c r="A13" s="30">
        <v>11004</v>
      </c>
      <c r="B13" s="23" t="s">
        <v>1386</v>
      </c>
      <c r="C13" s="23" t="s">
        <v>1387</v>
      </c>
      <c r="D13" s="23" t="s">
        <v>1388</v>
      </c>
      <c r="E13" s="23" t="s">
        <v>1389</v>
      </c>
    </row>
    <row r="14" ht="14.25" customHeight="1" spans="1:5" x14ac:dyDescent="0.25">
      <c r="A14" s="30">
        <v>11005</v>
      </c>
      <c r="B14" s="23" t="s">
        <v>1386</v>
      </c>
      <c r="C14" s="23" t="s">
        <v>1387</v>
      </c>
      <c r="D14" s="23" t="s">
        <v>1388</v>
      </c>
      <c r="E14" s="23" t="s">
        <v>1389</v>
      </c>
    </row>
    <row r="15" ht="14.25" customHeight="1" spans="1:5" x14ac:dyDescent="0.25">
      <c r="A15" s="30">
        <v>11011</v>
      </c>
      <c r="B15" s="23" t="s">
        <v>1386</v>
      </c>
      <c r="C15" s="23" t="s">
        <v>1387</v>
      </c>
      <c r="D15" s="23" t="s">
        <v>1388</v>
      </c>
      <c r="E15" s="23" t="s">
        <v>1389</v>
      </c>
    </row>
    <row r="16" ht="14.25" customHeight="1" spans="1:5" x14ac:dyDescent="0.25">
      <c r="A16" s="30">
        <v>11012</v>
      </c>
      <c r="B16" s="23" t="s">
        <v>1386</v>
      </c>
      <c r="C16" s="23" t="s">
        <v>1387</v>
      </c>
      <c r="D16" s="23" t="s">
        <v>1388</v>
      </c>
      <c r="E16" s="23" t="s">
        <v>1389</v>
      </c>
    </row>
    <row r="17" ht="14.25" customHeight="1" spans="1:5" x14ac:dyDescent="0.25">
      <c r="A17" s="30">
        <v>11013</v>
      </c>
      <c r="B17" s="23" t="s">
        <v>1386</v>
      </c>
      <c r="C17" s="23" t="s">
        <v>1387</v>
      </c>
      <c r="D17" s="23" t="s">
        <v>1388</v>
      </c>
      <c r="E17" s="23" t="s">
        <v>1389</v>
      </c>
    </row>
    <row r="18" ht="14.25" customHeight="1" spans="1:5" x14ac:dyDescent="0.25">
      <c r="A18" s="30">
        <v>11014</v>
      </c>
      <c r="B18" s="23" t="s">
        <v>1386</v>
      </c>
      <c r="C18" s="23" t="s">
        <v>1387</v>
      </c>
      <c r="D18" s="23" t="s">
        <v>1388</v>
      </c>
      <c r="E18" s="23" t="s">
        <v>1389</v>
      </c>
    </row>
    <row r="19" ht="14.25" customHeight="1" spans="1:5" x14ac:dyDescent="0.25">
      <c r="A19" s="30">
        <v>11021</v>
      </c>
      <c r="B19" s="23" t="s">
        <v>1386</v>
      </c>
      <c r="C19" s="23" t="s">
        <v>1387</v>
      </c>
      <c r="D19" s="23" t="s">
        <v>1388</v>
      </c>
      <c r="E19" s="23" t="s">
        <v>1389</v>
      </c>
    </row>
    <row r="20" ht="14.25" customHeight="1" spans="1:5" x14ac:dyDescent="0.25">
      <c r="A20" s="30">
        <v>11022</v>
      </c>
      <c r="B20" s="23" t="s">
        <v>1386</v>
      </c>
      <c r="C20" s="23" t="s">
        <v>1387</v>
      </c>
      <c r="D20" s="23" t="s">
        <v>1388</v>
      </c>
      <c r="E20" s="23" t="s">
        <v>1389</v>
      </c>
    </row>
    <row r="21" ht="14.25" customHeight="1" spans="1:5" x14ac:dyDescent="0.25">
      <c r="A21" s="30">
        <v>11023</v>
      </c>
      <c r="B21" s="23" t="s">
        <v>1386</v>
      </c>
      <c r="C21" s="23" t="s">
        <v>1387</v>
      </c>
      <c r="D21" s="23" t="s">
        <v>1388</v>
      </c>
      <c r="E21" s="23" t="s">
        <v>1389</v>
      </c>
    </row>
    <row r="22" ht="14.25" customHeight="1" spans="1:5" x14ac:dyDescent="0.25">
      <c r="A22" s="30">
        <v>11024</v>
      </c>
      <c r="B22" s="23" t="s">
        <v>1386</v>
      </c>
      <c r="C22" s="23" t="s">
        <v>1387</v>
      </c>
      <c r="D22" s="23" t="s">
        <v>1388</v>
      </c>
      <c r="E22" s="23" t="s">
        <v>1389</v>
      </c>
    </row>
    <row r="23" ht="14.25" customHeight="1" spans="1:5" x14ac:dyDescent="0.25">
      <c r="A23" s="30">
        <v>11031</v>
      </c>
      <c r="B23" s="23" t="s">
        <v>1386</v>
      </c>
      <c r="C23" s="23" t="s">
        <v>1387</v>
      </c>
      <c r="D23" s="23" t="s">
        <v>1388</v>
      </c>
      <c r="E23" s="23" t="s">
        <v>1389</v>
      </c>
    </row>
    <row r="24" ht="14.25" customHeight="1" spans="1:5" x14ac:dyDescent="0.25">
      <c r="A24" s="30">
        <v>11032</v>
      </c>
      <c r="B24" s="23" t="s">
        <v>1386</v>
      </c>
      <c r="C24" s="23" t="s">
        <v>1387</v>
      </c>
      <c r="D24" s="23" t="s">
        <v>1388</v>
      </c>
      <c r="E24" s="23" t="s">
        <v>1389</v>
      </c>
    </row>
    <row r="25" ht="14.25" customHeight="1" spans="1:5" x14ac:dyDescent="0.25">
      <c r="A25" s="30">
        <v>11033</v>
      </c>
      <c r="B25" s="23" t="s">
        <v>1386</v>
      </c>
      <c r="C25" s="23" t="s">
        <v>1387</v>
      </c>
      <c r="D25" s="23" t="s">
        <v>1388</v>
      </c>
      <c r="E25" s="23" t="s">
        <v>1389</v>
      </c>
    </row>
    <row r="26" ht="14.25" customHeight="1" spans="1:5" x14ac:dyDescent="0.25">
      <c r="A26" s="30">
        <v>11034</v>
      </c>
      <c r="B26" s="23" t="s">
        <v>1386</v>
      </c>
      <c r="C26" s="23" t="s">
        <v>1387</v>
      </c>
      <c r="D26" s="23" t="s">
        <v>1388</v>
      </c>
      <c r="E26" s="23" t="s">
        <v>1389</v>
      </c>
    </row>
    <row r="27" ht="14.25" customHeight="1" spans="1:5" x14ac:dyDescent="0.25">
      <c r="A27" s="30">
        <v>11035</v>
      </c>
      <c r="B27" s="23" t="s">
        <v>1386</v>
      </c>
      <c r="C27" s="23" t="s">
        <v>1387</v>
      </c>
      <c r="D27" s="23" t="s">
        <v>1388</v>
      </c>
      <c r="E27" s="23" t="s">
        <v>1389</v>
      </c>
    </row>
    <row r="28" ht="14.25" customHeight="1" spans="1:5" x14ac:dyDescent="0.25">
      <c r="A28" s="30">
        <f>A23+10</f>
        <v>11041</v>
      </c>
      <c r="B28" s="23" t="s">
        <v>1386</v>
      </c>
      <c r="C28" s="23" t="s">
        <v>1387</v>
      </c>
      <c r="D28" s="23" t="s">
        <v>1388</v>
      </c>
      <c r="E28" s="23" t="s">
        <v>1389</v>
      </c>
    </row>
    <row r="29" ht="14.25" customHeight="1" spans="1:5" x14ac:dyDescent="0.25">
      <c r="A29" s="30">
        <f t="shared" ref="A29:A42" si="0">A24+10</f>
        <v>11042</v>
      </c>
      <c r="B29" s="23" t="s">
        <v>1386</v>
      </c>
      <c r="C29" s="23" t="s">
        <v>1387</v>
      </c>
      <c r="D29" s="23" t="s">
        <v>1388</v>
      </c>
      <c r="E29" s="23" t="s">
        <v>1389</v>
      </c>
    </row>
    <row r="30" ht="14.25" customHeight="1" spans="1:5" x14ac:dyDescent="0.25">
      <c r="A30" s="30">
        <f t="shared" si="0"/>
        <v>11043</v>
      </c>
      <c r="B30" s="23" t="s">
        <v>1386</v>
      </c>
      <c r="C30" s="23" t="s">
        <v>1387</v>
      </c>
      <c r="D30" s="23" t="s">
        <v>1388</v>
      </c>
      <c r="E30" s="23" t="s">
        <v>1389</v>
      </c>
    </row>
    <row r="31" ht="14.25" customHeight="1" spans="1:5" x14ac:dyDescent="0.25">
      <c r="A31" s="30">
        <f t="shared" si="0"/>
        <v>11044</v>
      </c>
      <c r="B31" s="23" t="s">
        <v>1386</v>
      </c>
      <c r="C31" s="23" t="s">
        <v>1387</v>
      </c>
      <c r="D31" s="23" t="s">
        <v>1388</v>
      </c>
      <c r="E31" s="23" t="s">
        <v>1389</v>
      </c>
    </row>
    <row r="32" ht="14.25" customHeight="1" spans="1:5" x14ac:dyDescent="0.25">
      <c r="A32" s="30">
        <f t="shared" si="0"/>
        <v>11045</v>
      </c>
      <c r="B32" s="23" t="s">
        <v>1386</v>
      </c>
      <c r="C32" s="23" t="s">
        <v>1387</v>
      </c>
      <c r="D32" s="23" t="s">
        <v>1388</v>
      </c>
      <c r="E32" s="23" t="s">
        <v>1389</v>
      </c>
    </row>
    <row r="33" ht="14.25" customHeight="1" spans="1:5" x14ac:dyDescent="0.25">
      <c r="A33" s="30">
        <f t="shared" si="0"/>
        <v>11051</v>
      </c>
      <c r="B33" s="23" t="s">
        <v>1386</v>
      </c>
      <c r="C33" s="23" t="s">
        <v>1387</v>
      </c>
      <c r="D33" s="23" t="s">
        <v>1388</v>
      </c>
      <c r="E33" s="23" t="s">
        <v>1389</v>
      </c>
    </row>
    <row r="34" ht="14.25" customHeight="1" spans="1:5" x14ac:dyDescent="0.25">
      <c r="A34" s="30">
        <f t="shared" si="0"/>
        <v>11052</v>
      </c>
      <c r="B34" s="23" t="s">
        <v>1386</v>
      </c>
      <c r="C34" s="23" t="s">
        <v>1387</v>
      </c>
      <c r="D34" s="23" t="s">
        <v>1388</v>
      </c>
      <c r="E34" s="23" t="s">
        <v>1389</v>
      </c>
    </row>
    <row r="35" ht="14.25" customHeight="1" spans="1:5" x14ac:dyDescent="0.25">
      <c r="A35" s="30">
        <f t="shared" si="0"/>
        <v>11053</v>
      </c>
      <c r="B35" s="23" t="s">
        <v>1386</v>
      </c>
      <c r="C35" s="23" t="s">
        <v>1387</v>
      </c>
      <c r="D35" s="23" t="s">
        <v>1388</v>
      </c>
      <c r="E35" s="23" t="s">
        <v>1389</v>
      </c>
    </row>
    <row r="36" ht="14.25" customHeight="1" spans="1:5" x14ac:dyDescent="0.25">
      <c r="A36" s="30">
        <f t="shared" si="0"/>
        <v>11054</v>
      </c>
      <c r="B36" s="23" t="s">
        <v>1386</v>
      </c>
      <c r="C36" s="23" t="s">
        <v>1387</v>
      </c>
      <c r="D36" s="23" t="s">
        <v>1388</v>
      </c>
      <c r="E36" s="23" t="s">
        <v>1389</v>
      </c>
    </row>
    <row r="37" ht="14.25" customHeight="1" spans="1:5" x14ac:dyDescent="0.25">
      <c r="A37" s="30">
        <f t="shared" si="0"/>
        <v>11055</v>
      </c>
      <c r="B37" s="23" t="s">
        <v>1386</v>
      </c>
      <c r="C37" s="23" t="s">
        <v>1387</v>
      </c>
      <c r="D37" s="23" t="s">
        <v>1388</v>
      </c>
      <c r="E37" s="23" t="s">
        <v>1389</v>
      </c>
    </row>
    <row r="38" ht="14.25" customHeight="1" spans="1:5" x14ac:dyDescent="0.25">
      <c r="A38" s="30">
        <f t="shared" si="0"/>
        <v>11061</v>
      </c>
      <c r="B38" s="23" t="s">
        <v>1386</v>
      </c>
      <c r="C38" s="23" t="s">
        <v>1387</v>
      </c>
      <c r="D38" s="23" t="s">
        <v>1388</v>
      </c>
      <c r="E38" s="23" t="s">
        <v>1389</v>
      </c>
    </row>
    <row r="39" ht="14.25" customHeight="1" spans="1:5" x14ac:dyDescent="0.25">
      <c r="A39" s="30">
        <f t="shared" si="0"/>
        <v>11062</v>
      </c>
      <c r="B39" s="23" t="s">
        <v>1386</v>
      </c>
      <c r="C39" s="23" t="s">
        <v>1387</v>
      </c>
      <c r="D39" s="23" t="s">
        <v>1388</v>
      </c>
      <c r="E39" s="23" t="s">
        <v>1389</v>
      </c>
    </row>
    <row r="40" ht="14.25" customHeight="1" spans="1:5" x14ac:dyDescent="0.25">
      <c r="A40" s="30">
        <f t="shared" si="0"/>
        <v>11063</v>
      </c>
      <c r="B40" s="23" t="s">
        <v>1386</v>
      </c>
      <c r="C40" s="23" t="s">
        <v>1387</v>
      </c>
      <c r="D40" s="23" t="s">
        <v>1388</v>
      </c>
      <c r="E40" s="23" t="s">
        <v>1389</v>
      </c>
    </row>
    <row r="41" ht="14.25" customHeight="1" spans="1:5" x14ac:dyDescent="0.25">
      <c r="A41" s="30">
        <f t="shared" si="0"/>
        <v>11064</v>
      </c>
      <c r="B41" s="23" t="s">
        <v>1386</v>
      </c>
      <c r="C41" s="23" t="s">
        <v>1387</v>
      </c>
      <c r="D41" s="23" t="s">
        <v>1388</v>
      </c>
      <c r="E41" s="23" t="s">
        <v>1389</v>
      </c>
    </row>
    <row r="42" ht="14.25" customHeight="1" spans="1:5" x14ac:dyDescent="0.25">
      <c r="A42" s="30">
        <f t="shared" si="0"/>
        <v>11065</v>
      </c>
      <c r="B42" s="23" t="s">
        <v>1386</v>
      </c>
      <c r="C42" s="23" t="s">
        <v>1387</v>
      </c>
      <c r="D42" s="23" t="s">
        <v>1388</v>
      </c>
      <c r="E42" s="23" t="s">
        <v>1389</v>
      </c>
    </row>
    <row r="43" ht="14.25" customHeight="1" spans="1:5" x14ac:dyDescent="0.25">
      <c r="A43" s="30">
        <v>11066</v>
      </c>
      <c r="B43" s="23" t="s">
        <v>1386</v>
      </c>
      <c r="C43" s="23" t="s">
        <v>1387</v>
      </c>
      <c r="D43" s="23" t="s">
        <v>1388</v>
      </c>
      <c r="E43" s="23" t="s">
        <v>1389</v>
      </c>
    </row>
    <row r="44" ht="14.25" customHeight="1" spans="1:6" x14ac:dyDescent="0.25">
      <c r="A44" s="19">
        <v>20001</v>
      </c>
      <c r="B44" s="23" t="s">
        <v>1386</v>
      </c>
      <c r="C44" s="23" t="s">
        <v>1387</v>
      </c>
      <c r="D44" s="23" t="s">
        <v>1388</v>
      </c>
      <c r="E44" s="23" t="s">
        <v>1389</v>
      </c>
      <c r="F44" s="19"/>
    </row>
    <row r="45" ht="14.25" customHeight="1" spans="1:6" x14ac:dyDescent="0.25">
      <c r="A45" s="19">
        <v>20002</v>
      </c>
      <c r="B45" s="23" t="s">
        <v>1386</v>
      </c>
      <c r="C45" s="23" t="s">
        <v>1387</v>
      </c>
      <c r="D45" s="23" t="s">
        <v>1388</v>
      </c>
      <c r="E45" s="23" t="s">
        <v>1389</v>
      </c>
      <c r="F45" s="19"/>
    </row>
    <row r="46" ht="14.25" customHeight="1" spans="1:6" x14ac:dyDescent="0.25">
      <c r="A46" s="19">
        <v>20003</v>
      </c>
      <c r="B46" s="23" t="s">
        <v>1386</v>
      </c>
      <c r="C46" s="23" t="s">
        <v>1387</v>
      </c>
      <c r="D46" s="23" t="s">
        <v>1388</v>
      </c>
      <c r="E46" s="23" t="s">
        <v>1389</v>
      </c>
      <c r="F46" s="19"/>
    </row>
    <row r="47" ht="14.25" customHeight="1" spans="1:6" x14ac:dyDescent="0.25">
      <c r="A47" s="19">
        <v>20004</v>
      </c>
      <c r="B47" s="23" t="s">
        <v>1386</v>
      </c>
      <c r="C47" s="23" t="s">
        <v>1387</v>
      </c>
      <c r="D47" s="23" t="s">
        <v>1388</v>
      </c>
      <c r="E47" s="23" t="s">
        <v>1389</v>
      </c>
      <c r="F47" s="19"/>
    </row>
    <row r="48" ht="14.25" customHeight="1" spans="1:6" x14ac:dyDescent="0.25">
      <c r="A48" s="19">
        <v>20005</v>
      </c>
      <c r="B48" s="23" t="s">
        <v>1386</v>
      </c>
      <c r="C48" s="23" t="s">
        <v>1387</v>
      </c>
      <c r="D48" s="23" t="s">
        <v>1388</v>
      </c>
      <c r="E48" s="23" t="s">
        <v>1389</v>
      </c>
      <c r="F48" s="19"/>
    </row>
    <row r="49" ht="14.25" customHeight="1" spans="1:6" x14ac:dyDescent="0.25">
      <c r="A49" s="19">
        <v>20006</v>
      </c>
      <c r="B49" s="23" t="s">
        <v>1386</v>
      </c>
      <c r="C49" s="23" t="s">
        <v>1387</v>
      </c>
      <c r="D49" s="23" t="s">
        <v>1388</v>
      </c>
      <c r="E49" s="23" t="s">
        <v>1389</v>
      </c>
      <c r="F49" s="19"/>
    </row>
    <row r="50" ht="14.25" customHeight="1" spans="1:6" x14ac:dyDescent="0.25">
      <c r="A50" s="19">
        <v>20007</v>
      </c>
      <c r="B50" s="23" t="s">
        <v>1386</v>
      </c>
      <c r="C50" s="23" t="s">
        <v>1387</v>
      </c>
      <c r="D50" s="23" t="s">
        <v>1388</v>
      </c>
      <c r="E50" s="23" t="s">
        <v>1389</v>
      </c>
      <c r="F50" s="19"/>
    </row>
    <row r="51" ht="14.25" customHeight="1" spans="1:6" x14ac:dyDescent="0.25">
      <c r="A51" s="19">
        <v>20008</v>
      </c>
      <c r="B51" s="23" t="s">
        <v>1386</v>
      </c>
      <c r="C51" s="23" t="s">
        <v>1387</v>
      </c>
      <c r="D51" s="23" t="s">
        <v>1388</v>
      </c>
      <c r="E51" s="23" t="s">
        <v>1389</v>
      </c>
      <c r="F51" s="19"/>
    </row>
    <row r="52" ht="14.25" customHeight="1" spans="1:6" x14ac:dyDescent="0.25">
      <c r="A52" s="19">
        <v>20009</v>
      </c>
      <c r="B52" s="23" t="s">
        <v>1386</v>
      </c>
      <c r="C52" s="23" t="s">
        <v>1387</v>
      </c>
      <c r="D52" s="23" t="s">
        <v>1388</v>
      </c>
      <c r="E52" s="23" t="s">
        <v>1389</v>
      </c>
      <c r="F52" s="19"/>
    </row>
    <row r="53" ht="14.25" customHeight="1" spans="1:6" x14ac:dyDescent="0.25">
      <c r="A53" s="19">
        <v>20010</v>
      </c>
      <c r="B53" s="23" t="s">
        <v>1386</v>
      </c>
      <c r="C53" s="23" t="s">
        <v>1387</v>
      </c>
      <c r="D53" s="23" t="s">
        <v>1388</v>
      </c>
      <c r="E53" s="23" t="s">
        <v>1389</v>
      </c>
      <c r="F53" s="19"/>
    </row>
    <row r="54" ht="14.25" customHeight="1" spans="1:6" x14ac:dyDescent="0.25">
      <c r="A54" s="19">
        <v>20011</v>
      </c>
      <c r="B54" s="23" t="s">
        <v>1386</v>
      </c>
      <c r="C54" s="23" t="s">
        <v>1387</v>
      </c>
      <c r="D54" s="23" t="s">
        <v>1388</v>
      </c>
      <c r="E54" s="23" t="s">
        <v>1389</v>
      </c>
      <c r="F54" s="19"/>
    </row>
    <row r="55" ht="14.25" customHeight="1" spans="1:6" x14ac:dyDescent="0.25">
      <c r="A55" s="19">
        <v>30001</v>
      </c>
      <c r="B55" s="23" t="s">
        <v>1386</v>
      </c>
      <c r="C55" s="23" t="s">
        <v>1387</v>
      </c>
      <c r="D55" s="23" t="s">
        <v>1388</v>
      </c>
      <c r="E55" s="23" t="s">
        <v>1389</v>
      </c>
      <c r="F55" s="19"/>
    </row>
    <row r="56" ht="14.25" customHeight="1" spans="1:6" x14ac:dyDescent="0.25">
      <c r="A56" s="19">
        <v>30002</v>
      </c>
      <c r="B56" s="23" t="s">
        <v>1386</v>
      </c>
      <c r="C56" s="23" t="s">
        <v>1387</v>
      </c>
      <c r="D56" s="23" t="s">
        <v>1388</v>
      </c>
      <c r="E56" s="23" t="s">
        <v>1389</v>
      </c>
      <c r="F56" s="19"/>
    </row>
    <row r="57" ht="14.25" customHeight="1" spans="1:6" x14ac:dyDescent="0.25">
      <c r="A57" s="19">
        <v>30003</v>
      </c>
      <c r="B57" s="23" t="s">
        <v>1386</v>
      </c>
      <c r="C57" s="23" t="s">
        <v>1387</v>
      </c>
      <c r="D57" s="23" t="s">
        <v>1388</v>
      </c>
      <c r="E57" s="23" t="s">
        <v>1389</v>
      </c>
      <c r="F57" s="19"/>
    </row>
    <row r="58" ht="14.25" customHeight="1" spans="1:6" x14ac:dyDescent="0.25">
      <c r="A58" s="19">
        <v>30004</v>
      </c>
      <c r="B58" s="23" t="s">
        <v>1386</v>
      </c>
      <c r="C58" s="23" t="s">
        <v>1387</v>
      </c>
      <c r="D58" s="23" t="s">
        <v>1388</v>
      </c>
      <c r="E58" s="23" t="s">
        <v>1389</v>
      </c>
      <c r="F58" s="19"/>
    </row>
    <row r="59" ht="14.25" customHeight="1" spans="1:6" x14ac:dyDescent="0.25">
      <c r="A59" s="19">
        <v>30005</v>
      </c>
      <c r="B59" s="23" t="s">
        <v>1386</v>
      </c>
      <c r="C59" s="23" t="s">
        <v>1387</v>
      </c>
      <c r="D59" s="23" t="s">
        <v>1388</v>
      </c>
      <c r="E59" s="23" t="s">
        <v>1389</v>
      </c>
      <c r="F59" s="19"/>
    </row>
    <row r="60" ht="14.25" customHeight="1" spans="1:6" x14ac:dyDescent="0.25">
      <c r="A60" s="19">
        <v>30006</v>
      </c>
      <c r="B60" s="23" t="s">
        <v>1386</v>
      </c>
      <c r="C60" s="23" t="s">
        <v>1387</v>
      </c>
      <c r="D60" s="23" t="s">
        <v>1388</v>
      </c>
      <c r="E60" s="23" t="s">
        <v>1389</v>
      </c>
      <c r="F60" s="19"/>
    </row>
    <row r="61" ht="14.25" customHeight="1" spans="1:6" x14ac:dyDescent="0.25">
      <c r="A61" s="19">
        <v>30007</v>
      </c>
      <c r="B61" s="23" t="s">
        <v>1386</v>
      </c>
      <c r="C61" s="23" t="s">
        <v>1387</v>
      </c>
      <c r="D61" s="23" t="s">
        <v>1388</v>
      </c>
      <c r="E61" s="23" t="s">
        <v>1389</v>
      </c>
      <c r="F61" s="19"/>
    </row>
    <row r="62" ht="14.25" customHeight="1" spans="1:6" x14ac:dyDescent="0.25">
      <c r="A62" s="19">
        <v>30008</v>
      </c>
      <c r="B62" s="23" t="s">
        <v>1386</v>
      </c>
      <c r="C62" s="23" t="s">
        <v>1387</v>
      </c>
      <c r="D62" s="23" t="s">
        <v>1388</v>
      </c>
      <c r="E62" s="23" t="s">
        <v>1389</v>
      </c>
      <c r="F62" s="19"/>
    </row>
    <row r="63" ht="14.25" customHeight="1" spans="1:6" x14ac:dyDescent="0.25">
      <c r="A63" s="19">
        <v>30009</v>
      </c>
      <c r="B63" s="23" t="s">
        <v>1386</v>
      </c>
      <c r="C63" s="23" t="s">
        <v>1387</v>
      </c>
      <c r="D63" s="23" t="s">
        <v>1388</v>
      </c>
      <c r="E63" s="23" t="s">
        <v>1389</v>
      </c>
      <c r="F63" s="19"/>
    </row>
    <row r="64" ht="14.25" customHeight="1" spans="1:6" x14ac:dyDescent="0.25">
      <c r="A64" s="19">
        <v>30010</v>
      </c>
      <c r="B64" s="23" t="s">
        <v>1386</v>
      </c>
      <c r="C64" s="23" t="s">
        <v>1387</v>
      </c>
      <c r="D64" s="23" t="s">
        <v>1388</v>
      </c>
      <c r="E64" s="23" t="s">
        <v>1389</v>
      </c>
      <c r="F64" s="19"/>
    </row>
    <row r="65" ht="14.25" customHeight="1" spans="1:6" x14ac:dyDescent="0.25">
      <c r="A65" s="19">
        <v>30011</v>
      </c>
      <c r="B65" s="23" t="s">
        <v>1386</v>
      </c>
      <c r="C65" s="23" t="s">
        <v>1387</v>
      </c>
      <c r="D65" s="23" t="s">
        <v>1388</v>
      </c>
      <c r="E65" s="23" t="s">
        <v>1389</v>
      </c>
      <c r="F65" s="19"/>
    </row>
    <row r="66" ht="14.25" customHeight="1" spans="1:6" x14ac:dyDescent="0.25">
      <c r="A66" s="19">
        <v>31001</v>
      </c>
      <c r="B66" s="23" t="s">
        <v>1386</v>
      </c>
      <c r="C66" s="23" t="s">
        <v>1387</v>
      </c>
      <c r="D66" s="23" t="s">
        <v>1388</v>
      </c>
      <c r="E66" s="23" t="s">
        <v>1389</v>
      </c>
      <c r="F66" s="19"/>
    </row>
    <row r="67" ht="14.25" customHeight="1" spans="1:6" x14ac:dyDescent="0.25">
      <c r="A67" s="19">
        <v>31002</v>
      </c>
      <c r="B67" s="23" t="s">
        <v>1386</v>
      </c>
      <c r="C67" s="23" t="s">
        <v>1387</v>
      </c>
      <c r="D67" s="23" t="s">
        <v>1388</v>
      </c>
      <c r="E67" s="23" t="s">
        <v>1389</v>
      </c>
      <c r="F67" s="19"/>
    </row>
    <row r="68" ht="14.25" customHeight="1" spans="1:6" x14ac:dyDescent="0.25">
      <c r="A68" s="19">
        <v>31003</v>
      </c>
      <c r="B68" s="23" t="s">
        <v>1386</v>
      </c>
      <c r="C68" s="23" t="s">
        <v>1387</v>
      </c>
      <c r="D68" s="23" t="s">
        <v>1388</v>
      </c>
      <c r="E68" s="23" t="s">
        <v>1389</v>
      </c>
      <c r="F68" s="19"/>
    </row>
    <row r="69" ht="14.25" customHeight="1" spans="1:6" x14ac:dyDescent="0.25">
      <c r="A69" s="19">
        <v>31004</v>
      </c>
      <c r="B69" s="23" t="s">
        <v>1386</v>
      </c>
      <c r="C69" s="23" t="s">
        <v>1387</v>
      </c>
      <c r="D69" s="23" t="s">
        <v>1388</v>
      </c>
      <c r="E69" s="23" t="s">
        <v>1389</v>
      </c>
      <c r="F69" s="19"/>
    </row>
    <row r="70" ht="14.25" customHeight="1" spans="1:6" x14ac:dyDescent="0.25">
      <c r="A70" s="19">
        <v>31005</v>
      </c>
      <c r="B70" s="23" t="s">
        <v>1386</v>
      </c>
      <c r="C70" s="23" t="s">
        <v>1387</v>
      </c>
      <c r="D70" s="23" t="s">
        <v>1388</v>
      </c>
      <c r="E70" s="23" t="s">
        <v>1389</v>
      </c>
      <c r="F70" s="19"/>
    </row>
    <row r="71" ht="14.25" customHeight="1" spans="1:6" x14ac:dyDescent="0.25">
      <c r="A71" s="19">
        <v>31006</v>
      </c>
      <c r="B71" s="23" t="s">
        <v>1386</v>
      </c>
      <c r="C71" s="23" t="s">
        <v>1387</v>
      </c>
      <c r="D71" s="23" t="s">
        <v>1388</v>
      </c>
      <c r="E71" s="23" t="s">
        <v>1389</v>
      </c>
      <c r="F71" s="19"/>
    </row>
    <row r="72" ht="14.25" customHeight="1" spans="1:6" x14ac:dyDescent="0.25">
      <c r="A72" s="19">
        <v>31007</v>
      </c>
      <c r="B72" s="23" t="s">
        <v>1386</v>
      </c>
      <c r="C72" s="23" t="s">
        <v>1387</v>
      </c>
      <c r="D72" s="23" t="s">
        <v>1388</v>
      </c>
      <c r="E72" s="23" t="s">
        <v>1389</v>
      </c>
      <c r="F72" s="19"/>
    </row>
    <row r="73" ht="14.25" customHeight="1" spans="1:6" x14ac:dyDescent="0.25">
      <c r="A73" s="19">
        <v>31008</v>
      </c>
      <c r="B73" s="23" t="s">
        <v>1386</v>
      </c>
      <c r="C73" s="23" t="s">
        <v>1387</v>
      </c>
      <c r="D73" s="23" t="s">
        <v>1388</v>
      </c>
      <c r="E73" s="23" t="s">
        <v>1389</v>
      </c>
      <c r="F73" s="19"/>
    </row>
    <row r="74" ht="14.25" customHeight="1" spans="1:6" x14ac:dyDescent="0.25">
      <c r="A74" s="19">
        <v>31009</v>
      </c>
      <c r="B74" s="23" t="s">
        <v>1386</v>
      </c>
      <c r="C74" s="23" t="s">
        <v>1387</v>
      </c>
      <c r="D74" s="23" t="s">
        <v>1388</v>
      </c>
      <c r="E74" s="23" t="s">
        <v>1389</v>
      </c>
      <c r="F74" s="19"/>
    </row>
    <row r="75" ht="14.25" customHeight="1" spans="1:6" x14ac:dyDescent="0.25">
      <c r="A75" s="19">
        <v>31010</v>
      </c>
      <c r="B75" s="23" t="s">
        <v>1386</v>
      </c>
      <c r="C75" s="23" t="s">
        <v>1387</v>
      </c>
      <c r="D75" s="23" t="s">
        <v>1388</v>
      </c>
      <c r="E75" s="23" t="s">
        <v>1389</v>
      </c>
      <c r="F75" s="19"/>
    </row>
    <row r="76" ht="14.25" customHeight="1" spans="1:6" x14ac:dyDescent="0.25">
      <c r="A76" s="19">
        <v>31011</v>
      </c>
      <c r="B76" s="23" t="s">
        <v>1386</v>
      </c>
      <c r="C76" s="23" t="s">
        <v>1387</v>
      </c>
      <c r="D76" s="23" t="s">
        <v>1388</v>
      </c>
      <c r="E76" s="23" t="s">
        <v>1389</v>
      </c>
      <c r="F76" s="19"/>
    </row>
    <row r="77" ht="14.25" customHeight="1" spans="1:6" x14ac:dyDescent="0.25">
      <c r="A77" s="19">
        <v>32001</v>
      </c>
      <c r="B77" s="23" t="s">
        <v>1386</v>
      </c>
      <c r="C77" s="23" t="s">
        <v>1387</v>
      </c>
      <c r="D77" s="23" t="s">
        <v>1388</v>
      </c>
      <c r="E77" s="23" t="s">
        <v>1389</v>
      </c>
      <c r="F77" s="19"/>
    </row>
    <row r="78" ht="14.25" customHeight="1" spans="1:6" x14ac:dyDescent="0.25">
      <c r="A78" s="19">
        <v>32002</v>
      </c>
      <c r="B78" s="23" t="s">
        <v>1386</v>
      </c>
      <c r="C78" s="23" t="s">
        <v>1387</v>
      </c>
      <c r="D78" s="23" t="s">
        <v>1388</v>
      </c>
      <c r="E78" s="23" t="s">
        <v>1389</v>
      </c>
      <c r="F78" s="19"/>
    </row>
    <row r="79" ht="14.25" customHeight="1" spans="1:6" x14ac:dyDescent="0.25">
      <c r="A79" s="19">
        <v>32003</v>
      </c>
      <c r="B79" s="23" t="s">
        <v>1386</v>
      </c>
      <c r="C79" s="23" t="s">
        <v>1387</v>
      </c>
      <c r="D79" s="23" t="s">
        <v>1388</v>
      </c>
      <c r="E79" s="23" t="s">
        <v>1389</v>
      </c>
      <c r="F79" s="19"/>
    </row>
    <row r="80" ht="14.25" customHeight="1" spans="1:6" x14ac:dyDescent="0.25">
      <c r="A80" s="19">
        <v>32004</v>
      </c>
      <c r="B80" s="23" t="s">
        <v>1386</v>
      </c>
      <c r="C80" s="23" t="s">
        <v>1387</v>
      </c>
      <c r="D80" s="23" t="s">
        <v>1388</v>
      </c>
      <c r="E80" s="23" t="s">
        <v>1389</v>
      </c>
      <c r="F80" s="19"/>
    </row>
    <row r="81" ht="14.25" customHeight="1" spans="1:6" x14ac:dyDescent="0.25">
      <c r="A81" s="19">
        <v>32005</v>
      </c>
      <c r="B81" s="23" t="s">
        <v>1386</v>
      </c>
      <c r="C81" s="23" t="s">
        <v>1387</v>
      </c>
      <c r="D81" s="23" t="s">
        <v>1388</v>
      </c>
      <c r="E81" s="23" t="s">
        <v>1389</v>
      </c>
      <c r="F81" s="19"/>
    </row>
    <row r="82" ht="14.25" customHeight="1" spans="1:6" x14ac:dyDescent="0.25">
      <c r="A82" s="19">
        <v>32006</v>
      </c>
      <c r="B82" s="23" t="s">
        <v>1386</v>
      </c>
      <c r="C82" s="23" t="s">
        <v>1387</v>
      </c>
      <c r="D82" s="23" t="s">
        <v>1388</v>
      </c>
      <c r="E82" s="23" t="s">
        <v>1389</v>
      </c>
      <c r="F82" s="19"/>
    </row>
    <row r="83" ht="14.25" customHeight="1" spans="1:6" x14ac:dyDescent="0.25">
      <c r="A83" s="19">
        <v>32007</v>
      </c>
      <c r="B83" s="23" t="s">
        <v>1386</v>
      </c>
      <c r="C83" s="23" t="s">
        <v>1387</v>
      </c>
      <c r="D83" s="23" t="s">
        <v>1388</v>
      </c>
      <c r="E83" s="23" t="s">
        <v>1389</v>
      </c>
      <c r="F83" s="19"/>
    </row>
    <row r="84" ht="14.25" customHeight="1" spans="1:6" x14ac:dyDescent="0.25">
      <c r="A84" s="19">
        <v>32008</v>
      </c>
      <c r="B84" s="23" t="s">
        <v>1386</v>
      </c>
      <c r="C84" s="23" t="s">
        <v>1387</v>
      </c>
      <c r="D84" s="23" t="s">
        <v>1388</v>
      </c>
      <c r="E84" s="23" t="s">
        <v>1389</v>
      </c>
      <c r="F84" s="19"/>
    </row>
    <row r="85" ht="14.25" customHeight="1" spans="1:6" x14ac:dyDescent="0.25">
      <c r="A85" s="19">
        <v>32009</v>
      </c>
      <c r="B85" s="23" t="s">
        <v>1386</v>
      </c>
      <c r="C85" s="23" t="s">
        <v>1387</v>
      </c>
      <c r="D85" s="23" t="s">
        <v>1388</v>
      </c>
      <c r="E85" s="23" t="s">
        <v>1389</v>
      </c>
      <c r="F85" s="19"/>
    </row>
    <row r="86" ht="14.25" customHeight="1" spans="1:6" x14ac:dyDescent="0.25">
      <c r="A86" s="19">
        <v>32010</v>
      </c>
      <c r="B86" s="23" t="s">
        <v>1386</v>
      </c>
      <c r="C86" s="23" t="s">
        <v>1387</v>
      </c>
      <c r="D86" s="23" t="s">
        <v>1388</v>
      </c>
      <c r="E86" s="23" t="s">
        <v>1389</v>
      </c>
      <c r="F86" s="19"/>
    </row>
    <row r="87" ht="14.25" customHeight="1" spans="1:6" x14ac:dyDescent="0.25">
      <c r="A87" s="19">
        <v>32011</v>
      </c>
      <c r="B87" s="23" t="s">
        <v>1386</v>
      </c>
      <c r="C87" s="23" t="s">
        <v>1387</v>
      </c>
      <c r="D87" s="23" t="s">
        <v>1388</v>
      </c>
      <c r="E87" s="23" t="s">
        <v>1389</v>
      </c>
      <c r="F87" s="19"/>
    </row>
    <row r="88" ht="14.25" customHeight="1" spans="1:5" x14ac:dyDescent="0.25">
      <c r="A88" s="19">
        <v>33001</v>
      </c>
      <c r="B88" s="23" t="s">
        <v>1386</v>
      </c>
      <c r="C88" s="23" t="s">
        <v>1387</v>
      </c>
      <c r="D88" s="23" t="s">
        <v>1388</v>
      </c>
      <c r="E88" s="23" t="s">
        <v>1389</v>
      </c>
    </row>
    <row r="89" ht="14.25" customHeight="1" spans="1:5" x14ac:dyDescent="0.25">
      <c r="A89" s="19">
        <v>33002</v>
      </c>
      <c r="B89" s="23" t="s">
        <v>1386</v>
      </c>
      <c r="C89" s="23" t="s">
        <v>1387</v>
      </c>
      <c r="D89" s="23" t="s">
        <v>1388</v>
      </c>
      <c r="E89" s="23" t="s">
        <v>1389</v>
      </c>
    </row>
    <row r="90" ht="14.25" customHeight="1" spans="1:5" x14ac:dyDescent="0.25">
      <c r="A90" s="19">
        <v>33003</v>
      </c>
      <c r="B90" s="23" t="s">
        <v>1386</v>
      </c>
      <c r="C90" s="23" t="s">
        <v>1387</v>
      </c>
      <c r="D90" s="23" t="s">
        <v>1388</v>
      </c>
      <c r="E90" s="23" t="s">
        <v>1389</v>
      </c>
    </row>
    <row r="91" ht="14.25" customHeight="1" spans="1:5" x14ac:dyDescent="0.25">
      <c r="A91" s="19">
        <v>33004</v>
      </c>
      <c r="B91" s="23" t="s">
        <v>1386</v>
      </c>
      <c r="C91" s="23" t="s">
        <v>1387</v>
      </c>
      <c r="D91" s="23" t="s">
        <v>1388</v>
      </c>
      <c r="E91" s="23" t="s">
        <v>1389</v>
      </c>
    </row>
    <row r="92" ht="14.25" customHeight="1" spans="1:5" x14ac:dyDescent="0.25">
      <c r="A92" s="19">
        <v>33005</v>
      </c>
      <c r="B92" s="23" t="s">
        <v>1386</v>
      </c>
      <c r="C92" s="23" t="s">
        <v>1387</v>
      </c>
      <c r="D92" s="23" t="s">
        <v>1388</v>
      </c>
      <c r="E92" s="23" t="s">
        <v>1389</v>
      </c>
    </row>
    <row r="93" ht="14.25" customHeight="1" spans="1:5" x14ac:dyDescent="0.25">
      <c r="A93" s="19">
        <v>33006</v>
      </c>
      <c r="B93" s="23" t="s">
        <v>1386</v>
      </c>
      <c r="C93" s="23" t="s">
        <v>1387</v>
      </c>
      <c r="D93" s="23" t="s">
        <v>1388</v>
      </c>
      <c r="E93" s="23" t="s">
        <v>1389</v>
      </c>
    </row>
    <row r="94" ht="14.25" customHeight="1" spans="1:5" x14ac:dyDescent="0.25">
      <c r="A94" s="19">
        <v>33007</v>
      </c>
      <c r="B94" s="23" t="s">
        <v>1386</v>
      </c>
      <c r="C94" s="23" t="s">
        <v>1387</v>
      </c>
      <c r="D94" s="23" t="s">
        <v>1388</v>
      </c>
      <c r="E94" s="23" t="s">
        <v>1389</v>
      </c>
    </row>
    <row r="95" ht="14.25" customHeight="1" spans="1:5" x14ac:dyDescent="0.25">
      <c r="A95" s="19">
        <v>33008</v>
      </c>
      <c r="B95" s="23" t="s">
        <v>1386</v>
      </c>
      <c r="C95" s="23" t="s">
        <v>1387</v>
      </c>
      <c r="D95" s="23" t="s">
        <v>1388</v>
      </c>
      <c r="E95" s="23" t="s">
        <v>1389</v>
      </c>
    </row>
    <row r="96" ht="14.25" customHeight="1" spans="1:5" x14ac:dyDescent="0.25">
      <c r="A96" s="19">
        <v>33009</v>
      </c>
      <c r="B96" s="23" t="s">
        <v>1386</v>
      </c>
      <c r="C96" s="23" t="s">
        <v>1387</v>
      </c>
      <c r="D96" s="23" t="s">
        <v>1388</v>
      </c>
      <c r="E96" s="23" t="s">
        <v>1389</v>
      </c>
    </row>
    <row r="97" ht="14.25" customHeight="1" spans="1:5" x14ac:dyDescent="0.25">
      <c r="A97" s="19">
        <v>33010</v>
      </c>
      <c r="B97" s="23" t="s">
        <v>1386</v>
      </c>
      <c r="C97" s="23" t="s">
        <v>1387</v>
      </c>
      <c r="D97" s="23" t="s">
        <v>1388</v>
      </c>
      <c r="E97" s="23" t="s">
        <v>1389</v>
      </c>
    </row>
    <row r="98" ht="14.25" customHeight="1" spans="1:5" x14ac:dyDescent="0.25">
      <c r="A98" s="19">
        <v>33011</v>
      </c>
      <c r="B98" s="23" t="s">
        <v>1386</v>
      </c>
      <c r="C98" s="23" t="s">
        <v>1387</v>
      </c>
      <c r="D98" s="23" t="s">
        <v>1388</v>
      </c>
      <c r="E98" s="23" t="s">
        <v>1389</v>
      </c>
    </row>
    <row r="99" ht="14.25" customHeight="1" spans="1:5" x14ac:dyDescent="0.25">
      <c r="A99" s="19">
        <v>34001</v>
      </c>
      <c r="B99" s="23" t="s">
        <v>1386</v>
      </c>
      <c r="C99" s="23" t="s">
        <v>1387</v>
      </c>
      <c r="D99" s="23" t="s">
        <v>1388</v>
      </c>
      <c r="E99" s="23" t="s">
        <v>1389</v>
      </c>
    </row>
    <row r="100" ht="14.25" customHeight="1" spans="1:5" x14ac:dyDescent="0.25">
      <c r="A100" s="19">
        <v>34002</v>
      </c>
      <c r="B100" s="23" t="s">
        <v>1386</v>
      </c>
      <c r="C100" s="23" t="s">
        <v>1387</v>
      </c>
      <c r="D100" s="23" t="s">
        <v>1388</v>
      </c>
      <c r="E100" s="23" t="s">
        <v>1389</v>
      </c>
    </row>
    <row r="101" ht="14.25" customHeight="1" spans="1:5" x14ac:dyDescent="0.25">
      <c r="A101" s="19">
        <v>34003</v>
      </c>
      <c r="B101" s="23" t="s">
        <v>1386</v>
      </c>
      <c r="C101" s="23" t="s">
        <v>1387</v>
      </c>
      <c r="D101" s="23" t="s">
        <v>1388</v>
      </c>
      <c r="E101" s="23" t="s">
        <v>1389</v>
      </c>
    </row>
    <row r="102" ht="14.25" customHeight="1" spans="1:5" x14ac:dyDescent="0.25">
      <c r="A102" s="19">
        <v>34004</v>
      </c>
      <c r="B102" s="23" t="s">
        <v>1386</v>
      </c>
      <c r="C102" s="23" t="s">
        <v>1387</v>
      </c>
      <c r="D102" s="23" t="s">
        <v>1388</v>
      </c>
      <c r="E102" s="23" t="s">
        <v>1389</v>
      </c>
    </row>
    <row r="103" ht="14.25" customHeight="1" spans="1:5" x14ac:dyDescent="0.25">
      <c r="A103" s="19">
        <v>34005</v>
      </c>
      <c r="B103" s="23" t="s">
        <v>1386</v>
      </c>
      <c r="C103" s="23" t="s">
        <v>1387</v>
      </c>
      <c r="D103" s="23" t="s">
        <v>1388</v>
      </c>
      <c r="E103" s="23" t="s">
        <v>1389</v>
      </c>
    </row>
    <row r="104" ht="14.25" customHeight="1" spans="1:5" x14ac:dyDescent="0.25">
      <c r="A104" s="19">
        <v>34006</v>
      </c>
      <c r="B104" s="23" t="s">
        <v>1386</v>
      </c>
      <c r="C104" s="23" t="s">
        <v>1387</v>
      </c>
      <c r="D104" s="23" t="s">
        <v>1388</v>
      </c>
      <c r="E104" s="23" t="s">
        <v>1389</v>
      </c>
    </row>
    <row r="105" ht="14.25" customHeight="1" spans="1:5" x14ac:dyDescent="0.25">
      <c r="A105" s="19">
        <v>34007</v>
      </c>
      <c r="B105" s="23" t="s">
        <v>1386</v>
      </c>
      <c r="C105" s="23" t="s">
        <v>1387</v>
      </c>
      <c r="D105" s="23" t="s">
        <v>1388</v>
      </c>
      <c r="E105" s="23" t="s">
        <v>1389</v>
      </c>
    </row>
    <row r="106" ht="14.25" customHeight="1" spans="1:5" x14ac:dyDescent="0.25">
      <c r="A106" s="19">
        <v>34008</v>
      </c>
      <c r="B106" s="23" t="s">
        <v>1386</v>
      </c>
      <c r="C106" s="23" t="s">
        <v>1387</v>
      </c>
      <c r="D106" s="23" t="s">
        <v>1388</v>
      </c>
      <c r="E106" s="23" t="s">
        <v>1389</v>
      </c>
    </row>
    <row r="107" ht="14.25" customHeight="1" spans="1:5" x14ac:dyDescent="0.25">
      <c r="A107" s="19">
        <v>34009</v>
      </c>
      <c r="B107" s="23" t="s">
        <v>1386</v>
      </c>
      <c r="C107" s="23" t="s">
        <v>1387</v>
      </c>
      <c r="D107" s="23" t="s">
        <v>1388</v>
      </c>
      <c r="E107" s="23" t="s">
        <v>1389</v>
      </c>
    </row>
    <row r="108" ht="14.25" customHeight="1" spans="1:5" x14ac:dyDescent="0.25">
      <c r="A108" s="19">
        <v>34010</v>
      </c>
      <c r="B108" s="23" t="s">
        <v>1386</v>
      </c>
      <c r="C108" s="23" t="s">
        <v>1387</v>
      </c>
      <c r="D108" s="23" t="s">
        <v>1388</v>
      </c>
      <c r="E108" s="23" t="s">
        <v>1389</v>
      </c>
    </row>
    <row r="109" ht="14.25" customHeight="1" spans="1:5" x14ac:dyDescent="0.25">
      <c r="A109" s="19">
        <v>34011</v>
      </c>
      <c r="B109" s="23" t="s">
        <v>1386</v>
      </c>
      <c r="C109" s="23" t="s">
        <v>1387</v>
      </c>
      <c r="D109" s="23" t="s">
        <v>1388</v>
      </c>
      <c r="E109" s="23" t="s">
        <v>1389</v>
      </c>
    </row>
    <row r="110" ht="14.25" customHeight="1" spans="1:5" x14ac:dyDescent="0.25">
      <c r="A110" s="19">
        <v>35001</v>
      </c>
      <c r="B110" s="23" t="s">
        <v>1386</v>
      </c>
      <c r="C110" s="23" t="s">
        <v>1387</v>
      </c>
      <c r="D110" s="23" t="s">
        <v>1388</v>
      </c>
      <c r="E110" s="23" t="s">
        <v>1389</v>
      </c>
    </row>
    <row r="111" ht="14.25" customHeight="1" spans="1:5" x14ac:dyDescent="0.25">
      <c r="A111" s="19">
        <v>35002</v>
      </c>
      <c r="B111" s="23" t="s">
        <v>1386</v>
      </c>
      <c r="C111" s="23" t="s">
        <v>1387</v>
      </c>
      <c r="D111" s="23" t="s">
        <v>1388</v>
      </c>
      <c r="E111" s="23" t="s">
        <v>1389</v>
      </c>
    </row>
    <row r="112" ht="14.25" customHeight="1" spans="1:5" x14ac:dyDescent="0.25">
      <c r="A112" s="19">
        <v>35003</v>
      </c>
      <c r="B112" s="23" t="s">
        <v>1386</v>
      </c>
      <c r="C112" s="23" t="s">
        <v>1387</v>
      </c>
      <c r="D112" s="23" t="s">
        <v>1388</v>
      </c>
      <c r="E112" s="23" t="s">
        <v>1389</v>
      </c>
    </row>
    <row r="113" ht="14.25" customHeight="1" spans="1:5" x14ac:dyDescent="0.25">
      <c r="A113" s="19">
        <v>35004</v>
      </c>
      <c r="B113" s="23" t="s">
        <v>1386</v>
      </c>
      <c r="C113" s="23" t="s">
        <v>1387</v>
      </c>
      <c r="D113" s="23" t="s">
        <v>1388</v>
      </c>
      <c r="E113" s="23" t="s">
        <v>1389</v>
      </c>
    </row>
    <row r="114" ht="14.25" customHeight="1" spans="1:5" x14ac:dyDescent="0.25">
      <c r="A114" s="19">
        <v>35005</v>
      </c>
      <c r="B114" s="23" t="s">
        <v>1386</v>
      </c>
      <c r="C114" s="23" t="s">
        <v>1387</v>
      </c>
      <c r="D114" s="23" t="s">
        <v>1388</v>
      </c>
      <c r="E114" s="23" t="s">
        <v>1389</v>
      </c>
    </row>
    <row r="115" ht="14.25" customHeight="1" spans="1:5" x14ac:dyDescent="0.25">
      <c r="A115" s="19">
        <v>35006</v>
      </c>
      <c r="B115" s="23" t="s">
        <v>1386</v>
      </c>
      <c r="C115" s="23" t="s">
        <v>1387</v>
      </c>
      <c r="D115" s="23" t="s">
        <v>1388</v>
      </c>
      <c r="E115" s="23" t="s">
        <v>1389</v>
      </c>
    </row>
    <row r="116" ht="14.25" customHeight="1" spans="1:5" x14ac:dyDescent="0.25">
      <c r="A116" s="19">
        <v>35007</v>
      </c>
      <c r="B116" s="23" t="s">
        <v>1386</v>
      </c>
      <c r="C116" s="23" t="s">
        <v>1387</v>
      </c>
      <c r="D116" s="23" t="s">
        <v>1388</v>
      </c>
      <c r="E116" s="23" t="s">
        <v>1389</v>
      </c>
    </row>
    <row r="117" ht="14.25" customHeight="1" spans="1:5" x14ac:dyDescent="0.25">
      <c r="A117" s="19">
        <v>35008</v>
      </c>
      <c r="B117" s="23" t="s">
        <v>1386</v>
      </c>
      <c r="C117" s="23" t="s">
        <v>1387</v>
      </c>
      <c r="D117" s="23" t="s">
        <v>1388</v>
      </c>
      <c r="E117" s="23" t="s">
        <v>1389</v>
      </c>
    </row>
    <row r="118" ht="14.25" customHeight="1" spans="1:5" x14ac:dyDescent="0.25">
      <c r="A118" s="19">
        <v>35009</v>
      </c>
      <c r="B118" s="23" t="s">
        <v>1386</v>
      </c>
      <c r="C118" s="23" t="s">
        <v>1387</v>
      </c>
      <c r="D118" s="23" t="s">
        <v>1388</v>
      </c>
      <c r="E118" s="23" t="s">
        <v>1389</v>
      </c>
    </row>
    <row r="119" ht="14.25" customHeight="1" spans="1:5" x14ac:dyDescent="0.25">
      <c r="A119" s="19">
        <v>35010</v>
      </c>
      <c r="B119" s="23" t="s">
        <v>1386</v>
      </c>
      <c r="C119" s="23" t="s">
        <v>1387</v>
      </c>
      <c r="D119" s="23" t="s">
        <v>1388</v>
      </c>
      <c r="E119" s="23" t="s">
        <v>1389</v>
      </c>
    </row>
    <row r="120" ht="14.25" customHeight="1" spans="1:5" x14ac:dyDescent="0.25">
      <c r="A120" s="19">
        <v>35011</v>
      </c>
      <c r="B120" s="23" t="s">
        <v>1386</v>
      </c>
      <c r="C120" s="23" t="s">
        <v>1387</v>
      </c>
      <c r="D120" s="23" t="s">
        <v>1388</v>
      </c>
      <c r="E120" s="23" t="s">
        <v>1389</v>
      </c>
    </row>
    <row r="121" ht="14.25" customHeight="1" spans="1:1" x14ac:dyDescent="0.25">
      <c r="A121" s="19"/>
    </row>
    <row r="122" ht="14.25" customHeight="1" spans="1:1" x14ac:dyDescent="0.25">
      <c r="A122" s="19"/>
    </row>
    <row r="123" ht="14.25" customHeight="1" spans="1:1" x14ac:dyDescent="0.25">
      <c r="A123" s="19"/>
    </row>
    <row r="124" ht="14.25" customHeight="1" spans="1:1" x14ac:dyDescent="0.25">
      <c r="A124" s="19"/>
    </row>
    <row r="125" ht="14.25" customHeight="1" spans="1:1" x14ac:dyDescent="0.25">
      <c r="A125" s="19"/>
    </row>
    <row r="126" ht="14.25" customHeight="1" spans="1:1" x14ac:dyDescent="0.25">
      <c r="A126" s="19"/>
    </row>
    <row r="127" ht="14.25" customHeight="1" spans="1:1" x14ac:dyDescent="0.25">
      <c r="A127" s="19"/>
    </row>
    <row r="128" ht="14.25" customHeight="1" spans="1:1" x14ac:dyDescent="0.25">
      <c r="A128" s="62"/>
    </row>
    <row r="129" ht="14.25" customHeight="1" spans="1:1" x14ac:dyDescent="0.25">
      <c r="A129" s="57"/>
    </row>
    <row r="130" ht="14.25" customHeight="1" spans="1:1" x14ac:dyDescent="0.25">
      <c r="A130" s="57"/>
    </row>
    <row r="131" ht="14.25" customHeight="1" spans="1:1" x14ac:dyDescent="0.25">
      <c r="A131" s="57"/>
    </row>
    <row r="132" ht="14.25" customHeight="1" spans="1:1" x14ac:dyDescent="0.25">
      <c r="A132" s="57"/>
    </row>
    <row r="133" ht="14.25" customHeight="1" spans="1:1" x14ac:dyDescent="0.25">
      <c r="A133" s="57"/>
    </row>
    <row r="134" ht="14.25" customHeight="1" spans="1:1" x14ac:dyDescent="0.25">
      <c r="A134" s="57"/>
    </row>
    <row r="135" ht="14.25" customHeight="1" spans="1:1" x14ac:dyDescent="0.25">
      <c r="A135" s="57"/>
    </row>
    <row r="136" ht="14.25" customHeight="1" spans="1:1" x14ac:dyDescent="0.25">
      <c r="A136" s="57"/>
    </row>
    <row r="137" ht="14.25" customHeight="1" spans="1:1" x14ac:dyDescent="0.25">
      <c r="A137" s="57"/>
    </row>
    <row r="138" ht="14.25" customHeight="1" spans="1:1" x14ac:dyDescent="0.25">
      <c r="A138" s="57"/>
    </row>
    <row r="139" ht="14.25" customHeight="1" spans="1:1" x14ac:dyDescent="0.25">
      <c r="A139" s="57"/>
    </row>
    <row r="140" ht="14.25" customHeight="1" spans="1:1" x14ac:dyDescent="0.25">
      <c r="A140" s="57"/>
    </row>
    <row r="141" ht="14.25" customHeight="1" spans="1:1" x14ac:dyDescent="0.25">
      <c r="A141" s="57"/>
    </row>
    <row r="142" ht="14.25" customHeight="1" spans="1:1" x14ac:dyDescent="0.25">
      <c r="A142" s="57"/>
    </row>
    <row r="143" ht="14.25" customHeight="1" spans="1:1" x14ac:dyDescent="0.25">
      <c r="A143" s="57"/>
    </row>
    <row r="144" ht="14.25" customHeight="1" spans="1:1" x14ac:dyDescent="0.25">
      <c r="A144" s="57"/>
    </row>
    <row r="145" ht="14.25" customHeight="1" spans="1:1" x14ac:dyDescent="0.25">
      <c r="A145" s="57"/>
    </row>
    <row r="146" ht="14.25" customHeight="1" spans="1:1" x14ac:dyDescent="0.25">
      <c r="A146" s="57"/>
    </row>
    <row r="147" ht="14.25" customHeight="1" spans="1:1" x14ac:dyDescent="0.25">
      <c r="A147" s="57"/>
    </row>
    <row r="148" ht="14.25" customHeight="1" spans="1:1" x14ac:dyDescent="0.25">
      <c r="A148" s="57"/>
    </row>
    <row r="149" ht="14.25" customHeight="1" spans="1:1" x14ac:dyDescent="0.25">
      <c r="A149" s="57"/>
    </row>
    <row r="150" ht="14.25" customHeight="1" spans="1:1" x14ac:dyDescent="0.25">
      <c r="A150" s="57"/>
    </row>
    <row r="151" ht="14.25" customHeight="1" spans="1:1" x14ac:dyDescent="0.25">
      <c r="A151" s="57"/>
    </row>
    <row r="152" ht="14.25" customHeight="1" spans="1:1" x14ac:dyDescent="0.25">
      <c r="A152" s="57"/>
    </row>
    <row r="153" ht="14.25" customHeight="1" spans="1:1" x14ac:dyDescent="0.25">
      <c r="A153" s="57"/>
    </row>
    <row r="154" ht="14.25" customHeight="1" spans="1:1" x14ac:dyDescent="0.25">
      <c r="A154" s="57"/>
    </row>
    <row r="155" ht="14.25" customHeight="1" spans="1:1" x14ac:dyDescent="0.25">
      <c r="A155" s="57"/>
    </row>
    <row r="156" ht="14.25" customHeight="1" spans="1:1" x14ac:dyDescent="0.25">
      <c r="A156" s="57"/>
    </row>
    <row r="157" ht="14.25" customHeight="1" spans="1:1" x14ac:dyDescent="0.25">
      <c r="A157" s="57"/>
    </row>
    <row r="158" ht="14.25" customHeight="1" spans="1:1" x14ac:dyDescent="0.25">
      <c r="A158" s="57"/>
    </row>
    <row r="159" ht="14.25" customHeight="1" spans="1:1" x14ac:dyDescent="0.25">
      <c r="A159" s="57"/>
    </row>
    <row r="160" ht="14.25" customHeight="1" spans="1:1" x14ac:dyDescent="0.25">
      <c r="A160" s="57"/>
    </row>
    <row r="161" ht="14.25" customHeight="1" spans="1:1" x14ac:dyDescent="0.25">
      <c r="A161" s="57"/>
    </row>
    <row r="162" ht="14.25" customHeight="1" spans="1:1" x14ac:dyDescent="0.25">
      <c r="A162" s="57"/>
    </row>
    <row r="163" ht="14.25" customHeight="1" spans="1:1" x14ac:dyDescent="0.25">
      <c r="A163" s="57"/>
    </row>
    <row r="164" ht="14.25" customHeight="1" spans="1:1" x14ac:dyDescent="0.25">
      <c r="A164" s="57"/>
    </row>
    <row r="165" ht="14.25" customHeight="1" spans="1:1" x14ac:dyDescent="0.25">
      <c r="A165" s="57"/>
    </row>
    <row r="166" ht="14.25" customHeight="1" spans="1:1" x14ac:dyDescent="0.25">
      <c r="A166" s="57"/>
    </row>
    <row r="167" ht="14.25" customHeight="1" spans="1:1" x14ac:dyDescent="0.25">
      <c r="A167" s="57"/>
    </row>
    <row r="168" ht="14.25" customHeight="1" spans="1:1" x14ac:dyDescent="0.25">
      <c r="A168" s="57"/>
    </row>
    <row r="169" ht="14.25" customHeight="1" spans="1:1" x14ac:dyDescent="0.25">
      <c r="A169" s="57"/>
    </row>
    <row r="170" ht="14.25" customHeight="1" spans="1:1" x14ac:dyDescent="0.25">
      <c r="A170" s="57"/>
    </row>
    <row r="171" ht="14.25" customHeight="1" spans="1:1" x14ac:dyDescent="0.25">
      <c r="A171" s="57"/>
    </row>
    <row r="172" ht="14.25" customHeight="1" spans="1:1" x14ac:dyDescent="0.25">
      <c r="A172" s="57"/>
    </row>
    <row r="173" ht="14.25" customHeight="1" spans="1:1" x14ac:dyDescent="0.25">
      <c r="A173" s="57"/>
    </row>
    <row r="174" ht="14.25" customHeight="1" spans="1:1" x14ac:dyDescent="0.25">
      <c r="A174" s="57"/>
    </row>
    <row r="175" ht="14.25" customHeight="1" spans="1:1" x14ac:dyDescent="0.25">
      <c r="A175" s="57"/>
    </row>
    <row r="176" ht="14.25" customHeight="1" spans="1:1" x14ac:dyDescent="0.25">
      <c r="A176" s="57"/>
    </row>
    <row r="177" ht="14.25" customHeight="1" spans="1:1" x14ac:dyDescent="0.25">
      <c r="A177" s="57"/>
    </row>
    <row r="178" ht="14.25" customHeight="1" spans="1:1" x14ac:dyDescent="0.25">
      <c r="A178" s="57"/>
    </row>
    <row r="179" ht="14.25" customHeight="1" spans="1:1" x14ac:dyDescent="0.25">
      <c r="A179" s="57"/>
    </row>
    <row r="180" ht="14.25" customHeight="1" spans="1:1" x14ac:dyDescent="0.25">
      <c r="A180" s="57"/>
    </row>
    <row r="181" ht="14.25" customHeight="1" spans="1:1" x14ac:dyDescent="0.25">
      <c r="A181" s="57"/>
    </row>
    <row r="182" ht="14.25" customHeight="1" spans="1:1" x14ac:dyDescent="0.25">
      <c r="A182" s="57"/>
    </row>
    <row r="183" ht="14.25" customHeight="1" spans="1:1" x14ac:dyDescent="0.25">
      <c r="A183" s="57"/>
    </row>
    <row r="184" ht="14.25" customHeight="1" spans="1:1" x14ac:dyDescent="0.25">
      <c r="A184" s="57"/>
    </row>
    <row r="185" ht="14.25" customHeight="1" spans="1:1" x14ac:dyDescent="0.25">
      <c r="A185" s="57"/>
    </row>
    <row r="186" ht="14.25" customHeight="1" spans="1:1" x14ac:dyDescent="0.25">
      <c r="A186" s="57"/>
    </row>
    <row r="187" ht="14.25" customHeight="1" spans="1:1" x14ac:dyDescent="0.25">
      <c r="A187" s="57"/>
    </row>
    <row r="188" ht="14.25" customHeight="1" spans="1:1" x14ac:dyDescent="0.25">
      <c r="A188" s="57"/>
    </row>
    <row r="189" ht="14.25" customHeight="1" spans="1:1" x14ac:dyDescent="0.25">
      <c r="A189" s="57"/>
    </row>
    <row r="190" ht="14.25" customHeight="1" spans="1:1" x14ac:dyDescent="0.25">
      <c r="A190" s="57"/>
    </row>
    <row r="191" ht="14.25" customHeight="1" spans="1:1" x14ac:dyDescent="0.25">
      <c r="A191" s="57"/>
    </row>
    <row r="192" ht="14.25" customHeight="1" spans="1:1" x14ac:dyDescent="0.25">
      <c r="A192" s="57"/>
    </row>
    <row r="193" ht="14.25" customHeight="1" spans="1:1" x14ac:dyDescent="0.25">
      <c r="A193" s="57"/>
    </row>
    <row r="194" ht="14.25" customHeight="1" spans="1:1" x14ac:dyDescent="0.25">
      <c r="A194" s="57"/>
    </row>
    <row r="195" ht="14.25" customHeight="1" spans="1:1" x14ac:dyDescent="0.25">
      <c r="A195" s="57"/>
    </row>
    <row r="196" ht="14.25" customHeight="1" spans="1:1" x14ac:dyDescent="0.25">
      <c r="A196" s="57"/>
    </row>
    <row r="197" ht="14.25" customHeight="1" spans="1:1" x14ac:dyDescent="0.25">
      <c r="A197" s="57"/>
    </row>
    <row r="198" ht="14.25" customHeight="1" spans="1:1" x14ac:dyDescent="0.25">
      <c r="A198" s="57"/>
    </row>
    <row r="199" ht="14.25" customHeight="1" spans="1:1" x14ac:dyDescent="0.25">
      <c r="A199" s="57"/>
    </row>
    <row r="200" ht="14.25" customHeight="1" spans="1:1" x14ac:dyDescent="0.25">
      <c r="A200" s="57"/>
    </row>
    <row r="201" ht="14.25" customHeight="1" spans="1:1" x14ac:dyDescent="0.25">
      <c r="A201" s="57"/>
    </row>
    <row r="202" ht="14.25" customHeight="1" spans="1:1" x14ac:dyDescent="0.25">
      <c r="A202" s="57"/>
    </row>
    <row r="203" ht="14.25" customHeight="1" spans="1:1" x14ac:dyDescent="0.25">
      <c r="A203" s="57"/>
    </row>
    <row r="204" ht="14.25" customHeight="1" spans="1:1" x14ac:dyDescent="0.25">
      <c r="A204" s="57"/>
    </row>
    <row r="205" ht="14.25" customHeight="1" spans="1:1" x14ac:dyDescent="0.25">
      <c r="A205" s="57"/>
    </row>
    <row r="206" ht="14.25" customHeight="1" spans="1:1" x14ac:dyDescent="0.25">
      <c r="A206" s="57"/>
    </row>
    <row r="207" ht="14.25" customHeight="1" spans="1:1" x14ac:dyDescent="0.25">
      <c r="A207" s="57"/>
    </row>
    <row r="208" ht="14.25" customHeight="1" spans="1:1" x14ac:dyDescent="0.25">
      <c r="A208" s="57"/>
    </row>
    <row r="209" ht="14.25" customHeight="1" spans="1:1" x14ac:dyDescent="0.25">
      <c r="A209" s="57"/>
    </row>
    <row r="210" ht="14.25" customHeight="1" spans="1:1" x14ac:dyDescent="0.25">
      <c r="A210" s="57"/>
    </row>
    <row r="211" ht="14.25" customHeight="1" spans="1:1" x14ac:dyDescent="0.25">
      <c r="A211" s="57"/>
    </row>
    <row r="212" ht="14.25" customHeight="1" spans="1:1" x14ac:dyDescent="0.25">
      <c r="A212" s="57"/>
    </row>
    <row r="213" ht="14.25" customHeight="1" spans="1:1" x14ac:dyDescent="0.25">
      <c r="A213" s="57"/>
    </row>
    <row r="214" ht="14.25" customHeight="1" spans="1:1" x14ac:dyDescent="0.25">
      <c r="A214" s="57"/>
    </row>
    <row r="215" ht="14.25" customHeight="1" spans="1:1" x14ac:dyDescent="0.25">
      <c r="A215" s="57"/>
    </row>
    <row r="216" ht="14.25" customHeight="1" spans="1:1" x14ac:dyDescent="0.25">
      <c r="A216" s="57"/>
    </row>
    <row r="217" ht="14.25" customHeight="1" spans="1:1" x14ac:dyDescent="0.25">
      <c r="A217" s="57"/>
    </row>
    <row r="218" ht="14.25" customHeight="1" spans="1:1" x14ac:dyDescent="0.25">
      <c r="A218" s="57"/>
    </row>
    <row r="219" ht="14.25" customHeight="1" spans="1:1" x14ac:dyDescent="0.25">
      <c r="A219" s="57"/>
    </row>
    <row r="220" ht="14.25" customHeight="1" spans="1:1" x14ac:dyDescent="0.25">
      <c r="A220" s="57"/>
    </row>
    <row r="221" ht="14.25" customHeight="1" spans="1:1" x14ac:dyDescent="0.25">
      <c r="A221" s="57"/>
    </row>
    <row r="222" ht="14.25" customHeight="1" spans="1:1" x14ac:dyDescent="0.25">
      <c r="A222" s="57"/>
    </row>
    <row r="223" ht="14.25" customHeight="1" spans="1:1" x14ac:dyDescent="0.25">
      <c r="A223" s="57"/>
    </row>
    <row r="224" ht="14.25" customHeight="1" spans="1:1" x14ac:dyDescent="0.25">
      <c r="A224" s="57"/>
    </row>
    <row r="225" ht="14.25" customHeight="1" spans="1:1" x14ac:dyDescent="0.25">
      <c r="A225" s="57"/>
    </row>
    <row r="226" ht="14.25" customHeight="1" spans="1:1" x14ac:dyDescent="0.25">
      <c r="A226" s="57"/>
    </row>
    <row r="227" ht="14.25" customHeight="1" spans="1:1" x14ac:dyDescent="0.25">
      <c r="A227" s="57"/>
    </row>
    <row r="228" ht="14.25" customHeight="1" spans="1:1" x14ac:dyDescent="0.25">
      <c r="A228" s="57"/>
    </row>
    <row r="229" ht="14.25" customHeight="1" spans="1:1" x14ac:dyDescent="0.25">
      <c r="A229" s="57"/>
    </row>
    <row r="230" ht="14.25" customHeight="1" spans="1:1" x14ac:dyDescent="0.25">
      <c r="A230" s="57"/>
    </row>
    <row r="231" ht="14.25" customHeight="1" spans="1:1" x14ac:dyDescent="0.25">
      <c r="A231" s="57"/>
    </row>
    <row r="232" ht="14.25" customHeight="1" spans="1:1" x14ac:dyDescent="0.25">
      <c r="A232" s="57"/>
    </row>
    <row r="233" ht="14.25" customHeight="1" spans="1:1" x14ac:dyDescent="0.25">
      <c r="A233" s="57"/>
    </row>
    <row r="234" ht="14.25" customHeight="1" spans="1:1" x14ac:dyDescent="0.25">
      <c r="A234" s="57"/>
    </row>
    <row r="235" ht="14.25" customHeight="1" spans="1:1" x14ac:dyDescent="0.25">
      <c r="A235" s="57"/>
    </row>
    <row r="236" ht="14.25" customHeight="1" spans="1:1" x14ac:dyDescent="0.25">
      <c r="A236" s="57"/>
    </row>
    <row r="237" ht="14.25" customHeight="1" spans="1:1" x14ac:dyDescent="0.25">
      <c r="A237" s="57"/>
    </row>
    <row r="238" ht="14.25" customHeight="1" spans="1:1" x14ac:dyDescent="0.25">
      <c r="A238" s="57"/>
    </row>
    <row r="239" ht="14.25" customHeight="1" spans="1:1" x14ac:dyDescent="0.25">
      <c r="A239" s="57"/>
    </row>
    <row r="240" ht="14.25" customHeight="1" spans="1:1" x14ac:dyDescent="0.25">
      <c r="A240" s="57"/>
    </row>
    <row r="241" ht="14.25" customHeight="1" spans="1:1" x14ac:dyDescent="0.25">
      <c r="A241" s="57"/>
    </row>
    <row r="242" ht="14.25" customHeight="1" spans="1:1" x14ac:dyDescent="0.25">
      <c r="A242" s="57"/>
    </row>
    <row r="243" ht="14.25" customHeight="1" spans="1:1" x14ac:dyDescent="0.25">
      <c r="A243" s="57"/>
    </row>
    <row r="244" ht="14.25" customHeight="1" spans="1:1" x14ac:dyDescent="0.25">
      <c r="A244" s="57"/>
    </row>
    <row r="245" ht="14.25" customHeight="1" spans="1:1" x14ac:dyDescent="0.25">
      <c r="A245" s="57"/>
    </row>
    <row r="246" ht="14.25" customHeight="1" spans="1:1" x14ac:dyDescent="0.25">
      <c r="A246" s="57"/>
    </row>
    <row r="247" ht="14.25" customHeight="1" spans="1:1" x14ac:dyDescent="0.25">
      <c r="A247" s="57"/>
    </row>
    <row r="248" ht="14.25" customHeight="1" spans="1:1" x14ac:dyDescent="0.25">
      <c r="A248" s="57"/>
    </row>
    <row r="249" ht="14.25" customHeight="1" spans="1:1" x14ac:dyDescent="0.25">
      <c r="A249" s="57"/>
    </row>
    <row r="250" ht="14.25" customHeight="1" spans="1:1" x14ac:dyDescent="0.25">
      <c r="A250" s="57"/>
    </row>
    <row r="251" ht="14.25" customHeight="1" spans="1:1" x14ac:dyDescent="0.25">
      <c r="A251" s="57"/>
    </row>
    <row r="252" ht="14.25" customHeight="1" spans="1:1" x14ac:dyDescent="0.25">
      <c r="A252" s="57"/>
    </row>
    <row r="253" ht="14.25" customHeight="1" spans="1:1" x14ac:dyDescent="0.25">
      <c r="A253" s="57"/>
    </row>
    <row r="254" ht="14.25" customHeight="1" spans="1:1" x14ac:dyDescent="0.25">
      <c r="A254" s="57"/>
    </row>
    <row r="255" ht="14.25" customHeight="1" spans="1:1" x14ac:dyDescent="0.25">
      <c r="A255" s="57"/>
    </row>
    <row r="256" ht="14.25" customHeight="1" spans="1:1" x14ac:dyDescent="0.25">
      <c r="A256" s="57"/>
    </row>
    <row r="257" ht="14.25" customHeight="1" spans="1:1" x14ac:dyDescent="0.25">
      <c r="A257" s="57"/>
    </row>
    <row r="258" ht="14.25" customHeight="1" spans="1:1" x14ac:dyDescent="0.25">
      <c r="A258" s="57"/>
    </row>
    <row r="259" ht="14.25" customHeight="1" spans="1:1" x14ac:dyDescent="0.25">
      <c r="A259" s="57"/>
    </row>
    <row r="260" ht="14.25" customHeight="1" spans="1:1" x14ac:dyDescent="0.25">
      <c r="A260" s="57"/>
    </row>
    <row r="261" ht="14.25" customHeight="1" spans="1:1" x14ac:dyDescent="0.25">
      <c r="A261" s="57"/>
    </row>
    <row r="262" ht="14.25" customHeight="1" spans="1:1" x14ac:dyDescent="0.25">
      <c r="A262" s="57"/>
    </row>
    <row r="263" ht="14.25" customHeight="1" spans="1:1" x14ac:dyDescent="0.25">
      <c r="A263" s="57"/>
    </row>
    <row r="264" ht="14.25" customHeight="1" spans="1:1" x14ac:dyDescent="0.25">
      <c r="A264" s="57"/>
    </row>
    <row r="265" ht="14.25" customHeight="1" spans="1:1" x14ac:dyDescent="0.25">
      <c r="A265" s="57"/>
    </row>
    <row r="266" ht="14.25" customHeight="1" spans="1:1" x14ac:dyDescent="0.25">
      <c r="A266" s="57"/>
    </row>
    <row r="267" ht="14.25" customHeight="1" spans="1:1" x14ac:dyDescent="0.25">
      <c r="A267" s="57"/>
    </row>
    <row r="268" ht="14.25" customHeight="1" spans="1:1" x14ac:dyDescent="0.25">
      <c r="A268" s="57"/>
    </row>
    <row r="269" ht="14.25" customHeight="1" spans="1:1" x14ac:dyDescent="0.25">
      <c r="A269" s="57"/>
    </row>
    <row r="270" ht="14.25" customHeight="1" spans="1:1" x14ac:dyDescent="0.25">
      <c r="A270" s="57"/>
    </row>
    <row r="271" ht="14.25" customHeight="1" spans="1:1" x14ac:dyDescent="0.25">
      <c r="A271" s="57"/>
    </row>
    <row r="272" ht="14.25" customHeight="1" spans="1:1" x14ac:dyDescent="0.25">
      <c r="A272" s="57"/>
    </row>
    <row r="273" ht="14.25" customHeight="1" spans="1:1" x14ac:dyDescent="0.25">
      <c r="A273" s="57"/>
    </row>
    <row r="274" ht="14.25" customHeight="1" spans="1:1" x14ac:dyDescent="0.25">
      <c r="A274" s="57"/>
    </row>
    <row r="275" ht="14.25" customHeight="1" spans="1:1" x14ac:dyDescent="0.25">
      <c r="A275" s="57"/>
    </row>
    <row r="276" ht="14.25" customHeight="1" spans="1:1" x14ac:dyDescent="0.25">
      <c r="A276" s="57"/>
    </row>
    <row r="277" ht="14.25" customHeight="1" spans="1:1" x14ac:dyDescent="0.25">
      <c r="A277" s="57"/>
    </row>
    <row r="278" ht="14.25" customHeight="1" spans="1:1" x14ac:dyDescent="0.25">
      <c r="A278" s="57"/>
    </row>
    <row r="279" ht="14.25" customHeight="1" spans="1:1" x14ac:dyDescent="0.25">
      <c r="A279" s="57"/>
    </row>
    <row r="280" ht="14.25" customHeight="1" spans="1:1" x14ac:dyDescent="0.25">
      <c r="A280" s="57"/>
    </row>
    <row r="281" ht="14.25" customHeight="1" spans="1:1" x14ac:dyDescent="0.25">
      <c r="A281" s="57"/>
    </row>
    <row r="282" ht="14.25" customHeight="1" spans="1:1" x14ac:dyDescent="0.25">
      <c r="A282" s="57"/>
    </row>
    <row r="283" ht="14.25" customHeight="1" spans="1:1" x14ac:dyDescent="0.25">
      <c r="A283" s="57"/>
    </row>
    <row r="284" ht="14.25" customHeight="1" spans="1:1" x14ac:dyDescent="0.25">
      <c r="A284" s="57"/>
    </row>
    <row r="285" ht="14.25" customHeight="1" spans="1:1" x14ac:dyDescent="0.25">
      <c r="A285" s="57"/>
    </row>
    <row r="286" ht="14.25" customHeight="1" spans="1:1" x14ac:dyDescent="0.25">
      <c r="A286" s="57"/>
    </row>
    <row r="287" ht="14.25" customHeight="1" spans="1:1" x14ac:dyDescent="0.25">
      <c r="A287" s="57"/>
    </row>
    <row r="288" ht="14.25" customHeight="1" spans="1:1" x14ac:dyDescent="0.25">
      <c r="A288" s="57"/>
    </row>
    <row r="289" ht="14.25" customHeight="1" spans="1:1" x14ac:dyDescent="0.25">
      <c r="A289" s="57"/>
    </row>
    <row r="290" ht="14.25" customHeight="1" spans="1:1" x14ac:dyDescent="0.25">
      <c r="A290" s="57"/>
    </row>
    <row r="291" ht="14.25" customHeight="1" spans="1:1" x14ac:dyDescent="0.25">
      <c r="A291" s="57"/>
    </row>
    <row r="292" ht="14.25" customHeight="1" spans="1:1" x14ac:dyDescent="0.25">
      <c r="A292" s="57"/>
    </row>
    <row r="293" ht="14.25" customHeight="1" spans="1:1" x14ac:dyDescent="0.25">
      <c r="A293" s="57"/>
    </row>
    <row r="294" ht="14.25" customHeight="1" spans="1:1" x14ac:dyDescent="0.25">
      <c r="A294" s="57"/>
    </row>
    <row r="295" ht="14.25" customHeight="1" spans="1:1" x14ac:dyDescent="0.25">
      <c r="A295" s="57"/>
    </row>
    <row r="296" ht="14.25" customHeight="1" spans="1:1" x14ac:dyDescent="0.25">
      <c r="A296" s="57"/>
    </row>
    <row r="297" ht="14.25" customHeight="1" spans="1:1" x14ac:dyDescent="0.25">
      <c r="A297" s="57"/>
    </row>
    <row r="298" ht="14.25" customHeight="1" spans="1:1" x14ac:dyDescent="0.25">
      <c r="A298" s="57"/>
    </row>
    <row r="299" ht="14.25" customHeight="1" spans="1:1" x14ac:dyDescent="0.25">
      <c r="A299" s="57"/>
    </row>
    <row r="300" ht="14.25" customHeight="1" spans="1:1" x14ac:dyDescent="0.25">
      <c r="A300" s="57"/>
    </row>
    <row r="301" ht="14.25" customHeight="1" spans="1:1" x14ac:dyDescent="0.25">
      <c r="A301" s="57"/>
    </row>
    <row r="302" ht="14.25" customHeight="1" spans="1:1" x14ac:dyDescent="0.25">
      <c r="A302" s="57"/>
    </row>
    <row r="303" ht="14.25" customHeight="1" spans="1:1" x14ac:dyDescent="0.25">
      <c r="A303" s="57"/>
    </row>
    <row r="304" ht="14.25" customHeight="1" spans="1:1" x14ac:dyDescent="0.25">
      <c r="A304" s="57"/>
    </row>
    <row r="305" ht="14.25" customHeight="1" spans="1:1" x14ac:dyDescent="0.25">
      <c r="A305" s="57"/>
    </row>
    <row r="306" ht="14.25" customHeight="1" spans="1:1" x14ac:dyDescent="0.25">
      <c r="A306" s="57"/>
    </row>
    <row r="307" ht="14.25" customHeight="1" spans="1:1" x14ac:dyDescent="0.25">
      <c r="A307" s="57"/>
    </row>
    <row r="308" ht="14.25" customHeight="1" spans="1:1" x14ac:dyDescent="0.25">
      <c r="A308" s="57"/>
    </row>
    <row r="309" ht="14.25" customHeight="1" spans="1:1" x14ac:dyDescent="0.25">
      <c r="A309" s="57"/>
    </row>
    <row r="310" ht="14.25" customHeight="1" spans="1:1" x14ac:dyDescent="0.25">
      <c r="A310" s="57"/>
    </row>
    <row r="311" ht="14.25" customHeight="1" spans="1:1" x14ac:dyDescent="0.25">
      <c r="A311" s="57"/>
    </row>
    <row r="312" ht="14.25" customHeight="1" spans="1:1" x14ac:dyDescent="0.25">
      <c r="A312" s="57"/>
    </row>
    <row r="313" ht="14.25" customHeight="1" spans="1:1" x14ac:dyDescent="0.25">
      <c r="A313" s="57"/>
    </row>
    <row r="314" ht="14.25" customHeight="1" spans="1:1" x14ac:dyDescent="0.25">
      <c r="A314" s="57"/>
    </row>
    <row r="315" ht="14.25" customHeight="1" spans="1:1" x14ac:dyDescent="0.25">
      <c r="A315" s="57"/>
    </row>
    <row r="316" ht="14.25" customHeight="1" spans="1:1" x14ac:dyDescent="0.25">
      <c r="A316" s="57"/>
    </row>
    <row r="317" ht="14.25" customHeight="1" spans="1:1" x14ac:dyDescent="0.25">
      <c r="A317" s="57"/>
    </row>
    <row r="318" ht="14.25" customHeight="1" spans="1:1" x14ac:dyDescent="0.25">
      <c r="A318" s="57"/>
    </row>
    <row r="319" ht="14.25" customHeight="1" spans="1:1" x14ac:dyDescent="0.25">
      <c r="A319" s="57"/>
    </row>
    <row r="320" ht="14.25" customHeight="1" spans="1:1" x14ac:dyDescent="0.25">
      <c r="A320" s="57"/>
    </row>
    <row r="321" ht="14.25" customHeight="1" spans="1:1" x14ac:dyDescent="0.25">
      <c r="A321" s="57"/>
    </row>
    <row r="322" ht="14.25" customHeight="1" spans="1:1" x14ac:dyDescent="0.25">
      <c r="A322" s="57"/>
    </row>
    <row r="323" ht="14.25" customHeight="1" spans="1:1" x14ac:dyDescent="0.25">
      <c r="A323" s="57"/>
    </row>
    <row r="324" ht="14.25" customHeight="1" spans="1:1" x14ac:dyDescent="0.25">
      <c r="A324" s="57"/>
    </row>
    <row r="325" ht="14.25" customHeight="1" spans="1:1" x14ac:dyDescent="0.25">
      <c r="A325" s="57"/>
    </row>
    <row r="326" ht="14.25" customHeight="1" spans="1:1" x14ac:dyDescent="0.25">
      <c r="A326" s="57"/>
    </row>
    <row r="327" ht="14.25" customHeight="1" spans="1:1" x14ac:dyDescent="0.25">
      <c r="A327" s="57"/>
    </row>
    <row r="328" ht="14.25" customHeight="1" spans="1:1" x14ac:dyDescent="0.25">
      <c r="A328" s="57"/>
    </row>
    <row r="329" ht="14.25" customHeight="1" spans="1:1" x14ac:dyDescent="0.25">
      <c r="A329" s="57"/>
    </row>
    <row r="330" ht="14.25" customHeight="1" spans="1:1" x14ac:dyDescent="0.25">
      <c r="A330" s="57"/>
    </row>
    <row r="331" ht="14.25" customHeight="1" spans="1:1" x14ac:dyDescent="0.25">
      <c r="A331" s="57"/>
    </row>
    <row r="332" ht="14.25" customHeight="1" spans="1:1" x14ac:dyDescent="0.25">
      <c r="A332" s="57"/>
    </row>
    <row r="333" ht="14.25" customHeight="1" spans="1:1" x14ac:dyDescent="0.25">
      <c r="A333" s="57"/>
    </row>
    <row r="334" ht="14.25" customHeight="1" spans="1:1" x14ac:dyDescent="0.25">
      <c r="A334" s="57"/>
    </row>
    <row r="335" ht="14.25" customHeight="1" spans="1:1" x14ac:dyDescent="0.25">
      <c r="A335" s="57"/>
    </row>
    <row r="336" ht="14.25" customHeight="1" spans="1:1" x14ac:dyDescent="0.25">
      <c r="A336" s="57"/>
    </row>
    <row r="337" ht="14.25" customHeight="1" spans="1:1" x14ac:dyDescent="0.25">
      <c r="A337" s="57"/>
    </row>
    <row r="338" ht="14.25" customHeight="1" spans="1:1" x14ac:dyDescent="0.25">
      <c r="A338" s="57"/>
    </row>
    <row r="339" ht="14.25" customHeight="1" spans="1:1" x14ac:dyDescent="0.25">
      <c r="A339" s="57"/>
    </row>
    <row r="340" ht="14.25" customHeight="1" spans="1:1" x14ac:dyDescent="0.25">
      <c r="A340" s="57"/>
    </row>
    <row r="341" ht="14.25" customHeight="1" spans="1:1" x14ac:dyDescent="0.25">
      <c r="A341" s="57"/>
    </row>
    <row r="342" ht="14.25" customHeight="1" spans="1:1" x14ac:dyDescent="0.25">
      <c r="A342" s="57"/>
    </row>
    <row r="343" ht="14.25" customHeight="1" spans="1:1" x14ac:dyDescent="0.25">
      <c r="A343" s="57"/>
    </row>
    <row r="344" ht="14.25" customHeight="1" spans="1:1" x14ac:dyDescent="0.25">
      <c r="A344" s="57"/>
    </row>
    <row r="345" ht="14.25" customHeight="1" spans="1:1" x14ac:dyDescent="0.25">
      <c r="A345" s="57"/>
    </row>
    <row r="346" ht="14.25" customHeight="1" spans="1:1" x14ac:dyDescent="0.25">
      <c r="A346" s="57"/>
    </row>
    <row r="347" ht="14.25" customHeight="1" spans="1:1" x14ac:dyDescent="0.25">
      <c r="A347" s="57"/>
    </row>
    <row r="348" ht="14.25" customHeight="1" spans="1:1" x14ac:dyDescent="0.25">
      <c r="A348" s="57"/>
    </row>
    <row r="349" ht="14.25" customHeight="1" spans="1:1" x14ac:dyDescent="0.25">
      <c r="A349" s="57"/>
    </row>
    <row r="350" ht="14.25" customHeight="1" spans="1:1" x14ac:dyDescent="0.25">
      <c r="A350" s="57"/>
    </row>
    <row r="351" ht="14.25" customHeight="1" spans="1:1" x14ac:dyDescent="0.25">
      <c r="A351" s="57"/>
    </row>
    <row r="352" ht="14.25" customHeight="1" spans="1:1" x14ac:dyDescent="0.25">
      <c r="A352" s="57"/>
    </row>
    <row r="353" ht="14.25" customHeight="1" spans="1:1" x14ac:dyDescent="0.25">
      <c r="A353" s="57"/>
    </row>
    <row r="354" ht="14.25" customHeight="1" spans="1:1" x14ac:dyDescent="0.25">
      <c r="A354" s="57"/>
    </row>
    <row r="355" ht="14.25" customHeight="1" spans="1:1" x14ac:dyDescent="0.25">
      <c r="A355" s="57"/>
    </row>
    <row r="356" ht="14.25" customHeight="1" spans="1:1" x14ac:dyDescent="0.25">
      <c r="A356" s="57"/>
    </row>
    <row r="357" ht="14.25" customHeight="1" spans="1:1" x14ac:dyDescent="0.25">
      <c r="A357" s="57"/>
    </row>
    <row r="358" ht="14.25" customHeight="1" spans="1:1" x14ac:dyDescent="0.25">
      <c r="A358" s="57"/>
    </row>
    <row r="359" ht="14.25" customHeight="1" spans="1:1" x14ac:dyDescent="0.25">
      <c r="A359" s="57"/>
    </row>
    <row r="360" ht="14.25" customHeight="1" spans="1:1" x14ac:dyDescent="0.25">
      <c r="A360" s="57"/>
    </row>
    <row r="361" ht="14.25" customHeight="1" spans="1:1" x14ac:dyDescent="0.25">
      <c r="A361" s="57"/>
    </row>
    <row r="362" ht="14.25" customHeight="1" spans="1:1" x14ac:dyDescent="0.25">
      <c r="A362" s="57"/>
    </row>
    <row r="363" ht="14.25" customHeight="1" spans="1:1" x14ac:dyDescent="0.25">
      <c r="A363" s="57"/>
    </row>
    <row r="364" ht="14.25" customHeight="1" spans="1:1" x14ac:dyDescent="0.25">
      <c r="A364" s="57"/>
    </row>
    <row r="365" ht="14.25" customHeight="1" spans="1:1" x14ac:dyDescent="0.25">
      <c r="A365" s="57"/>
    </row>
    <row r="366" ht="14.25" customHeight="1" spans="1:1" x14ac:dyDescent="0.25">
      <c r="A366" s="57"/>
    </row>
    <row r="367" ht="14.25" customHeight="1" spans="1:1" x14ac:dyDescent="0.25">
      <c r="A367" s="57"/>
    </row>
    <row r="368" ht="14.25" customHeight="1" spans="1:1" x14ac:dyDescent="0.25">
      <c r="A368" s="57"/>
    </row>
    <row r="369" ht="14.25" customHeight="1" spans="1:1" x14ac:dyDescent="0.25">
      <c r="A369" s="57"/>
    </row>
    <row r="370" ht="14.25" customHeight="1" spans="1:1" x14ac:dyDescent="0.25">
      <c r="A370" s="57"/>
    </row>
    <row r="371" ht="14.25" customHeight="1" spans="1:1" x14ac:dyDescent="0.25">
      <c r="A371" s="57"/>
    </row>
    <row r="372" ht="14.25" customHeight="1" spans="1:1" x14ac:dyDescent="0.25">
      <c r="A372" s="57"/>
    </row>
    <row r="373" ht="14.25" customHeight="1" spans="1:1" x14ac:dyDescent="0.25">
      <c r="A373" s="57"/>
    </row>
    <row r="374" ht="14.25" customHeight="1" spans="1:1" x14ac:dyDescent="0.25">
      <c r="A374" s="57"/>
    </row>
    <row r="375" ht="14.25" customHeight="1" spans="1:1" x14ac:dyDescent="0.25">
      <c r="A375" s="57"/>
    </row>
    <row r="376" ht="14.25" customHeight="1" spans="1:1" x14ac:dyDescent="0.25">
      <c r="A376" s="57"/>
    </row>
    <row r="377" ht="14.25" customHeight="1" spans="1:1" x14ac:dyDescent="0.25">
      <c r="A377" s="57"/>
    </row>
    <row r="378" ht="14.25" customHeight="1" spans="1:1" x14ac:dyDescent="0.25">
      <c r="A378" s="57"/>
    </row>
    <row r="379" ht="14.25" customHeight="1" spans="1:1" x14ac:dyDescent="0.25">
      <c r="A379" s="57"/>
    </row>
    <row r="380" ht="14.25" customHeight="1" spans="1:1" x14ac:dyDescent="0.25">
      <c r="A380" s="57"/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1"/>
  <sheetViews>
    <sheetView workbookViewId="0" zoomScale="100" zoomScaleNormal="100">
      <selection activeCell="H52" sqref="H52"/>
    </sheetView>
  </sheetViews>
  <sheetFormatPr defaultRowHeight="14.25" outlineLevelRow="0" outlineLevelCol="0" x14ac:dyDescent="0" defaultColWidth="9" customHeight="1"/>
  <cols>
    <col min="4" max="4" width="23.6666666666667" customWidth="1"/>
    <col min="5" max="5" width="32.5833333333333" customWidth="1"/>
    <col min="6" max="6" width="35.5833333333333" customWidth="1"/>
    <col min="7" max="7" width="14" customWidth="1"/>
    <col min="8" max="8" width="20.9166666666667" customWidth="1"/>
    <col min="9" max="9" width="30.6666666666667" customWidth="1"/>
  </cols>
  <sheetData>
    <row r="1" spans="1:20" x14ac:dyDescent="0.25">
      <c r="A1" t="s">
        <v>151</v>
      </c>
      <c r="B1" t="s">
        <v>146</v>
      </c>
      <c r="C1" t="s">
        <v>138</v>
      </c>
      <c r="D1" t="s">
        <v>1794</v>
      </c>
      <c r="E1" t="s">
        <v>1795</v>
      </c>
      <c r="F1" t="s">
        <v>1796</v>
      </c>
      <c r="G1" t="s">
        <v>1794</v>
      </c>
      <c r="H1" t="s">
        <v>1795</v>
      </c>
      <c r="I1" t="s">
        <v>1796</v>
      </c>
      <c r="O1" s="19">
        <v>20001</v>
      </c>
      <c r="P1" s="38" t="s">
        <v>138</v>
      </c>
      <c r="Q1" s="38" t="str">
        <f t="shared" ref="Q1:Q11" si="0">"monster_"&amp;O1</f>
        <v>monster_20001</v>
      </c>
      <c r="R1" s="38" t="s">
        <v>139</v>
      </c>
      <c r="S1" s="19">
        <v>20001</v>
      </c>
      <c r="T1" s="38" t="s">
        <v>139</v>
      </c>
    </row>
    <row r="2" ht="13.9" customHeight="1" spans="1:20" x14ac:dyDescent="0.25">
      <c r="A2" t="s">
        <v>152</v>
      </c>
      <c r="B2" t="s">
        <v>147</v>
      </c>
      <c r="C2" t="s">
        <v>139</v>
      </c>
      <c r="D2" t="str">
        <f t="array" ref="D2">INDEX($A$2:$A$7,INT((ROW(A1)-1)/COUNTA($B$2:$B$3))+1)&amp;",1|"&amp;INDEX($B$2:$B$3,MOD(ROW(A1)-1,COUNTA($B$2:$B$3))+1)&amp;",4"</f>
        <v>刘备,1|夏侯惇,4</v>
      </c>
      <c r="E2" s="83" t="str">
        <f t="array" ref="E2">INDEX($A$2:$A$7,INT((ROW(A1)-1)/(COUNTA($B$2:$B$3)*COUNTA($C$2:$C$4)))+1)&amp;",1|"&amp;INDEX($B$2:$B$3,MOD(INT((ROW(A1)-1)/COUNTA($C$2:$C$4)),COUNTA($B$2:$B$3))+1)&amp;",2|"&amp;INDEX($C$2:$C$4,MOD(ROW(A1)-1,COUNTA($C$2:$C$4))+1)&amp;",4"</f>
        <v>刘备,1|夏侯惇,2|糜夫人,4</v>
      </c>
      <c r="F2" s="84" t="s">
        <v>1797</v>
      </c>
      <c r="G2" t="s">
        <v>1504</v>
      </c>
      <c r="H2" t="s">
        <v>1528</v>
      </c>
      <c r="I2" t="s">
        <v>1798</v>
      </c>
      <c r="O2" s="19">
        <v>20002</v>
      </c>
      <c r="P2" s="38" t="s">
        <v>138</v>
      </c>
      <c r="Q2" s="38" t="str">
        <f t="shared" si="0"/>
        <v>monster_20002</v>
      </c>
      <c r="R2" s="38" t="s">
        <v>143</v>
      </c>
      <c r="S2" s="19">
        <v>20002</v>
      </c>
      <c r="T2" s="38" t="s">
        <v>143</v>
      </c>
    </row>
    <row r="3" spans="1:20" x14ac:dyDescent="0.25">
      <c r="A3" t="s">
        <v>156</v>
      </c>
      <c r="B3" t="s">
        <v>159</v>
      </c>
      <c r="C3" t="s">
        <v>143</v>
      </c>
      <c r="D3" t="str">
        <f t="array" ref="D3">INDEX($A$2:$A$7,INT((ROW(A2)-1)/COUNTA($B$2:$B$3))+1)&amp;",1|"&amp;INDEX($B$2:$B$3,MOD(ROW(A2)-1,COUNTA($B$2:$B$3))+1)&amp;",4"</f>
        <v>刘备,1|孙权,4</v>
      </c>
      <c r="E3" s="83" t="str">
        <f t="array" ref="E3">INDEX($A$2:$A$7,INT((ROW(A2)-1)/(COUNTA($B$2:$B$3)*COUNTA($C$2:$C$4)))+1)&amp;",1|"&amp;INDEX($B$2:$B$3,MOD(INT((ROW(A2)-1)/COUNTA($C$2:$C$4)),COUNTA($B$2:$B$3))+1)&amp;",2|"&amp;INDEX($C$2:$C$4,MOD(ROW(A2)-1,COUNTA($C$2:$C$4))+1)&amp;",4"</f>
        <v>刘备,1|夏侯惇,2|小乔,4</v>
      </c>
      <c r="F3" s="84" t="s">
        <v>1799</v>
      </c>
      <c r="G3" t="s">
        <v>1506</v>
      </c>
      <c r="H3" t="s">
        <v>1530</v>
      </c>
      <c r="I3" t="s">
        <v>1800</v>
      </c>
      <c r="O3" s="19">
        <v>20003</v>
      </c>
      <c r="P3" s="38" t="s">
        <v>146</v>
      </c>
      <c r="Q3" s="38" t="str">
        <f t="shared" si="0"/>
        <v>monster_20003</v>
      </c>
      <c r="R3" s="38" t="s">
        <v>147</v>
      </c>
      <c r="S3" s="19">
        <v>20003</v>
      </c>
      <c r="T3" s="38" t="s">
        <v>147</v>
      </c>
    </row>
    <row r="4" ht="13.9" customHeight="1" spans="1:20" x14ac:dyDescent="0.25">
      <c r="A4" t="s">
        <v>162</v>
      </c>
      <c r="B4" t="s">
        <v>1801</v>
      </c>
      <c r="C4" t="s">
        <v>168</v>
      </c>
      <c r="D4" t="str">
        <f t="array" ref="D4">INDEX($A$2:$A$7,INT((ROW(A3)-1)/COUNTA($B$2:$B$3))+1)&amp;",1|"&amp;INDEX($B$2:$B$3,MOD(ROW(A3)-1,COUNTA($B$2:$B$3))+1)&amp;",4"</f>
        <v>曹操,1|夏侯惇,4</v>
      </c>
      <c r="E4" s="83" t="str">
        <f t="array" ref="E4">INDEX($A$2:$A$7,INT((ROW(A3)-1)/(COUNTA($B$2:$B$3)*COUNTA($C$2:$C$4)))+1)&amp;",1|"&amp;INDEX($B$2:$B$3,MOD(INT((ROW(A3)-1)/COUNTA($C$2:$C$4)),COUNTA($B$2:$B$3))+1)&amp;",2|"&amp;INDEX($C$2:$C$4,MOD(ROW(A3)-1,COUNTA($C$2:$C$4))+1)&amp;",4"</f>
        <v>刘备,1|夏侯惇,2|貂蝉,4</v>
      </c>
      <c r="F4" s="84" t="s">
        <v>1715</v>
      </c>
      <c r="G4" t="s">
        <v>1508</v>
      </c>
      <c r="H4" t="s">
        <v>1532</v>
      </c>
      <c r="I4" t="s">
        <v>1802</v>
      </c>
      <c r="O4" s="19">
        <v>20004</v>
      </c>
      <c r="P4" s="38" t="s">
        <v>151</v>
      </c>
      <c r="Q4" s="38" t="str">
        <f t="shared" si="0"/>
        <v>monster_20004</v>
      </c>
      <c r="R4" s="38" t="s">
        <v>152</v>
      </c>
      <c r="S4" s="19">
        <v>20004</v>
      </c>
      <c r="T4" s="38" t="s">
        <v>152</v>
      </c>
    </row>
    <row r="5" spans="1:20" x14ac:dyDescent="0.25">
      <c r="A5" t="s">
        <v>165</v>
      </c>
      <c r="B5" t="s">
        <v>1801</v>
      </c>
      <c r="C5" t="s">
        <v>1801</v>
      </c>
      <c r="D5" t="str">
        <f t="array" ref="D5">INDEX($A$2:$A$7,INT((ROW(A4)-1)/COUNTA($B$2:$B$3))+1)&amp;",1|"&amp;INDEX($B$2:$B$3,MOD(ROW(A4)-1,COUNTA($B$2:$B$3))+1)&amp;",4"</f>
        <v>曹操,1|孙权,4</v>
      </c>
      <c r="E5" s="83" t="str">
        <f t="array" ref="E5">INDEX($A$2:$A$7,INT((ROW(A4)-1)/(COUNTA($B$2:$B$3)*COUNTA($C$2:$C$4)))+1)&amp;",1|"&amp;INDEX($B$2:$B$3,MOD(INT((ROW(A4)-1)/COUNTA($C$2:$C$4)),COUNTA($B$2:$B$3))+1)&amp;",2|"&amp;INDEX($C$2:$C$4,MOD(ROW(A4)-1,COUNTA($C$2:$C$4))+1)&amp;",4"</f>
        <v>刘备,1|孙权,2|糜夫人,4</v>
      </c>
      <c r="F5" s="84" t="s">
        <v>1803</v>
      </c>
      <c r="G5" t="s">
        <v>1510</v>
      </c>
      <c r="H5" t="s">
        <v>1534</v>
      </c>
      <c r="I5" t="s">
        <v>1804</v>
      </c>
      <c r="O5" s="19">
        <v>20005</v>
      </c>
      <c r="P5" s="38" t="s">
        <v>151</v>
      </c>
      <c r="Q5" s="38" t="str">
        <f t="shared" si="0"/>
        <v>monster_20005</v>
      </c>
      <c r="R5" s="38" t="s">
        <v>156</v>
      </c>
      <c r="S5" s="19">
        <v>20005</v>
      </c>
      <c r="T5" s="38" t="s">
        <v>156</v>
      </c>
    </row>
    <row r="6" spans="1:20" x14ac:dyDescent="0.25">
      <c r="A6" t="s">
        <v>171</v>
      </c>
      <c r="B6" t="s">
        <v>1801</v>
      </c>
      <c r="C6" t="s">
        <v>1801</v>
      </c>
      <c r="D6" t="str">
        <f t="array" ref="D6">INDEX($A$2:$A$7,INT((ROW(A5)-1)/COUNTA($B$2:$B$3))+1)&amp;",1|"&amp;INDEX($B$2:$B$3,MOD(ROW(A5)-1,COUNTA($B$2:$B$3))+1)&amp;",4"</f>
        <v>关羽,1|夏侯惇,4</v>
      </c>
      <c r="E6" s="83" t="str">
        <f t="array" ref="E6">INDEX($A$2:$A$7,INT((ROW(A5)-1)/(COUNTA($B$2:$B$3)*COUNTA($C$2:$C$4)))+1)&amp;",1|"&amp;INDEX($B$2:$B$3,MOD(INT((ROW(A5)-1)/COUNTA($C$2:$C$4)),COUNTA($B$2:$B$3))+1)&amp;",2|"&amp;INDEX($C$2:$C$4,MOD(ROW(A5)-1,COUNTA($C$2:$C$4))+1)&amp;",4"</f>
        <v>刘备,1|孙权,2|小乔,4</v>
      </c>
      <c r="F6" s="84" t="s">
        <v>1805</v>
      </c>
      <c r="G6" t="s">
        <v>1512</v>
      </c>
      <c r="H6" t="s">
        <v>1536</v>
      </c>
      <c r="I6" t="s">
        <v>1806</v>
      </c>
      <c r="O6" s="19">
        <v>20006</v>
      </c>
      <c r="P6" s="38" t="s">
        <v>146</v>
      </c>
      <c r="Q6" s="38" t="str">
        <f t="shared" si="0"/>
        <v>monster_20006</v>
      </c>
      <c r="R6" s="38" t="s">
        <v>159</v>
      </c>
      <c r="S6" s="19">
        <v>20006</v>
      </c>
      <c r="T6" s="38" t="s">
        <v>159</v>
      </c>
    </row>
    <row r="7" ht="13.9" customHeight="1" spans="1:20" x14ac:dyDescent="0.25">
      <c r="A7" t="s">
        <v>174</v>
      </c>
      <c r="B7" t="s">
        <v>1801</v>
      </c>
      <c r="C7" t="s">
        <v>1801</v>
      </c>
      <c r="D7" t="str">
        <f t="array" ref="D7">INDEX($A$2:$A$7,INT((ROW(A6)-1)/COUNTA($B$2:$B$3))+1)&amp;",1|"&amp;INDEX($B$2:$B$3,MOD(ROW(A6)-1,COUNTA($B$2:$B$3))+1)&amp;",4"</f>
        <v>关羽,1|孙权,4</v>
      </c>
      <c r="E7" s="83" t="str">
        <f t="array" ref="E7">INDEX($A$2:$A$7,INT((ROW(A6)-1)/(COUNTA($B$2:$B$3)*COUNTA($C$2:$C$4)))+1)&amp;",1|"&amp;INDEX($B$2:$B$3,MOD(INT((ROW(A6)-1)/COUNTA($C$2:$C$4)),COUNTA($B$2:$B$3))+1)&amp;",2|"&amp;INDEX($C$2:$C$4,MOD(ROW(A6)-1,COUNTA($C$2:$C$4))+1)&amp;",4"</f>
        <v>刘备,1|孙权,2|貂蝉,4</v>
      </c>
      <c r="F7" s="84" t="s">
        <v>1807</v>
      </c>
      <c r="G7" t="s">
        <v>1514</v>
      </c>
      <c r="H7" t="s">
        <v>1538</v>
      </c>
      <c r="I7" t="s">
        <v>1808</v>
      </c>
      <c r="O7" s="19">
        <v>20007</v>
      </c>
      <c r="P7" s="38" t="s">
        <v>151</v>
      </c>
      <c r="Q7" s="38" t="str">
        <f t="shared" si="0"/>
        <v>monster_20007</v>
      </c>
      <c r="R7" s="38" t="s">
        <v>162</v>
      </c>
      <c r="S7" s="19">
        <v>20007</v>
      </c>
      <c r="T7" s="38" t="s">
        <v>162</v>
      </c>
    </row>
    <row r="8" spans="4:20" x14ac:dyDescent="0.25">
      <c r="D8" t="str">
        <f t="array" ref="D8">INDEX($A$2:$A$7,INT((ROW(A7)-1)/COUNTA($B$2:$B$3))+1)&amp;",1|"&amp;INDEX($B$2:$B$3,MOD(ROW(A7)-1,COUNTA($B$2:$B$3))+1)&amp;",4"</f>
        <v>吕布,1|夏侯惇,4</v>
      </c>
      <c r="E8" s="83" t="str">
        <f t="array" ref="E8">INDEX($A$2:$A$7,INT((ROW(A7)-1)/(COUNTA($B$2:$B$3)*COUNTA($C$2:$C$4)))+1)&amp;",1|"&amp;INDEX($B$2:$B$3,MOD(INT((ROW(A7)-1)/COUNTA($C$2:$C$4)),COUNTA($B$2:$B$3))+1)&amp;",2|"&amp;INDEX($C$2:$C$4,MOD(ROW(A7)-1,COUNTA($C$2:$C$4))+1)&amp;",4"</f>
        <v>曹操,1|夏侯惇,2|糜夫人,4</v>
      </c>
      <c r="F8" s="84" t="s">
        <v>1809</v>
      </c>
      <c r="G8" t="s">
        <v>1516</v>
      </c>
      <c r="H8" t="s">
        <v>1540</v>
      </c>
      <c r="I8" t="s">
        <v>1810</v>
      </c>
      <c r="O8" s="19">
        <v>20008</v>
      </c>
      <c r="P8" s="38" t="s">
        <v>151</v>
      </c>
      <c r="Q8" s="38" t="str">
        <f t="shared" si="0"/>
        <v>monster_20008</v>
      </c>
      <c r="R8" s="38" t="s">
        <v>165</v>
      </c>
      <c r="S8" s="19">
        <v>20008</v>
      </c>
      <c r="T8" s="38" t="s">
        <v>165</v>
      </c>
    </row>
    <row r="9" spans="4:20" x14ac:dyDescent="0.25">
      <c r="D9" t="str">
        <f t="array" ref="D9">INDEX($A$2:$A$7,INT((ROW(A8)-1)/COUNTA($B$2:$B$3))+1)&amp;",1|"&amp;INDEX($B$2:$B$3,MOD(ROW(A8)-1,COUNTA($B$2:$B$3))+1)&amp;",4"</f>
        <v>吕布,1|孙权,4</v>
      </c>
      <c r="E9" s="83" t="str">
        <f t="array" ref="E9">INDEX($A$2:$A$7,INT((ROW(A8)-1)/(COUNTA($B$2:$B$3)*COUNTA($C$2:$C$4)))+1)&amp;",1|"&amp;INDEX($B$2:$B$3,MOD(INT((ROW(A8)-1)/COUNTA($C$2:$C$4)),COUNTA($B$2:$B$3))+1)&amp;",2|"&amp;INDEX($C$2:$C$4,MOD(ROW(A8)-1,COUNTA($C$2:$C$4))+1)&amp;",4"</f>
        <v>曹操,1|夏侯惇,2|小乔,4</v>
      </c>
      <c r="F9" s="84" t="s">
        <v>1811</v>
      </c>
      <c r="G9" t="s">
        <v>1518</v>
      </c>
      <c r="H9" t="s">
        <v>1542</v>
      </c>
      <c r="I9" t="s">
        <v>1812</v>
      </c>
      <c r="O9" s="19">
        <v>20009</v>
      </c>
      <c r="P9" s="38" t="s">
        <v>138</v>
      </c>
      <c r="Q9" s="38" t="str">
        <f t="shared" si="0"/>
        <v>monster_20009</v>
      </c>
      <c r="R9" s="38" t="s">
        <v>168</v>
      </c>
      <c r="S9" s="19">
        <v>20009</v>
      </c>
      <c r="T9" s="38" t="s">
        <v>168</v>
      </c>
    </row>
    <row r="10" ht="13.9" customHeight="1" spans="4:20" x14ac:dyDescent="0.25">
      <c r="D10" t="str">
        <f t="array" ref="D10">INDEX($A$2:$A$7,INT((ROW(A9)-1)/COUNTA($B$2:$B$3))+1)&amp;",1|"&amp;INDEX($B$2:$B$3,MOD(ROW(A9)-1,COUNTA($B$2:$B$3))+1)&amp;",4"</f>
        <v>诸葛亮,1|夏侯惇,4</v>
      </c>
      <c r="E10" s="83" t="str">
        <f t="array" ref="E10">INDEX($A$2:$A$7,INT((ROW(A9)-1)/(COUNTA($B$2:$B$3)*COUNTA($C$2:$C$4)))+1)&amp;",1|"&amp;INDEX($B$2:$B$3,MOD(INT((ROW(A9)-1)/COUNTA($C$2:$C$4)),COUNTA($B$2:$B$3))+1)&amp;",2|"&amp;INDEX($C$2:$C$4,MOD(ROW(A9)-1,COUNTA($C$2:$C$4))+1)&amp;",4"</f>
        <v>曹操,1|夏侯惇,2|貂蝉,4</v>
      </c>
      <c r="F10" s="84" t="s">
        <v>1717</v>
      </c>
      <c r="G10" t="s">
        <v>1520</v>
      </c>
      <c r="H10" t="s">
        <v>1544</v>
      </c>
      <c r="I10" t="s">
        <v>1813</v>
      </c>
      <c r="O10" s="19">
        <v>20010</v>
      </c>
      <c r="P10" s="38" t="s">
        <v>151</v>
      </c>
      <c r="Q10" s="38" t="str">
        <f t="shared" si="0"/>
        <v>monster_20010</v>
      </c>
      <c r="R10" s="38" t="s">
        <v>171</v>
      </c>
      <c r="S10" s="19">
        <v>20010</v>
      </c>
      <c r="T10" s="38" t="s">
        <v>171</v>
      </c>
    </row>
    <row r="11" spans="4:20" x14ac:dyDescent="0.25">
      <c r="D11" t="str">
        <f t="array" ref="D11">INDEX($A$2:$A$7,INT((ROW(A10)-1)/COUNTA($B$2:$B$3))+1)&amp;",1|"&amp;INDEX($B$2:$B$3,MOD(ROW(A10)-1,COUNTA($B$2:$B$3))+1)&amp;",4"</f>
        <v>诸葛亮,1|孙权,4</v>
      </c>
      <c r="E11" s="83" t="str">
        <f t="array" ref="E11">INDEX($A$2:$A$7,INT((ROW(A10)-1)/(COUNTA($B$2:$B$3)*COUNTA($C$2:$C$4)))+1)&amp;",1|"&amp;INDEX($B$2:$B$3,MOD(INT((ROW(A10)-1)/COUNTA($C$2:$C$4)),COUNTA($B$2:$B$3))+1)&amp;",2|"&amp;INDEX($C$2:$C$4,MOD(ROW(A10)-1,COUNTA($C$2:$C$4))+1)&amp;",4"</f>
        <v>曹操,1|孙权,2|糜夫人,4</v>
      </c>
      <c r="F11" s="84" t="s">
        <v>1814</v>
      </c>
      <c r="G11" t="s">
        <v>1522</v>
      </c>
      <c r="H11" t="s">
        <v>1546</v>
      </c>
      <c r="I11" t="s">
        <v>1815</v>
      </c>
      <c r="O11" s="19">
        <v>20011</v>
      </c>
      <c r="P11" s="38" t="s">
        <v>151</v>
      </c>
      <c r="Q11" s="38" t="str">
        <f t="shared" si="0"/>
        <v>monster_20011</v>
      </c>
      <c r="R11" s="38" t="s">
        <v>174</v>
      </c>
      <c r="S11" s="19">
        <v>20011</v>
      </c>
      <c r="T11" s="38" t="s">
        <v>174</v>
      </c>
    </row>
    <row r="12" spans="4:9" x14ac:dyDescent="0.25">
      <c r="D12" t="str">
        <f t="array" ref="D12">INDEX($A$2:$A$7,INT((ROW(A11)-1)/COUNTA($B$2:$B$3))+1)&amp;",1|"&amp;INDEX($B$2:$B$3,MOD(ROW(A11)-1,COUNTA($B$2:$B$3))+1)&amp;",4"</f>
        <v>周瑜,1|夏侯惇,4</v>
      </c>
      <c r="E12" s="83" t="str">
        <f t="array" ref="E12">INDEX($A$2:$A$7,INT((ROW(A11)-1)/(COUNTA($B$2:$B$3)*COUNTA($C$2:$C$4)))+1)&amp;",1|"&amp;INDEX($B$2:$B$3,MOD(INT((ROW(A11)-1)/COUNTA($C$2:$C$4)),COUNTA($B$2:$B$3))+1)&amp;",2|"&amp;INDEX($C$2:$C$4,MOD(ROW(A11)-1,COUNTA($C$2:$C$4))+1)&amp;",4"</f>
        <v>曹操,1|孙权,2|小乔,4</v>
      </c>
      <c r="F12" s="84" t="s">
        <v>1816</v>
      </c>
      <c r="G12" t="s">
        <v>1524</v>
      </c>
      <c r="H12" t="s">
        <v>1548</v>
      </c>
      <c r="I12" t="s">
        <v>1817</v>
      </c>
    </row>
    <row r="13" spans="4:9" x14ac:dyDescent="0.25">
      <c r="D13" t="str">
        <f t="array" ref="D13">INDEX($A$2:$A$7,INT((ROW(A12)-1)/COUNTA($B$2:$B$3))+1)&amp;",1|"&amp;INDEX($B$2:$B$3,MOD(ROW(A12)-1,COUNTA($B$2:$B$3))+1)&amp;",4"</f>
        <v>周瑜,1|孙权,4</v>
      </c>
      <c r="E13" s="83" t="str">
        <f t="array" ref="E13">INDEX($A$2:$A$7,INT((ROW(A12)-1)/(COUNTA($B$2:$B$3)*COUNTA($C$2:$C$4)))+1)&amp;",1|"&amp;INDEX($B$2:$B$3,MOD(INT((ROW(A12)-1)/COUNTA($C$2:$C$4)),COUNTA($B$2:$B$3))+1)&amp;",2|"&amp;INDEX($C$2:$C$4,MOD(ROW(A12)-1,COUNTA($C$2:$C$4))+1)&amp;",4"</f>
        <v>曹操,1|孙权,2|貂蝉,4</v>
      </c>
      <c r="F13" s="84" t="s">
        <v>1818</v>
      </c>
      <c r="G13" t="s">
        <v>1526</v>
      </c>
      <c r="H13" t="s">
        <v>1550</v>
      </c>
      <c r="I13" t="s">
        <v>1819</v>
      </c>
    </row>
    <row r="14" spans="5:9" x14ac:dyDescent="0.25">
      <c r="E14" s="83" t="str">
        <f t="array" ref="E14">INDEX($A$2:$A$7,INT((ROW(A13)-1)/(COUNTA($B$2:$B$3)*COUNTA($C$2:$C$4)))+1)&amp;",1|"&amp;INDEX($B$2:$B$3,MOD(INT((ROW(A13)-1)/COUNTA($C$2:$C$4)),COUNTA($B$2:$B$3))+1)&amp;",2|"&amp;INDEX($C$2:$C$4,MOD(ROW(A13)-1,COUNTA($C$2:$C$4))+1)&amp;",4"</f>
        <v>关羽,1|夏侯惇,2|糜夫人,4</v>
      </c>
      <c r="F14" s="84" t="s">
        <v>1820</v>
      </c>
      <c r="H14" t="s">
        <v>1552</v>
      </c>
      <c r="I14" t="s">
        <v>1821</v>
      </c>
    </row>
    <row r="15" spans="5:9" x14ac:dyDescent="0.25">
      <c r="E15" s="83" t="str">
        <f t="array" ref="E15">INDEX($A$2:$A$7,INT((ROW(A14)-1)/(COUNTA($B$2:$B$3)*COUNTA($C$2:$C$4)))+1)&amp;",1|"&amp;INDEX($B$2:$B$3,MOD(INT((ROW(A14)-1)/COUNTA($C$2:$C$4)),COUNTA($B$2:$B$3))+1)&amp;",2|"&amp;INDEX($C$2:$C$4,MOD(ROW(A14)-1,COUNTA($C$2:$C$4))+1)&amp;",4"</f>
        <v>关羽,1|夏侯惇,2|小乔,4</v>
      </c>
      <c r="F15" s="84" t="s">
        <v>1822</v>
      </c>
      <c r="H15" t="s">
        <v>1554</v>
      </c>
      <c r="I15" t="s">
        <v>1823</v>
      </c>
    </row>
    <row r="16" spans="5:9" x14ac:dyDescent="0.25">
      <c r="E16" s="83" t="str">
        <f t="array" ref="E16">INDEX($A$2:$A$7,INT((ROW(A15)-1)/(COUNTA($B$2:$B$3)*COUNTA($C$2:$C$4)))+1)&amp;",1|"&amp;INDEX($B$2:$B$3,MOD(INT((ROW(A15)-1)/COUNTA($C$2:$C$4)),COUNTA($B$2:$B$3))+1)&amp;",2|"&amp;INDEX($C$2:$C$4,MOD(ROW(A15)-1,COUNTA($C$2:$C$4))+1)&amp;",4"</f>
        <v>关羽,1|夏侯惇,2|貂蝉,4</v>
      </c>
      <c r="F16" s="84" t="s">
        <v>1824</v>
      </c>
      <c r="H16" t="s">
        <v>1556</v>
      </c>
      <c r="I16" t="s">
        <v>1825</v>
      </c>
    </row>
    <row r="17" spans="5:9" x14ac:dyDescent="0.25">
      <c r="E17" s="83" t="str">
        <f t="array" ref="E17">INDEX($A$2:$A$7,INT((ROW(A16)-1)/(COUNTA($B$2:$B$3)*COUNTA($C$2:$C$4)))+1)&amp;",1|"&amp;INDEX($B$2:$B$3,MOD(INT((ROW(A16)-1)/COUNTA($C$2:$C$4)),COUNTA($B$2:$B$3))+1)&amp;",2|"&amp;INDEX($C$2:$C$4,MOD(ROW(A16)-1,COUNTA($C$2:$C$4))+1)&amp;",4"</f>
        <v>关羽,1|孙权,2|糜夫人,4</v>
      </c>
      <c r="F17" s="84" t="s">
        <v>1826</v>
      </c>
      <c r="H17" t="s">
        <v>1558</v>
      </c>
      <c r="I17" t="s">
        <v>1827</v>
      </c>
    </row>
    <row r="18" spans="5:9" x14ac:dyDescent="0.25">
      <c r="E18" s="83" t="str">
        <f t="array" ref="E18">INDEX($A$2:$A$7,INT((ROW(A17)-1)/(COUNTA($B$2:$B$3)*COUNTA($C$2:$C$4)))+1)&amp;",1|"&amp;INDEX($B$2:$B$3,MOD(INT((ROW(A17)-1)/COUNTA($C$2:$C$4)),COUNTA($B$2:$B$3))+1)&amp;",2|"&amp;INDEX($C$2:$C$4,MOD(ROW(A17)-1,COUNTA($C$2:$C$4))+1)&amp;",4"</f>
        <v>关羽,1|孙权,2|小乔,4</v>
      </c>
      <c r="F18" s="84" t="s">
        <v>1828</v>
      </c>
      <c r="H18" t="s">
        <v>1560</v>
      </c>
      <c r="I18" t="s">
        <v>1829</v>
      </c>
    </row>
    <row r="19" spans="5:9" x14ac:dyDescent="0.25">
      <c r="E19" s="83" t="str">
        <f t="array" ref="E19">INDEX($A$2:$A$7,INT((ROW(A18)-1)/(COUNTA($B$2:$B$3)*COUNTA($C$2:$C$4)))+1)&amp;",1|"&amp;INDEX($B$2:$B$3,MOD(INT((ROW(A18)-1)/COUNTA($C$2:$C$4)),COUNTA($B$2:$B$3))+1)&amp;",2|"&amp;INDEX($C$2:$C$4,MOD(ROW(A18)-1,COUNTA($C$2:$C$4))+1)&amp;",4"</f>
        <v>关羽,1|孙权,2|貂蝉,4</v>
      </c>
      <c r="F19" s="84" t="s">
        <v>1719</v>
      </c>
      <c r="H19" t="s">
        <v>1562</v>
      </c>
      <c r="I19" t="s">
        <v>1830</v>
      </c>
    </row>
    <row r="20" spans="5:9" x14ac:dyDescent="0.25">
      <c r="E20" s="83" t="str">
        <f t="array" ref="E20">INDEX($A$2:$A$7,INT((ROW(A19)-1)/(COUNTA($B$2:$B$3)*COUNTA($C$2:$C$4)))+1)&amp;",1|"&amp;INDEX($B$2:$B$3,MOD(INT((ROW(A19)-1)/COUNTA($C$2:$C$4)),COUNTA($B$2:$B$3))+1)&amp;",2|"&amp;INDEX($C$2:$C$4,MOD(ROW(A19)-1,COUNTA($C$2:$C$4))+1)&amp;",4"</f>
        <v>吕布,1|夏侯惇,2|糜夫人,4</v>
      </c>
      <c r="F20" s="84" t="s">
        <v>1831</v>
      </c>
      <c r="H20" t="s">
        <v>1564</v>
      </c>
      <c r="I20" t="s">
        <v>1832</v>
      </c>
    </row>
    <row r="21" spans="5:9" x14ac:dyDescent="0.25">
      <c r="E21" s="83" t="str">
        <f t="array" ref="E21">INDEX($A$2:$A$7,INT((ROW(A20)-1)/(COUNTA($B$2:$B$3)*COUNTA($C$2:$C$4)))+1)&amp;",1|"&amp;INDEX($B$2:$B$3,MOD(INT((ROW(A20)-1)/COUNTA($C$2:$C$4)),COUNTA($B$2:$B$3))+1)&amp;",2|"&amp;INDEX($C$2:$C$4,MOD(ROW(A20)-1,COUNTA($C$2:$C$4))+1)&amp;",4"</f>
        <v>吕布,1|夏侯惇,2|小乔,4</v>
      </c>
      <c r="F21" s="84" t="s">
        <v>1721</v>
      </c>
      <c r="H21" t="s">
        <v>1566</v>
      </c>
      <c r="I21" t="s">
        <v>1833</v>
      </c>
    </row>
    <row r="22" spans="5:9" x14ac:dyDescent="0.25">
      <c r="E22" s="83" t="str">
        <f t="array" ref="E22">INDEX($A$2:$A$7,INT((ROW(A21)-1)/(COUNTA($B$2:$B$3)*COUNTA($C$2:$C$4)))+1)&amp;",1|"&amp;INDEX($B$2:$B$3,MOD(INT((ROW(A21)-1)/COUNTA($C$2:$C$4)),COUNTA($B$2:$B$3))+1)&amp;",2|"&amp;INDEX($C$2:$C$4,MOD(ROW(A21)-1,COUNTA($C$2:$C$4))+1)&amp;",4"</f>
        <v>吕布,1|夏侯惇,2|貂蝉,4</v>
      </c>
      <c r="F22" s="84" t="s">
        <v>1834</v>
      </c>
      <c r="H22" t="s">
        <v>1568</v>
      </c>
      <c r="I22" t="s">
        <v>1835</v>
      </c>
    </row>
    <row r="23" spans="5:9" x14ac:dyDescent="0.25">
      <c r="E23" s="83" t="str">
        <f t="array" ref="E23">INDEX($A$2:$A$7,INT((ROW(A22)-1)/(COUNTA($B$2:$B$3)*COUNTA($C$2:$C$4)))+1)&amp;",1|"&amp;INDEX($B$2:$B$3,MOD(INT((ROW(A22)-1)/COUNTA($C$2:$C$4)),COUNTA($B$2:$B$3))+1)&amp;",2|"&amp;INDEX($C$2:$C$4,MOD(ROW(A22)-1,COUNTA($C$2:$C$4))+1)&amp;",4"</f>
        <v>吕布,1|孙权,2|糜夫人,4</v>
      </c>
      <c r="F23" s="84" t="s">
        <v>1836</v>
      </c>
      <c r="H23" t="s">
        <v>1570</v>
      </c>
      <c r="I23" t="s">
        <v>1837</v>
      </c>
    </row>
    <row r="24" spans="5:9" x14ac:dyDescent="0.25">
      <c r="E24" s="83" t="str">
        <f t="array" ref="E24">INDEX($A$2:$A$7,INT((ROW(A23)-1)/(COUNTA($B$2:$B$3)*COUNTA($C$2:$C$4)))+1)&amp;",1|"&amp;INDEX($B$2:$B$3,MOD(INT((ROW(A23)-1)/COUNTA($C$2:$C$4)),COUNTA($B$2:$B$3))+1)&amp;",2|"&amp;INDEX($C$2:$C$4,MOD(ROW(A23)-1,COUNTA($C$2:$C$4))+1)&amp;",4"</f>
        <v>吕布,1|孙权,2|小乔,4</v>
      </c>
      <c r="F24" s="84" t="s">
        <v>1723</v>
      </c>
      <c r="H24" t="s">
        <v>1572</v>
      </c>
      <c r="I24" t="s">
        <v>1838</v>
      </c>
    </row>
    <row r="25" spans="5:9" x14ac:dyDescent="0.25">
      <c r="E25" s="83" t="str">
        <f t="array" ref="E25">INDEX($A$2:$A$7,INT((ROW(A24)-1)/(COUNTA($B$2:$B$3)*COUNTA($C$2:$C$4)))+1)&amp;",1|"&amp;INDEX($B$2:$B$3,MOD(INT((ROW(A24)-1)/COUNTA($C$2:$C$4)),COUNTA($B$2:$B$3))+1)&amp;",2|"&amp;INDEX($C$2:$C$4,MOD(ROW(A24)-1,COUNTA($C$2:$C$4))+1)&amp;",4"</f>
        <v>吕布,1|孙权,2|貂蝉,4</v>
      </c>
      <c r="F25" s="84" t="s">
        <v>1839</v>
      </c>
      <c r="H25" t="s">
        <v>1574</v>
      </c>
      <c r="I25" t="s">
        <v>1840</v>
      </c>
    </row>
    <row r="26" spans="5:9" x14ac:dyDescent="0.25">
      <c r="E26" s="83" t="str">
        <f t="array" ref="E26">INDEX($A$2:$A$7,INT((ROW(A25)-1)/(COUNTA($B$2:$B$3)*COUNTA($C$2:$C$4)))+1)&amp;",1|"&amp;INDEX($B$2:$B$3,MOD(INT((ROW(A25)-1)/COUNTA($C$2:$C$4)),COUNTA($B$2:$B$3))+1)&amp;",2|"&amp;INDEX($C$2:$C$4,MOD(ROW(A25)-1,COUNTA($C$2:$C$4))+1)&amp;",4"</f>
        <v>诸葛亮,1|夏侯惇,2|糜夫人,4</v>
      </c>
      <c r="F26" s="84" t="s">
        <v>1841</v>
      </c>
      <c r="H26" t="s">
        <v>1576</v>
      </c>
      <c r="I26" t="s">
        <v>1842</v>
      </c>
    </row>
    <row r="27" spans="5:9" x14ac:dyDescent="0.25">
      <c r="E27" s="83" t="str">
        <f t="array" ref="E27">INDEX($A$2:$A$7,INT((ROW(A26)-1)/(COUNTA($B$2:$B$3)*COUNTA($C$2:$C$4)))+1)&amp;",1|"&amp;INDEX($B$2:$B$3,MOD(INT((ROW(A26)-1)/COUNTA($C$2:$C$4)),COUNTA($B$2:$B$3))+1)&amp;",2|"&amp;INDEX($C$2:$C$4,MOD(ROW(A26)-1,COUNTA($C$2:$C$4))+1)&amp;",4"</f>
        <v>诸葛亮,1|夏侯惇,2|小乔,4</v>
      </c>
      <c r="F27" s="84" t="s">
        <v>1843</v>
      </c>
      <c r="H27" t="s">
        <v>1578</v>
      </c>
      <c r="I27" t="s">
        <v>1844</v>
      </c>
    </row>
    <row r="28" spans="5:9" x14ac:dyDescent="0.25">
      <c r="E28" s="83" t="str">
        <f t="array" ref="E28">INDEX($A$2:$A$7,INT((ROW(A27)-1)/(COUNTA($B$2:$B$3)*COUNTA($C$2:$C$4)))+1)&amp;",1|"&amp;INDEX($B$2:$B$3,MOD(INT((ROW(A27)-1)/COUNTA($C$2:$C$4)),COUNTA($B$2:$B$3))+1)&amp;",2|"&amp;INDEX($C$2:$C$4,MOD(ROW(A27)-1,COUNTA($C$2:$C$4))+1)&amp;",4"</f>
        <v>诸葛亮,1|夏侯惇,2|貂蝉,4</v>
      </c>
      <c r="F28" s="84" t="s">
        <v>1725</v>
      </c>
      <c r="H28" t="s">
        <v>1580</v>
      </c>
      <c r="I28" t="s">
        <v>1845</v>
      </c>
    </row>
    <row r="29" spans="5:9" x14ac:dyDescent="0.25">
      <c r="E29" s="83" t="str">
        <f t="array" ref="E29">INDEX($A$2:$A$7,INT((ROW(A28)-1)/(COUNTA($B$2:$B$3)*COUNTA($C$2:$C$4)))+1)&amp;",1|"&amp;INDEX($B$2:$B$3,MOD(INT((ROW(A28)-1)/COUNTA($C$2:$C$4)),COUNTA($B$2:$B$3))+1)&amp;",2|"&amp;INDEX($C$2:$C$4,MOD(ROW(A28)-1,COUNTA($C$2:$C$4))+1)&amp;",4"</f>
        <v>诸葛亮,1|孙权,2|糜夫人,4</v>
      </c>
      <c r="F29" s="84" t="s">
        <v>1846</v>
      </c>
      <c r="H29" t="s">
        <v>1582</v>
      </c>
      <c r="I29" t="s">
        <v>1847</v>
      </c>
    </row>
    <row r="30" spans="5:9" x14ac:dyDescent="0.25">
      <c r="E30" s="83" t="str">
        <f t="array" ref="E30">INDEX($A$2:$A$7,INT((ROW(A29)-1)/(COUNTA($B$2:$B$3)*COUNTA($C$2:$C$4)))+1)&amp;",1|"&amp;INDEX($B$2:$B$3,MOD(INT((ROW(A29)-1)/COUNTA($C$2:$C$4)),COUNTA($B$2:$B$3))+1)&amp;",2|"&amp;INDEX($C$2:$C$4,MOD(ROW(A29)-1,COUNTA($C$2:$C$4))+1)&amp;",4"</f>
        <v>诸葛亮,1|孙权,2|小乔,4</v>
      </c>
      <c r="F30" s="84" t="s">
        <v>1848</v>
      </c>
      <c r="H30" t="s">
        <v>1584</v>
      </c>
      <c r="I30" t="s">
        <v>1849</v>
      </c>
    </row>
    <row r="31" spans="5:9" x14ac:dyDescent="0.25">
      <c r="E31" s="83" t="str">
        <f t="array" ref="E31">INDEX($A$2:$A$7,INT((ROW(A30)-1)/(COUNTA($B$2:$B$3)*COUNTA($C$2:$C$4)))+1)&amp;",1|"&amp;INDEX($B$2:$B$3,MOD(INT((ROW(A30)-1)/COUNTA($C$2:$C$4)),COUNTA($B$2:$B$3))+1)&amp;",2|"&amp;INDEX($C$2:$C$4,MOD(ROW(A30)-1,COUNTA($C$2:$C$4))+1)&amp;",4"</f>
        <v>诸葛亮,1|孙权,2|貂蝉,4</v>
      </c>
      <c r="F31" s="84" t="s">
        <v>1727</v>
      </c>
      <c r="H31" t="s">
        <v>1586</v>
      </c>
      <c r="I31" t="s">
        <v>1850</v>
      </c>
    </row>
    <row r="32" spans="5:9" x14ac:dyDescent="0.25">
      <c r="E32" s="83" t="str">
        <f t="array" ref="E32">INDEX($A$2:$A$7,INT((ROW(A31)-1)/(COUNTA($B$2:$B$3)*COUNTA($C$2:$C$4)))+1)&amp;",1|"&amp;INDEX($B$2:$B$3,MOD(INT((ROW(A31)-1)/COUNTA($C$2:$C$4)),COUNTA($B$2:$B$3))+1)&amp;",2|"&amp;INDEX($C$2:$C$4,MOD(ROW(A31)-1,COUNTA($C$2:$C$4))+1)&amp;",4"</f>
        <v>周瑜,1|夏侯惇,2|糜夫人,4</v>
      </c>
      <c r="F32" s="84" t="s">
        <v>1851</v>
      </c>
      <c r="H32" t="s">
        <v>1588</v>
      </c>
      <c r="I32" t="s">
        <v>1852</v>
      </c>
    </row>
    <row r="33" spans="5:9" x14ac:dyDescent="0.25">
      <c r="E33" s="83" t="str">
        <f t="array" ref="E33">INDEX($A$2:$A$7,INT((ROW(A32)-1)/(COUNTA($B$2:$B$3)*COUNTA($C$2:$C$4)))+1)&amp;",1|"&amp;INDEX($B$2:$B$3,MOD(INT((ROW(A32)-1)/COUNTA($C$2:$C$4)),COUNTA($B$2:$B$3))+1)&amp;",2|"&amp;INDEX($C$2:$C$4,MOD(ROW(A32)-1,COUNTA($C$2:$C$4))+1)&amp;",4"</f>
        <v>周瑜,1|夏侯惇,2|小乔,4</v>
      </c>
      <c r="F33" s="84" t="s">
        <v>1729</v>
      </c>
      <c r="H33" t="s">
        <v>1590</v>
      </c>
      <c r="I33" t="s">
        <v>1853</v>
      </c>
    </row>
    <row r="34" spans="5:9" x14ac:dyDescent="0.25">
      <c r="E34" s="83" t="str">
        <f t="array" ref="E34">INDEX($A$2:$A$7,INT((ROW(A33)-1)/(COUNTA($B$2:$B$3)*COUNTA($C$2:$C$4)))+1)&amp;",1|"&amp;INDEX($B$2:$B$3,MOD(INT((ROW(A33)-1)/COUNTA($C$2:$C$4)),COUNTA($B$2:$B$3))+1)&amp;",2|"&amp;INDEX($C$2:$C$4,MOD(ROW(A33)-1,COUNTA($C$2:$C$4))+1)&amp;",4"</f>
        <v>周瑜,1|夏侯惇,2|貂蝉,4</v>
      </c>
      <c r="F34" s="84" t="s">
        <v>1854</v>
      </c>
      <c r="H34" t="s">
        <v>1592</v>
      </c>
      <c r="I34" t="s">
        <v>1855</v>
      </c>
    </row>
    <row r="35" spans="5:9" x14ac:dyDescent="0.25">
      <c r="E35" s="83" t="str">
        <f t="array" ref="E35">INDEX($A$2:$A$7,INT((ROW(A34)-1)/(COUNTA($B$2:$B$3)*COUNTA($C$2:$C$4)))+1)&amp;",1|"&amp;INDEX($B$2:$B$3,MOD(INT((ROW(A34)-1)/COUNTA($C$2:$C$4)),COUNTA($B$2:$B$3))+1)&amp;",2|"&amp;INDEX($C$2:$C$4,MOD(ROW(A34)-1,COUNTA($C$2:$C$4))+1)&amp;",4"</f>
        <v>周瑜,1|孙权,2|糜夫人,4</v>
      </c>
      <c r="F35" s="84" t="s">
        <v>1731</v>
      </c>
      <c r="H35" t="s">
        <v>1594</v>
      </c>
      <c r="I35" t="s">
        <v>1856</v>
      </c>
    </row>
    <row r="36" spans="5:9" x14ac:dyDescent="0.25">
      <c r="E36" s="83" t="str">
        <f t="array" ref="E36">INDEX($A$2:$A$7,INT((ROW(A35)-1)/(COUNTA($B$2:$B$3)*COUNTA($C$2:$C$4)))+1)&amp;",1|"&amp;INDEX($B$2:$B$3,MOD(INT((ROW(A35)-1)/COUNTA($C$2:$C$4)),COUNTA($B$2:$B$3))+1)&amp;",2|"&amp;INDEX($C$2:$C$4,MOD(ROW(A35)-1,COUNTA($C$2:$C$4))+1)&amp;",4"</f>
        <v>周瑜,1|孙权,2|小乔,4</v>
      </c>
      <c r="F36" s="84" t="s">
        <v>1857</v>
      </c>
      <c r="H36" t="s">
        <v>1596</v>
      </c>
      <c r="I36" t="s">
        <v>1858</v>
      </c>
    </row>
    <row r="37" spans="5:9" x14ac:dyDescent="0.25">
      <c r="E37" s="83" t="str">
        <f t="array" ref="E37">INDEX($A$2:$A$7,INT((ROW(A36)-1)/(COUNTA($B$2:$B$3)*COUNTA($C$2:$C$4)))+1)&amp;",1|"&amp;INDEX($B$2:$B$3,MOD(INT((ROW(A36)-1)/COUNTA($C$2:$C$4)),COUNTA($B$2:$B$3))+1)&amp;",2|"&amp;INDEX($C$2:$C$4,MOD(ROW(A36)-1,COUNTA($C$2:$C$4))+1)&amp;",4"</f>
        <v>周瑜,1|孙权,2|貂蝉,4</v>
      </c>
      <c r="F37" s="84" t="s">
        <v>1733</v>
      </c>
      <c r="H37" t="s">
        <v>1598</v>
      </c>
      <c r="I37" t="s">
        <v>1859</v>
      </c>
    </row>
    <row r="38" spans="6:9" x14ac:dyDescent="0.25">
      <c r="F38" s="84" t="s">
        <v>1860</v>
      </c>
      <c r="I38" t="s">
        <v>1861</v>
      </c>
    </row>
    <row r="39" spans="6:9" x14ac:dyDescent="0.25">
      <c r="F39" s="84" t="s">
        <v>1862</v>
      </c>
      <c r="I39" t="s">
        <v>1863</v>
      </c>
    </row>
    <row r="40" spans="6:9" x14ac:dyDescent="0.25">
      <c r="F40" s="84" t="s">
        <v>1864</v>
      </c>
      <c r="I40" t="s">
        <v>1865</v>
      </c>
    </row>
    <row r="41" spans="6:9" x14ac:dyDescent="0.25">
      <c r="F41" s="84" t="s">
        <v>1735</v>
      </c>
      <c r="I41" t="s">
        <v>1866</v>
      </c>
    </row>
    <row r="42" spans="6:9" x14ac:dyDescent="0.25">
      <c r="F42" s="84" t="s">
        <v>1867</v>
      </c>
      <c r="I42" t="s">
        <v>1868</v>
      </c>
    </row>
    <row r="43" spans="6:9" x14ac:dyDescent="0.25">
      <c r="F43" s="84" t="s">
        <v>1737</v>
      </c>
      <c r="I43" t="s">
        <v>1869</v>
      </c>
    </row>
    <row r="44" spans="6:9" x14ac:dyDescent="0.25">
      <c r="F44" s="84" t="s">
        <v>1870</v>
      </c>
      <c r="I44" t="s">
        <v>1871</v>
      </c>
    </row>
    <row r="45" spans="6:9" x14ac:dyDescent="0.25">
      <c r="F45" s="84" t="s">
        <v>1872</v>
      </c>
      <c r="I45" t="s">
        <v>1873</v>
      </c>
    </row>
    <row r="46" spans="6:9" x14ac:dyDescent="0.25">
      <c r="F46" s="84" t="s">
        <v>1874</v>
      </c>
      <c r="I46" t="s">
        <v>1875</v>
      </c>
    </row>
    <row r="64" spans="3:17" x14ac:dyDescent="0.25">
      <c r="C64" s="85"/>
      <c r="D64" s="85"/>
      <c r="E64" s="85"/>
      <c r="F64" s="85">
        <v>101</v>
      </c>
      <c r="G64" s="85">
        <v>102</v>
      </c>
      <c r="H64" s="85">
        <v>100</v>
      </c>
      <c r="I64" s="85">
        <v>132</v>
      </c>
      <c r="J64" s="85">
        <v>101</v>
      </c>
      <c r="K64" s="85">
        <v>102</v>
      </c>
      <c r="L64" s="85">
        <v>100</v>
      </c>
      <c r="M64" s="85">
        <v>132</v>
      </c>
      <c r="N64" s="85">
        <v>101</v>
      </c>
      <c r="O64" s="85">
        <v>102</v>
      </c>
      <c r="P64" s="85">
        <v>100</v>
      </c>
      <c r="Q64" s="85">
        <v>132</v>
      </c>
    </row>
    <row r="65" spans="3:17" x14ac:dyDescent="0.25">
      <c r="C65" s="85"/>
      <c r="D65" s="85"/>
      <c r="E65" s="85"/>
      <c r="F65" s="86" t="s">
        <v>1876</v>
      </c>
      <c r="G65" s="86"/>
      <c r="H65" s="86"/>
      <c r="I65" s="86"/>
      <c r="J65" s="86" t="s">
        <v>1877</v>
      </c>
      <c r="K65" s="86"/>
      <c r="L65" s="86"/>
      <c r="M65" s="86"/>
      <c r="N65" s="86" t="s">
        <v>1878</v>
      </c>
      <c r="O65" s="86"/>
      <c r="P65" s="86"/>
      <c r="Q65" s="86"/>
    </row>
    <row r="66" spans="3:17" x14ac:dyDescent="0.25">
      <c r="C66" s="87" t="s">
        <v>1879</v>
      </c>
      <c r="D66" s="87" t="s">
        <v>1776</v>
      </c>
      <c r="E66" s="87" t="s">
        <v>1880</v>
      </c>
      <c r="F66" s="87" t="s">
        <v>151</v>
      </c>
      <c r="G66" s="87" t="s">
        <v>146</v>
      </c>
      <c r="H66" s="87" t="s">
        <v>1881</v>
      </c>
      <c r="I66" s="87" t="s">
        <v>1882</v>
      </c>
      <c r="J66" s="87" t="s">
        <v>151</v>
      </c>
      <c r="K66" s="87" t="s">
        <v>146</v>
      </c>
      <c r="L66" s="87" t="s">
        <v>1881</v>
      </c>
      <c r="M66" s="87" t="s">
        <v>1882</v>
      </c>
      <c r="N66" s="87" t="s">
        <v>151</v>
      </c>
      <c r="O66" s="87" t="s">
        <v>146</v>
      </c>
      <c r="P66" s="87" t="s">
        <v>1881</v>
      </c>
      <c r="Q66" s="87" t="s">
        <v>1882</v>
      </c>
    </row>
    <row r="67" spans="3:17" x14ac:dyDescent="0.25">
      <c r="C67" s="88">
        <v>1</v>
      </c>
      <c r="D67" s="88" t="s">
        <v>1883</v>
      </c>
      <c r="E67" s="88">
        <v>10</v>
      </c>
      <c r="F67" s="88">
        <v>126</v>
      </c>
      <c r="G67" s="88">
        <v>7</v>
      </c>
      <c r="H67" s="88">
        <v>1145</v>
      </c>
      <c r="I67" s="88">
        <v>100</v>
      </c>
      <c r="J67" s="88">
        <v>97</v>
      </c>
      <c r="K67" s="88">
        <v>9</v>
      </c>
      <c r="L67" s="88">
        <v>1260</v>
      </c>
      <c r="M67" s="88">
        <v>100</v>
      </c>
      <c r="N67" s="88">
        <v>103</v>
      </c>
      <c r="O67" s="88">
        <v>8</v>
      </c>
      <c r="P67" s="88">
        <v>1202</v>
      </c>
      <c r="Q67" s="88">
        <v>100</v>
      </c>
    </row>
    <row r="68" spans="3:17" x14ac:dyDescent="0.25">
      <c r="C68" s="88"/>
      <c r="D68" s="88" t="s">
        <v>1884</v>
      </c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</row>
    <row r="69" spans="3:17" x14ac:dyDescent="0.25">
      <c r="C69" s="88"/>
      <c r="D69" s="88" t="s">
        <v>1885</v>
      </c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</row>
    <row r="70" spans="3:17" x14ac:dyDescent="0.25">
      <c r="C70" s="88">
        <v>2</v>
      </c>
      <c r="D70" s="88" t="s">
        <v>1883</v>
      </c>
      <c r="E70" s="88">
        <v>70</v>
      </c>
      <c r="F70" s="88">
        <v>426</v>
      </c>
      <c r="G70" s="88">
        <v>18</v>
      </c>
      <c r="H70" s="88">
        <v>4360</v>
      </c>
      <c r="I70" s="88">
        <v>400</v>
      </c>
      <c r="J70" s="88">
        <v>328</v>
      </c>
      <c r="K70" s="88">
        <v>23</v>
      </c>
      <c r="L70" s="88">
        <v>4796</v>
      </c>
      <c r="M70" s="88">
        <v>400</v>
      </c>
      <c r="N70" s="88">
        <v>349</v>
      </c>
      <c r="O70" s="88">
        <v>21</v>
      </c>
      <c r="P70" s="88">
        <v>4578</v>
      </c>
      <c r="Q70" s="88">
        <v>400</v>
      </c>
    </row>
    <row r="71" spans="3:17" x14ac:dyDescent="0.25">
      <c r="C71" s="88"/>
      <c r="D71" s="88" t="s">
        <v>1884</v>
      </c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</row>
    <row r="72" spans="3:17" x14ac:dyDescent="0.25">
      <c r="C72" s="88"/>
      <c r="D72" s="88" t="s">
        <v>1885</v>
      </c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</row>
    <row r="73" spans="3:17" x14ac:dyDescent="0.25">
      <c r="C73" s="88">
        <v>3</v>
      </c>
      <c r="D73" s="88" t="s">
        <v>1883</v>
      </c>
      <c r="E73" s="88">
        <v>150</v>
      </c>
      <c r="F73" s="88">
        <v>950</v>
      </c>
      <c r="G73" s="88">
        <v>37</v>
      </c>
      <c r="H73" s="88">
        <v>9970</v>
      </c>
      <c r="I73" s="88">
        <v>800</v>
      </c>
      <c r="J73" s="88">
        <v>732</v>
      </c>
      <c r="K73" s="88">
        <v>48</v>
      </c>
      <c r="L73" s="88">
        <v>10967</v>
      </c>
      <c r="M73" s="88">
        <v>800</v>
      </c>
      <c r="N73" s="88">
        <v>779</v>
      </c>
      <c r="O73" s="88">
        <v>44</v>
      </c>
      <c r="P73" s="88">
        <v>10469</v>
      </c>
      <c r="Q73" s="88">
        <v>800</v>
      </c>
    </row>
    <row r="74" spans="3:17" x14ac:dyDescent="0.25">
      <c r="C74" s="88"/>
      <c r="D74" s="88" t="s">
        <v>1884</v>
      </c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</row>
    <row r="75" spans="3:17" x14ac:dyDescent="0.25">
      <c r="C75" s="88"/>
      <c r="D75" s="88" t="s">
        <v>1885</v>
      </c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</row>
    <row r="78" spans="6:17" x14ac:dyDescent="0.25">
      <c r="F78" t="str">
        <f>F$64&amp;","&amp;F67</f>
        <v>101,126</v>
      </c>
      <c r="G78" t="str">
        <f>G$64&amp;","&amp;G67</f>
        <v>102,7</v>
      </c>
      <c r="H78" t="str">
        <f>H$64&amp;","&amp;H67</f>
        <v>100,1145</v>
      </c>
      <c r="I78" t="str">
        <f t="shared" ref="I78:Q78" si="1">I$64&amp;","&amp;I67</f>
        <v>132,100</v>
      </c>
      <c r="J78" t="str">
        <f t="shared" si="1"/>
        <v>101,97</v>
      </c>
      <c r="K78" t="str">
        <f t="shared" si="1"/>
        <v>102,9</v>
      </c>
      <c r="L78" t="str">
        <f t="shared" si="1"/>
        <v>100,1260</v>
      </c>
      <c r="M78" t="str">
        <f t="shared" si="1"/>
        <v>132,100</v>
      </c>
      <c r="N78" t="str">
        <f t="shared" si="1"/>
        <v>101,103</v>
      </c>
      <c r="O78" t="str">
        <f t="shared" si="1"/>
        <v>102,8</v>
      </c>
      <c r="P78" t="str">
        <f t="shared" si="1"/>
        <v>100,1202</v>
      </c>
      <c r="Q78" t="str">
        <f t="shared" si="1"/>
        <v>132,100</v>
      </c>
    </row>
    <row r="81" spans="6:17" x14ac:dyDescent="0.25">
      <c r="F81" t="str">
        <f>F$64&amp;","&amp;F70</f>
        <v>101,426</v>
      </c>
      <c r="G81" t="str">
        <f>G$64&amp;","&amp;G70</f>
        <v>102,18</v>
      </c>
      <c r="H81" t="str">
        <f>H$64&amp;","&amp;H70</f>
        <v>100,4360</v>
      </c>
      <c r="I81" t="str">
        <f t="shared" ref="I81:Q81" si="2">I$64&amp;","&amp;I70</f>
        <v>132,400</v>
      </c>
      <c r="J81" t="str">
        <f t="shared" si="2"/>
        <v>101,328</v>
      </c>
      <c r="K81" t="str">
        <f t="shared" si="2"/>
        <v>102,23</v>
      </c>
      <c r="L81" t="str">
        <f t="shared" si="2"/>
        <v>100,4796</v>
      </c>
      <c r="M81" t="str">
        <f t="shared" si="2"/>
        <v>132,400</v>
      </c>
      <c r="N81" t="str">
        <f t="shared" si="2"/>
        <v>101,349</v>
      </c>
      <c r="O81" t="str">
        <f t="shared" si="2"/>
        <v>102,21</v>
      </c>
      <c r="P81" t="str">
        <f t="shared" si="2"/>
        <v>100,4578</v>
      </c>
      <c r="Q81" t="str">
        <f t="shared" si="2"/>
        <v>132,400</v>
      </c>
    </row>
    <row r="84" spans="6:17" x14ac:dyDescent="0.25">
      <c r="F84" t="str">
        <f>F$64&amp;","&amp;F73</f>
        <v>101,950</v>
      </c>
      <c r="G84" t="str">
        <f>G$64&amp;","&amp;G73</f>
        <v>102,37</v>
      </c>
      <c r="H84" t="str">
        <f>H$64&amp;","&amp;H73</f>
        <v>100,9970</v>
      </c>
      <c r="I84" t="str">
        <f t="shared" ref="I84:Q84" si="3">I$64&amp;","&amp;I73</f>
        <v>132,800</v>
      </c>
      <c r="J84" t="str">
        <f t="shared" si="3"/>
        <v>101,732</v>
      </c>
      <c r="K84" t="str">
        <f t="shared" si="3"/>
        <v>102,48</v>
      </c>
      <c r="L84" t="str">
        <f t="shared" si="3"/>
        <v>100,10967</v>
      </c>
      <c r="M84" t="str">
        <f t="shared" si="3"/>
        <v>132,800</v>
      </c>
      <c r="N84" t="str">
        <f t="shared" si="3"/>
        <v>101,779</v>
      </c>
      <c r="O84" t="str">
        <f t="shared" si="3"/>
        <v>102,44</v>
      </c>
      <c r="P84" t="str">
        <f t="shared" si="3"/>
        <v>100,10469</v>
      </c>
      <c r="Q84" t="str">
        <f t="shared" si="3"/>
        <v>132,800</v>
      </c>
    </row>
    <row r="89" spans="6:14" x14ac:dyDescent="0.25">
      <c r="F89" t="str">
        <f>F78&amp;"|"&amp;G78&amp;"|"&amp;H78&amp;"|"&amp;I78</f>
        <v>101,126|102,7|100,1145|132,100</v>
      </c>
      <c r="J89" t="str">
        <f>J78&amp;"|"&amp;K78&amp;"|"&amp;L78&amp;"|"&amp;M78</f>
        <v>101,97|102,9|100,1260|132,100</v>
      </c>
      <c r="N89" t="str">
        <f>N78&amp;"|"&amp;O78&amp;"|"&amp;P78&amp;"|"&amp;Q78</f>
        <v>101,103|102,8|100,1202|132,100</v>
      </c>
    </row>
    <row r="92" spans="6:14" x14ac:dyDescent="0.25">
      <c r="F92" t="str">
        <f>F81&amp;"|"&amp;G81&amp;"|"&amp;H81&amp;"|"&amp;I81</f>
        <v>101,426|102,18|100,4360|132,400</v>
      </c>
      <c r="J92" t="str">
        <f>J81&amp;"|"&amp;K81&amp;"|"&amp;L81&amp;"|"&amp;M81</f>
        <v>101,328|102,23|100,4796|132,400</v>
      </c>
      <c r="N92" t="str">
        <f>N81&amp;"|"&amp;O81&amp;"|"&amp;P81&amp;"|"&amp;Q81</f>
        <v>101,349|102,21|100,4578|132,400</v>
      </c>
    </row>
    <row r="95" spans="6:14" x14ac:dyDescent="0.25">
      <c r="F95" t="str">
        <f>F84&amp;"|"&amp;G84&amp;"|"&amp;H84&amp;"|"&amp;I84</f>
        <v>101,950|102,37|100,9970|132,800</v>
      </c>
      <c r="J95" t="str">
        <f>J84&amp;"|"&amp;K84&amp;"|"&amp;L84&amp;"|"&amp;M84</f>
        <v>101,732|102,48|100,10967|132,800</v>
      </c>
      <c r="N95" t="str">
        <f>N84&amp;"|"&amp;O84&amp;"|"&amp;P84&amp;"|"&amp;Q84</f>
        <v>101,779|102,44|100,10469|132,800</v>
      </c>
    </row>
    <row r="99" spans="3:5" x14ac:dyDescent="0.25">
      <c r="C99" t="s">
        <v>1886</v>
      </c>
      <c r="D99" t="s">
        <v>151</v>
      </c>
      <c r="E99" t="s">
        <v>1887</v>
      </c>
    </row>
    <row r="100" spans="4:5" x14ac:dyDescent="0.25">
      <c r="D100" t="s">
        <v>146</v>
      </c>
      <c r="E100" t="s">
        <v>1888</v>
      </c>
    </row>
    <row r="101" spans="4:5" x14ac:dyDescent="0.25">
      <c r="D101" t="s">
        <v>138</v>
      </c>
      <c r="E101" t="s">
        <v>1889</v>
      </c>
    </row>
    <row r="102" spans="3:5" x14ac:dyDescent="0.25">
      <c r="C102" t="s">
        <v>1890</v>
      </c>
      <c r="D102" t="s">
        <v>151</v>
      </c>
      <c r="E102" t="s">
        <v>1891</v>
      </c>
    </row>
    <row r="103" spans="4:5" x14ac:dyDescent="0.25">
      <c r="D103" t="s">
        <v>146</v>
      </c>
      <c r="E103" t="s">
        <v>1892</v>
      </c>
    </row>
    <row r="104" spans="4:5" x14ac:dyDescent="0.25">
      <c r="D104" t="s">
        <v>138</v>
      </c>
      <c r="E104" t="s">
        <v>1893</v>
      </c>
    </row>
    <row r="105" spans="3:5" x14ac:dyDescent="0.25">
      <c r="C105" t="s">
        <v>1894</v>
      </c>
      <c r="D105" t="s">
        <v>151</v>
      </c>
      <c r="E105" t="s">
        <v>1895</v>
      </c>
    </row>
    <row r="106" spans="4:5" x14ac:dyDescent="0.25">
      <c r="D106" t="s">
        <v>146</v>
      </c>
      <c r="E106" t="s">
        <v>1896</v>
      </c>
    </row>
    <row r="107" spans="4:5" x14ac:dyDescent="0.25">
      <c r="D107" t="s">
        <v>138</v>
      </c>
      <c r="E107" t="s">
        <v>1897</v>
      </c>
    </row>
    <row r="111" spans="3:7" x14ac:dyDescent="0.25">
      <c r="C111" s="38" t="s">
        <v>138</v>
      </c>
      <c r="D111" s="38" t="s">
        <v>139</v>
      </c>
      <c r="E111" t="s">
        <v>1889</v>
      </c>
      <c r="F111" t="s">
        <v>1893</v>
      </c>
      <c r="G111" t="s">
        <v>1897</v>
      </c>
    </row>
    <row r="112" spans="3:7" x14ac:dyDescent="0.25">
      <c r="C112" s="38" t="s">
        <v>138</v>
      </c>
      <c r="D112" s="38" t="s">
        <v>143</v>
      </c>
      <c r="E112" t="s">
        <v>1889</v>
      </c>
      <c r="F112" t="s">
        <v>1893</v>
      </c>
      <c r="G112" t="s">
        <v>1897</v>
      </c>
    </row>
    <row r="113" spans="3:7" x14ac:dyDescent="0.25">
      <c r="C113" s="38" t="s">
        <v>146</v>
      </c>
      <c r="D113" s="38" t="s">
        <v>147</v>
      </c>
      <c r="E113" t="s">
        <v>1888</v>
      </c>
      <c r="F113" t="s">
        <v>1892</v>
      </c>
      <c r="G113" t="s">
        <v>1896</v>
      </c>
    </row>
    <row r="114" spans="3:7" x14ac:dyDescent="0.25">
      <c r="C114" s="38" t="s">
        <v>151</v>
      </c>
      <c r="D114" s="38" t="s">
        <v>152</v>
      </c>
      <c r="E114" t="s">
        <v>1887</v>
      </c>
      <c r="F114" t="s">
        <v>1891</v>
      </c>
      <c r="G114" t="s">
        <v>1895</v>
      </c>
    </row>
    <row r="115" spans="3:7" x14ac:dyDescent="0.25">
      <c r="C115" s="38" t="s">
        <v>151</v>
      </c>
      <c r="D115" s="38" t="s">
        <v>156</v>
      </c>
      <c r="E115" t="s">
        <v>1887</v>
      </c>
      <c r="F115" t="s">
        <v>1891</v>
      </c>
      <c r="G115" t="s">
        <v>1895</v>
      </c>
    </row>
    <row r="116" spans="3:7" x14ac:dyDescent="0.25">
      <c r="C116" s="38" t="s">
        <v>146</v>
      </c>
      <c r="D116" s="38" t="s">
        <v>159</v>
      </c>
      <c r="E116" t="s">
        <v>1888</v>
      </c>
      <c r="F116" t="s">
        <v>1892</v>
      </c>
      <c r="G116" t="s">
        <v>1896</v>
      </c>
    </row>
    <row r="117" spans="3:7" x14ac:dyDescent="0.25">
      <c r="C117" s="38" t="s">
        <v>151</v>
      </c>
      <c r="D117" s="38" t="s">
        <v>162</v>
      </c>
      <c r="E117" t="s">
        <v>1887</v>
      </c>
      <c r="F117" t="s">
        <v>1891</v>
      </c>
      <c r="G117" t="s">
        <v>1895</v>
      </c>
    </row>
    <row r="118" spans="3:7" x14ac:dyDescent="0.25">
      <c r="C118" s="38" t="s">
        <v>151</v>
      </c>
      <c r="D118" s="38" t="s">
        <v>165</v>
      </c>
      <c r="E118" t="s">
        <v>1887</v>
      </c>
      <c r="F118" t="s">
        <v>1891</v>
      </c>
      <c r="G118" t="s">
        <v>1895</v>
      </c>
    </row>
    <row r="119" spans="3:7" x14ac:dyDescent="0.25">
      <c r="C119" s="38" t="s">
        <v>138</v>
      </c>
      <c r="D119" s="38" t="s">
        <v>168</v>
      </c>
      <c r="E119" t="s">
        <v>1889</v>
      </c>
      <c r="F119" t="s">
        <v>1893</v>
      </c>
      <c r="G119" t="s">
        <v>1897</v>
      </c>
    </row>
    <row r="120" spans="3:7" x14ac:dyDescent="0.25">
      <c r="C120" s="38" t="s">
        <v>151</v>
      </c>
      <c r="D120" s="38" t="s">
        <v>171</v>
      </c>
      <c r="E120" t="s">
        <v>1887</v>
      </c>
      <c r="F120" t="s">
        <v>1891</v>
      </c>
      <c r="G120" t="s">
        <v>1895</v>
      </c>
    </row>
    <row r="121" spans="3:7" x14ac:dyDescent="0.25">
      <c r="C121" s="38" t="s">
        <v>151</v>
      </c>
      <c r="D121" s="38" t="s">
        <v>174</v>
      </c>
      <c r="E121" t="s">
        <v>1887</v>
      </c>
      <c r="F121" t="s">
        <v>1891</v>
      </c>
      <c r="G121" t="s">
        <v>1895</v>
      </c>
    </row>
  </sheetData>
  <mergeCells count="6">
    <mergeCell ref="F65:I65"/>
    <mergeCell ref="J65:M65"/>
    <mergeCell ref="N65:Q65"/>
    <mergeCell ref="C67:C69"/>
    <mergeCell ref="C70:C72"/>
    <mergeCell ref="C73:C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monster</vt:lpstr>
      <vt:lpstr>monsterStrongholdDisplay</vt:lpstr>
      <vt:lpstr>monster_group</vt:lpstr>
      <vt:lpstr>monster_RefreshLevel</vt:lpstr>
      <vt:lpstr>monster_RefreshNum</vt:lpstr>
      <vt:lpstr>victoryRule</vt:lpstr>
      <vt:lpstr>#Sheet1</vt:lpstr>
      <vt:lpstr>#怪物配置辅助表</vt:lpstr>
    </vt:vector>
  </TitlesOfParts>
  <Company>ELEX-智明星通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王峰</dc:creator>
  <cp:lastModifiedBy>JJ是我老婆</cp:lastModifiedBy>
  <dcterms:created xsi:type="dcterms:W3CDTF">2022-05-07T06:01:00Z</dcterms:created>
  <dcterms:modified xsi:type="dcterms:W3CDTF">2026-01-28T08:30:59Z</dcterms:modified>
</cp:coreProperties>
</file>