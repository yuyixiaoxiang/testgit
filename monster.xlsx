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<sst xmlns="http://schemas.openxmlformats.org/spreadsheetml/2006/main" count="8496" uniqueCount="1899">
  <si>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</si>
  <si>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</si>
  <si>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</si>
  <si>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</si>
  <si>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</si>
  <si>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</si>
  <si>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</si>
  <si>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</si>
  <si>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</si>
  <si>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</si>
  <si>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</si>
  <si>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</si>
  <si>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</si>
  <si>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</si>
  <si>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</si>
  <si>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</si>
  <si>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</si>
  <si>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</si>
  <si>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</si>
  <si>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</si>
  <si>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</si>
  <si>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</si>
  <si>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</si>
  <si>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</si>
  <si>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</si>
  <si>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</si>
  <si>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</si>
  <si>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</si>
  <si>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</si>
  <si>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</si>
  <si>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</si>
  <si>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</si>
  <si>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</si>
  <si>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</si>
  <si>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r>
      <rPr>
        <b/>
        <sz val="11"/>
        <rFont val="Microsoft YaHei Light"/>
        <charset val="134"/>
      </rPr>
      <t>战场结算时间，单位：秒（0</t>
    </r>
    <r>
      <rPr>
        <b/>
        <sz val="11"/>
        <rFont val="Microsoft YaHei Light"/>
        <charset val="134"/>
      </rPr>
      <t>-40开区间</t>
    </r>
    <r>
      <rPr>
        <b/>
        <sz val="11"/>
        <rFont val="Microsoft YaHei Light"/>
        <charset val="134"/>
      </rPr>
      <t>）。战斗开始倒计时，倒计时结束战斗结束。胜负关系由victoryRule字段决定</t>
    </r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</si>
  <si>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</si>
  <si>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</si>
  <si>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</si>
  <si>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</si>
  <si>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</si>
  <si>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</si>
  <si>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</si>
  <si>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</si>
  <si>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</si>
  <si>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</si>
  <si>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</si>
  <si>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</si>
  <si>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</si>
  <si>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</si>
  <si>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</si>
  <si>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</si>
  <si>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</si>
  <si>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</si>
  <si>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</si>
  <si>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</si>
  <si>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</si>
  <si>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</si>
  <si>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</si>
  <si>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</si>
  <si>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</si>
  <si>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</si>
  <si>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</si>
  <si>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</si>
  <si>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</si>
  <si>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</si>
  <si>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</si>
  <si>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</si>
  <si>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</si>
  <si>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</si>
  <si>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</si>
  <si>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</si>
  <si>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</si>
  <si>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</si>
  <si>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</si>
  <si>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</si>
  <si>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</si>
  <si>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</si>
  <si>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</si>
  <si>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</si>
  <si>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</si>
  <si>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</si>
  <si>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</si>
  <si>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</si>
  <si>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</si>
  <si>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</si>
  <si>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</si>
  <si>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</si>
  <si>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</si>
  <si>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</si>
  <si>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</si>
  <si>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</si>
  <si>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</si>
  <si>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</si>
  <si>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</si>
  <si>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</si>
  <si>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</si>
  <si>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</si>
  <si>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</si>
  <si>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</si>
  <si>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</si>
  <si>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</si>
  <si>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</si>
  <si>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</si>
  <si>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</si>
  <si>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</si>
  <si>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</si>
  <si>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</si>
  <si>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</si>
  <si>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</si>
  <si>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</si>
  <si>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</si>
  <si>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</si>
  <si>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</si>
  <si>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</si>
  <si>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</si>
  <si>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</si>
  <si>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</si>
  <si>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</si>
  <si>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</si>
  <si>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</si>
  <si>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</si>
  <si>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</si>
  <si>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</si>
  <si>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</si>
  <si>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</si>
  <si>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</si>
  <si>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</si>
  <si>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</si>
  <si>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</si>
  <si>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</si>
  <si>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</si>
  <si>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</si>
  <si>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</si>
  <si>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</si>
  <si>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</si>
  <si>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</si>
  <si>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</si>
  <si>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</si>
  <si>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</si>
  <si>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</si>
  <si>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</si>
  <si>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</si>
  <si>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</si>
  <si>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</si>
  <si>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</si>
  <si>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</si>
  <si>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</si>
  <si>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</si>
  <si>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夏侯惇</t>
  </si>
  <si>
    <t>P_dujiaoguiwang</t>
  </si>
  <si>
    <t>100,56280|101,3810|102,770|132,100</t>
  </si>
  <si>
    <t>400012|410012</t>
  </si>
  <si>
    <t>攻</t>
  </si>
  <si>
    <t>刘备</t>
  </si>
  <si>
    <t>sp_hero_liubei</t>
  </si>
  <si>
    <t>100,51170|101,4950|102,600|132,100</t>
  </si>
  <si>
    <t>400003|410003</t>
  </si>
  <si>
    <t>曹操</t>
  </si>
  <si>
    <t>P_shaseng</t>
  </si>
  <si>
    <t>400011|410011</t>
  </si>
  <si>
    <t>孙权</t>
  </si>
  <si>
    <t>P_tongbiyuanhou</t>
  </si>
  <si>
    <t>400007|410007</t>
  </si>
  <si>
    <t>关羽</t>
  </si>
  <si>
    <t>sp_hero_guanyu</t>
  </si>
  <si>
    <t>400004|410004</t>
  </si>
  <si>
    <t>吕布</t>
  </si>
  <si>
    <t>P_qitiandasheng</t>
  </si>
  <si>
    <t>400009|410009</t>
  </si>
  <si>
    <t>貂蝉</t>
  </si>
  <si>
    <t>P_diaochan</t>
  </si>
  <si>
    <t>400010|410010</t>
  </si>
  <si>
    <t>诸葛亮</t>
  </si>
  <si>
    <t>P_taishanglaojun</t>
  </si>
  <si>
    <t>400002|410002</t>
  </si>
  <si>
    <t>周瑜</t>
  </si>
  <si>
    <t>P_huodexingjun</t>
  </si>
  <si>
    <t>400006|410006</t>
  </si>
  <si>
    <t>据点第一章</t>
  </si>
  <si>
    <t>101,40|102,4|100,500|132,100</t>
  </si>
  <si>
    <t>据点第二章</t>
  </si>
  <si>
    <t>101,349|102,21|100,4578|132,300</t>
  </si>
  <si>
    <t>101,328|102,23|100,4796|132,300</t>
  </si>
  <si>
    <t>101,426|102,18|100,4360|132,300</t>
  </si>
  <si>
    <t>据点第三章</t>
  </si>
  <si>
    <t>101,779|102,44|100,10469|132,600</t>
  </si>
  <si>
    <t>101,732|102,48|100,10967|132,600</t>
  </si>
  <si>
    <t>101,950|102,37|100,9970|132,600</t>
  </si>
  <si>
    <t>据点第四章</t>
  </si>
  <si>
    <t>101,1501|102,81|100,20433|132,1200</t>
  </si>
  <si>
    <t>101,1409|102,89|100,21406|132,1200</t>
  </si>
  <si>
    <t>101,1830|102,69|100,19460|132,1200</t>
  </si>
  <si>
    <t>据点第五章</t>
  </si>
  <si>
    <t>101,2306|102,123|100,31563|132,1800</t>
  </si>
  <si>
    <t>101,2165|102,134|100,33066|132,1800</t>
  </si>
  <si>
    <t>101,21232|102,104|100,30060|132,1800</t>
  </si>
  <si>
    <t>据点第六章</t>
  </si>
  <si>
    <t>101,3496|102,184|100,418448|132,2200</t>
  </si>
  <si>
    <t>101,3283|102,201|100,50441|132,2200</t>
  </si>
  <si>
    <t>101,4264|102,156|100,45855|132,2200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</si>
  <si>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</si>
  <si>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</si>
  <si>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</si>
  <si>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</si>
  <si>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</si>
  <si>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</si>
  <si>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</si>
  <si>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</si>
  <si>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</si>
  <si>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</si>
  <si>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</si>
  <si>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</si>
  <si>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</si>
  <si>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</si>
  <si>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</si>
  <si>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</si>
  <si>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</si>
  <si>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</si>
  <si>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</si>
  <si>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</si>
  <si>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</si>
  <si>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</si>
  <si>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</si>
  <si>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</si>
  <si>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</si>
  <si>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</si>
  <si>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</si>
  <si>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</si>
  <si>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</si>
  <si>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</si>
  <si>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</si>
  <si>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</si>
  <si>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</si>
  <si>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</si>
  <si>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</si>
  <si>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</si>
  <si>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</si>
  <si>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</si>
  <si>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</si>
  <si>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</si>
  <si>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</si>
  <si>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</si>
  <si>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</si>
  <si>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</si>
  <si>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</si>
  <si>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</si>
  <si>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</si>
  <si>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</si>
  <si>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</si>
  <si>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</si>
  <si>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</si>
  <si>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</si>
  <si>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</si>
  <si>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</si>
  <si>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</si>
  <si>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</si>
  <si>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</si>
  <si>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</si>
  <si>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</si>
  <si>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</si>
  <si>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</si>
  <si>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</si>
  <si>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</si>
  <si>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</si>
  <si>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</si>
  <si>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</si>
  <si>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</si>
  <si>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</si>
  <si>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</si>
  <si>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</si>
  <si>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</si>
  <si>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</si>
  <si>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</si>
  <si>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</si>
  <si>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</si>
  <si>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</si>
  <si>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</si>
  <si>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</si>
  <si>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</si>
  <si>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</si>
  <si>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</si>
  <si>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</si>
  <si>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</si>
  <si>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</si>
  <si>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</si>
  <si>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</si>
  <si>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</si>
  <si>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</si>
  <si>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</si>
  <si>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</si>
  <si>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</si>
  <si>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</si>
  <si>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</si>
  <si>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</si>
  <si>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</si>
  <si>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</si>
  <si>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</si>
  <si>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</si>
  <si>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</si>
  <si>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</si>
  <si>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</si>
  <si>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</si>
  <si>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</si>
  <si>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</si>
  <si>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</si>
  <si>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</si>
  <si>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</si>
  <si>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</si>
  <si>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</si>
  <si>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</si>
  <si>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</si>
  <si>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</si>
  <si>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</si>
  <si>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</si>
  <si>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</si>
  <si>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</si>
  <si>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</si>
  <si>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</si>
  <si>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</si>
  <si>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</si>
  <si>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</si>
  <si>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</si>
  <si>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</si>
  <si>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</si>
  <si>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</si>
  <si>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</si>
  <si>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</si>
  <si>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</si>
  <si>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</si>
  <si>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</si>
  <si>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</si>
  <si>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</si>
  <si>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</si>
  <si>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</si>
  <si>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</si>
  <si>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</si>
  <si>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</si>
  <si>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</si>
  <si>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</si>
  <si>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</si>
  <si>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</si>
  <si>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</si>
  <si>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</si>
  <si>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</si>
  <si>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</si>
  <si>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</si>
  <si>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</si>
  <si>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</si>
  <si>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</si>
  <si>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</si>
  <si>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</si>
  <si>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</si>
  <si>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</si>
  <si>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</si>
  <si>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</si>
  <si>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</si>
  <si>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</si>
  <si>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</si>
  <si>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</si>
  <si>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</si>
  <si>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</si>
  <si>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</si>
  <si>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</si>
  <si>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</si>
  <si>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</si>
  <si>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</si>
  <si>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</si>
  <si>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</si>
  <si>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</si>
  <si>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</si>
  <si>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</si>
  <si>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</si>
  <si>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</si>
  <si>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</si>
  <si>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</si>
  <si>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</si>
  <si>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</si>
  <si>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</si>
  <si>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</si>
  <si>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</si>
  <si>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</si>
  <si>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</si>
  <si>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</si>
  <si>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</si>
  <si>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</si>
  <si>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</si>
  <si>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</si>
  <si>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</si>
  <si>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</si>
  <si>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</si>
  <si>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</si>
  <si>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</si>
  <si>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</si>
  <si>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</si>
  <si>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</si>
  <si>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</si>
  <si>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</si>
  <si>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</si>
  <si>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</si>
  <si>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</si>
  <si>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</si>
  <si>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</si>
  <si>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</si>
  <si>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</si>
  <si>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</si>
  <si>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</si>
  <si>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</si>
  <si>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</si>
  <si>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</si>
  <si>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</si>
  <si>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</si>
  <si>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</si>
  <si>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</si>
  <si>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</si>
  <si>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</si>
  <si>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</si>
  <si>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</si>
  <si>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</si>
  <si>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</si>
  <si>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</si>
  <si>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</si>
  <si>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</si>
  <si>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</si>
  <si>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</si>
  <si>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</si>
  <si>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</si>
  <si>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</si>
  <si>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</si>
  <si>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</si>
  <si>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</si>
  <si>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</si>
  <si>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</si>
  <si>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</si>
  <si>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</si>
  <si>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</si>
  <si>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</si>
  <si>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</si>
  <si>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</si>
  <si>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</si>
  <si>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</si>
  <si>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</si>
  <si>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</si>
  <si>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</si>
  <si>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</si>
  <si>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</si>
  <si>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</si>
  <si>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</si>
  <si>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</si>
  <si>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</si>
  <si>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</si>
  <si>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</si>
  <si>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</si>
  <si>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</si>
  <si>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</si>
  <si>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</si>
  <si>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</si>
  <si>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</si>
  <si>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</si>
  <si>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</si>
  <si>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</si>
  <si>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</si>
  <si>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</si>
  <si>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</si>
  <si>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</si>
  <si>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</si>
  <si>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</si>
  <si>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</si>
  <si>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</si>
  <si>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</si>
  <si>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</si>
  <si>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</si>
  <si>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</si>
  <si>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</si>
  <si>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</si>
  <si>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</si>
  <si>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</si>
  <si>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</si>
  <si>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</si>
  <si>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</si>
  <si>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</si>
  <si>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</si>
  <si>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</si>
  <si>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</si>
  <si>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</si>
  <si>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</si>
  <si>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</si>
  <si>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</si>
  <si>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</si>
  <si>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</si>
  <si>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</si>
  <si>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</si>
  <si>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</si>
  <si>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</si>
  <si>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</si>
  <si>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</si>
  <si>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</si>
  <si>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</si>
  <si>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</si>
  <si>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</si>
  <si>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</si>
  <si>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</si>
  <si>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</si>
  <si>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</si>
  <si>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</si>
  <si>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</si>
  <si>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</si>
  <si>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</si>
  <si>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</si>
  <si>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</si>
  <si>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</si>
  <si>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</si>
  <si>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</si>
  <si>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</si>
  <si>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</si>
  <si>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</si>
  <si>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</si>
  <si>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</si>
  <si>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</si>
  <si>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</si>
  <si>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</si>
  <si>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</si>
  <si>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</si>
  <si>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</si>
  <si>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</si>
  <si>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</si>
  <si>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</si>
  <si>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</si>
  <si>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</si>
  <si>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</si>
  <si>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</si>
  <si>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</si>
  <si>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</si>
  <si>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</si>
  <si>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</si>
  <si>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</si>
  <si>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</si>
  <si>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</si>
  <si>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</si>
  <si>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</si>
  <si>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</si>
  <si>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</si>
  <si>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</si>
  <si>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</si>
  <si>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</si>
  <si>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</si>
  <si>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</si>
  <si>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</si>
  <si>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</si>
  <si>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</si>
  <si>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</si>
  <si>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</si>
  <si>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</si>
  <si>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</si>
  <si>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</si>
  <si>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</si>
  <si>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</si>
  <si>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</si>
  <si>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</si>
  <si>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</si>
  <si>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</si>
  <si>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</si>
  <si>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</si>
  <si>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</si>
  <si>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</si>
  <si>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</si>
  <si>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</si>
  <si>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</si>
  <si>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</si>
  <si>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</si>
  <si>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</si>
  <si>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</si>
  <si>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</si>
  <si>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</si>
  <si>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</si>
  <si>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</si>
  <si>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</si>
  <si>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</si>
  <si>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</si>
  <si>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</si>
  <si>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</si>
  <si>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</si>
  <si>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</si>
  <si>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</si>
  <si>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</si>
  <si>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</si>
  <si>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</si>
  <si>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</si>
  <si>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</si>
  <si>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</si>
  <si>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</si>
  <si>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</si>
  <si>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</si>
  <si>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</si>
  <si>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</si>
  <si>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</si>
  <si>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</si>
  <si>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</si>
  <si>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</si>
  <si>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</si>
  <si>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</si>
  <si>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</si>
  <si>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</si>
  <si>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</si>
  <si>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</si>
  <si>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</si>
  <si>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</si>
  <si>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</si>
  <si>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</si>
  <si>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</si>
  <si>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</si>
  <si>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</si>
  <si>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</si>
  <si>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</si>
  <si>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</si>
  <si>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</si>
  <si>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</si>
  <si>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</si>
  <si>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</si>
  <si>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</si>
  <si>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</si>
  <si>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</si>
  <si>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</si>
  <si>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</si>
  <si>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</si>
  <si>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</si>
  <si>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</si>
  <si>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</si>
  <si>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</si>
  <si>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</si>
  <si>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</si>
  <si>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</si>
  <si>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</si>
  <si>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</si>
  <si>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</si>
  <si>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</si>
  <si>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</si>
  <si>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</si>
  <si>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</si>
  <si>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</si>
  <si>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</si>
  <si>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</si>
  <si>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</si>
  <si>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</si>
  <si>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</si>
  <si>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</si>
  <si>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</si>
  <si>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</si>
  <si>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</si>
  <si>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</si>
  <si>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</si>
  <si>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</si>
  <si>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</si>
  <si>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</si>
  <si>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</si>
  <si>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</si>
  <si>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</si>
  <si>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</si>
  <si>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</si>
  <si>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</si>
  <si>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</si>
  <si>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</si>
  <si>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</si>
  <si>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</si>
  <si>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</si>
  <si>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</si>
  <si>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</si>
  <si>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</si>
  <si>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</si>
  <si>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</si>
  <si>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</si>
  <si>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</si>
  <si>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</si>
  <si>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</si>
  <si>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</si>
  <si>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</si>
  <si>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</si>
  <si>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</si>
  <si>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</si>
  <si>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</si>
  <si>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</si>
  <si>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</si>
  <si>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</si>
  <si>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</si>
  <si>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</si>
  <si>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</si>
  <si>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</si>
  <si>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</si>
  <si>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</si>
  <si>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</si>
  <si>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</si>
  <si>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</si>
  <si>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</si>
  <si>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</si>
  <si>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</si>
  <si>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</si>
  <si>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</si>
  <si>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</si>
  <si>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</si>
  <si>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</si>
  <si>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</si>
  <si>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</si>
  <si>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</si>
  <si>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</si>
  <si>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</si>
  <si>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</si>
  <si>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</si>
  <si>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</si>
  <si>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</si>
  <si>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</si>
  <si>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</si>
  <si>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</si>
  <si>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</si>
  <si>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</si>
  <si>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</si>
  <si>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</si>
  <si>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</si>
  <si>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</si>
  <si>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</si>
  <si>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</si>
  <si>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</si>
  <si>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</si>
  <si>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</si>
  <si>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</si>
  <si>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</si>
  <si>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</si>
  <si>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</si>
  <si>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</si>
  <si>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</si>
  <si>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</si>
  <si>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</si>
  <si>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</si>
  <si>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</si>
  <si>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</si>
  <si>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</si>
  <si>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</si>
  <si>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</si>
  <si>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</si>
  <si>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</si>
  <si>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</si>
  <si>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</si>
  <si>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</si>
  <si>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</si>
  <si>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</si>
  <si>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</si>
  <si>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</si>
  <si>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</si>
  <si>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</si>
  <si>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</si>
  <si>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</si>
  <si>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</si>
  <si>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</si>
  <si>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</si>
  <si>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</si>
  <si>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</si>
  <si>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</si>
  <si>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</si>
  <si>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</si>
  <si>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</si>
  <si>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</si>
  <si>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</si>
  <si>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</si>
  <si>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</si>
  <si>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</si>
  <si>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</si>
  <si>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</si>
  <si>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</si>
  <si>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</si>
  <si>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</si>
  <si>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</si>
  <si>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</si>
  <si>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</si>
  <si>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</si>
  <si>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</si>
  <si>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</si>
  <si>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</si>
  <si>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</si>
  <si>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</si>
  <si>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</si>
  <si>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</si>
  <si>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</si>
  <si>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</si>
  <si>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</si>
  <si>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</si>
  <si>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</si>
  <si>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</si>
  <si>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</si>
  <si>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</si>
  <si>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</si>
  <si>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</si>
  <si>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</si>
  <si>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</si>
  <si>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</si>
  <si>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</si>
  <si>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</si>
  <si>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</si>
  <si>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</si>
  <si>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</si>
  <si>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</si>
  <si>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</si>
  <si>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</si>
  <si>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</si>
  <si>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</si>
  <si>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</si>
  <si>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</si>
  <si>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</si>
  <si>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</si>
  <si>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</si>
  <si>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</si>
  <si>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</si>
  <si>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</si>
  <si>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</si>
  <si>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</si>
  <si>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</si>
  <si>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</si>
  <si>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</si>
  <si>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</si>
  <si>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</si>
  <si>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</si>
  <si>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</si>
  <si>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</si>
  <si>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</si>
  <si>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</si>
  <si>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</si>
  <si>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</si>
  <si>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</si>
  <si>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</si>
  <si>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</si>
  <si>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</si>
  <si>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</si>
  <si>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</si>
  <si>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</si>
  <si>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</si>
  <si>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</si>
  <si>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</si>
  <si>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</si>
  <si>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</si>
  <si>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</si>
  <si>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</si>
  <si>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</si>
  <si>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</si>
  <si>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</si>
  <si>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</si>
  <si>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</si>
  <si>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</si>
  <si>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</si>
  <si>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</si>
  <si>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</si>
  <si>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</si>
  <si>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</si>
  <si>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</si>
  <si>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</si>
  <si>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</si>
  <si>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</si>
  <si>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</si>
  <si>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</si>
  <si>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</si>
  <si>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</si>
  <si>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</si>
  <si>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</si>
  <si>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</si>
  <si>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</si>
  <si>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</si>
  <si>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</si>
  <si>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</si>
  <si>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</si>
  <si>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</si>
  <si>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</si>
  <si>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</si>
  <si>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</si>
  <si>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</si>
  <si>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</si>
  <si>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</si>
  <si>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</si>
  <si>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</si>
  <si>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</si>
  <si>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</si>
  <si>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</si>
  <si>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</si>
  <si>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</si>
  <si>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</si>
  <si>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</si>
  <si>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</si>
  <si>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</si>
  <si>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</si>
  <si>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</si>
  <si>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</si>
  <si>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</si>
  <si>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</si>
  <si>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</si>
  <si>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</si>
  <si>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</si>
  <si>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</si>
  <si>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</si>
  <si>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</si>
  <si>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</si>
  <si>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</si>
  <si>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</si>
  <si>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</si>
  <si>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</si>
  <si>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</si>
  <si>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</si>
  <si>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</si>
  <si>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</si>
  <si>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</si>
  <si>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</si>
  <si>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</si>
  <si>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</si>
  <si>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</si>
  <si>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</si>
  <si>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</si>
  <si>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</si>
  <si>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</si>
  <si>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</si>
  <si>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</si>
  <si>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</si>
  <si>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</si>
  <si>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</si>
  <si>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</si>
  <si>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</si>
  <si>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</si>
  <si>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</si>
  <si>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</si>
  <si>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</si>
  <si>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</si>
  <si>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</si>
  <si>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</si>
  <si>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</si>
  <si>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</si>
  <si>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</si>
  <si>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</si>
  <si>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</si>
  <si>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</si>
  <si>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</si>
  <si>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</si>
  <si>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</si>
  <si>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</si>
  <si>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</si>
  <si>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</si>
  <si>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</si>
  <si>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</si>
  <si>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</si>
  <si>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</si>
  <si>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</si>
  <si>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</si>
  <si>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</si>
  <si>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</si>
  <si>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</si>
  <si>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</si>
  <si>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</si>
  <si>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</si>
  <si>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</si>
  <si>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</si>
  <si>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</si>
  <si>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</si>
  <si>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</si>
  <si>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</si>
  <si>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</si>
  <si>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</si>
  <si>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</si>
  <si>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</si>
  <si>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</si>
  <si>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</si>
  <si>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</si>
  <si>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</si>
  <si>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</si>
  <si>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</si>
  <si>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</si>
  <si>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</si>
  <si>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</si>
  <si>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</si>
  <si>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</si>
  <si>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</si>
  <si>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</si>
  <si>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</si>
  <si>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</si>
  <si>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</si>
  <si>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</si>
  <si>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</si>
  <si>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</si>
  <si>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</si>
  <si>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</si>
  <si>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</si>
  <si>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</si>
  <si>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</si>
  <si>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</si>
  <si>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</si>
  <si>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</si>
  <si>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</si>
  <si>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</si>
  <si>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</si>
  <si>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</si>
  <si>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</si>
  <si>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</si>
  <si>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</si>
  <si>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</si>
  <si>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</si>
  <si>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</si>
  <si>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</si>
  <si>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</si>
  <si>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</si>
  <si>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</si>
  <si>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</si>
  <si>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</si>
  <si>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</si>
  <si>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</si>
  <si>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</si>
  <si>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</si>
  <si>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</si>
  <si>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</si>
  <si>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</si>
  <si>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</si>
  <si>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</si>
  <si>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</si>
  <si>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</si>
  <si>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</si>
  <si>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</si>
  <si>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</si>
  <si>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</si>
  <si>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</si>
  <si>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</si>
  <si>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</si>
  <si>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</si>
  <si>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</si>
  <si>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</si>
  <si>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</si>
  <si>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</si>
  <si>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</si>
  <si>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</si>
  <si>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</si>
  <si>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</si>
  <si>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</si>
  <si>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</si>
  <si>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</si>
  <si>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</si>
  <si>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</si>
  <si>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</si>
  <si>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</si>
  <si>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</si>
  <si>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</si>
  <si>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</si>
  <si>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</si>
  <si>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</si>
  <si>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</si>
  <si>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</si>
  <si>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</si>
  <si>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</si>
  <si>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</si>
  <si>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</si>
  <si>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</si>
  <si>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</si>
  <si>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</si>
  <si>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</si>
  <si>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</si>
  <si>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</si>
  <si>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</si>
  <si>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</si>
  <si>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</si>
  <si>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</si>
  <si>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</si>
  <si>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</si>
  <si>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</si>
  <si>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</si>
  <si>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</si>
  <si>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</si>
  <si>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</si>
  <si>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</si>
  <si>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</si>
  <si>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</si>
  <si>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</si>
  <si>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</si>
  <si>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</si>
  <si>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</si>
  <si>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</si>
  <si>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</si>
  <si>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</si>
  <si>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</si>
  <si>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</si>
  <si>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</si>
  <si>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</si>
  <si>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</si>
  <si>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</si>
  <si>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</si>
  <si>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</si>
  <si>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</si>
  <si>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</si>
  <si>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</si>
  <si>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</si>
  <si>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</si>
  <si>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</si>
  <si>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</si>
  <si>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</si>
  <si>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</si>
  <si>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</si>
  <si>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</si>
  <si>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</si>
  <si>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</si>
  <si>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</si>
  <si>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</si>
  <si>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</si>
  <si>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</si>
  <si>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</si>
  <si>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</si>
  <si>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</si>
  <si>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</si>
  <si>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</si>
  <si>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</si>
  <si>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</si>
  <si>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</si>
  <si>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</si>
  <si>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</si>
  <si>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</si>
  <si>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</si>
  <si>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</si>
  <si>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</si>
  <si>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</si>
  <si>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</si>
  <si>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</si>
  <si>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</si>
  <si>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</si>
  <si>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</si>
  <si>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</si>
  <si>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</si>
  <si>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</si>
  <si>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</si>
  <si>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</si>
  <si>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</si>
  <si>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</si>
  <si>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</si>
  <si>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</si>
  <si>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</si>
  <si>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</si>
  <si>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</si>
  <si>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</si>
  <si>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</si>
  <si>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</si>
  <si>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</si>
  <si>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</si>
  <si>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</si>
  <si>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</si>
  <si>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</si>
  <si>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</si>
  <si>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</si>
  <si>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</si>
  <si>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</si>
  <si>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</si>
  <si>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</si>
  <si>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</si>
  <si>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</si>
  <si>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</si>
  <si>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</si>
  <si>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</si>
  <si>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</si>
  <si>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</si>
  <si>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</si>
  <si>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</si>
  <si>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</si>
  <si>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</si>
  <si>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</si>
  <si>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</si>
  <si>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</si>
  <si>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</si>
  <si>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</si>
  <si>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</si>
  <si>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</si>
  <si>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</si>
  <si>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</si>
  <si>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</si>
  <si>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</si>
  <si>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</si>
  <si>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</si>
  <si>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</si>
  <si>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</si>
  <si>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</si>
  <si>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</si>
  <si>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</si>
  <si>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</si>
  <si>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</si>
  <si>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</si>
  <si>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</si>
  <si>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</si>
  <si>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</si>
  <si>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</si>
  <si>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</si>
  <si>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</si>
  <si>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</si>
  <si>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</si>
  <si>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</si>
  <si>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</si>
  <si>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</si>
  <si>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</si>
  <si>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</si>
  <si>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</si>
  <si>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</si>
  <si>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</si>
  <si>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</si>
  <si>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</si>
  <si>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</si>
  <si>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</si>
  <si>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</si>
  <si>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</si>
  <si>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</si>
  <si>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</si>
  <si>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</si>
  <si>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</si>
  <si>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</si>
  <si>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</si>
  <si>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</si>
  <si>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</si>
  <si>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</si>
  <si>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</si>
  <si>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</si>
  <si>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</si>
  <si>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</si>
  <si>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</si>
  <si>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</si>
  <si>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</si>
  <si>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</si>
  <si>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</si>
  <si>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</si>
  <si>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</si>
  <si>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</si>
  <si>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</si>
  <si>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</si>
  <si>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</si>
  <si>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</si>
  <si>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</si>
  <si>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</si>
  <si>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</si>
  <si>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</si>
  <si>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</si>
  <si>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</si>
  <si>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</si>
  <si>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</si>
  <si>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</si>
  <si>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</si>
  <si>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</si>
  <si>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</si>
  <si>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</si>
  <si>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</si>
  <si>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</si>
  <si>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</si>
  <si>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</si>
  <si>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</si>
  <si>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</si>
  <si>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</si>
  <si>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</si>
  <si>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</si>
  <si>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</si>
  <si>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</si>
  <si>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</si>
  <si>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</si>
  <si>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</si>
  <si>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</si>
  <si>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</si>
  <si>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</si>
  <si>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</si>
  <si>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</si>
  <si>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</si>
  <si>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</si>
  <si>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</si>
  <si>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</si>
  <si>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</si>
  <si>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</si>
  <si>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</si>
  <si>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</si>
  <si>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</si>
  <si>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</si>
  <si>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</si>
  <si>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</si>
  <si>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</si>
  <si>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</si>
  <si>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</si>
  <si>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</si>
  <si>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</si>
  <si>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</si>
  <si>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</si>
  <si>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</si>
  <si>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</si>
  <si>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</si>
  <si>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</si>
  <si>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</si>
  <si>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</si>
  <si>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</si>
  <si>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</si>
  <si>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</si>
  <si>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</si>
  <si>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</si>
  <si>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</si>
  <si>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</si>
  <si>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</si>
  <si>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</si>
  <si>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</si>
  <si>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</si>
  <si>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</si>
  <si>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</si>
  <si>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</si>
  <si>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</si>
  <si>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</si>
  <si>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</si>
  <si>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</si>
  <si>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</si>
  <si>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</si>
  <si>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</si>
  <si>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</si>
  <si>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</si>
  <si>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</si>
  <si>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</si>
  <si>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</si>
  <si>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</si>
  <si>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</si>
  <si>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</si>
  <si>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</si>
  <si>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</si>
  <si>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</si>
  <si>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</si>
  <si>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</si>
  <si>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</si>
  <si>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</si>
  <si>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</si>
  <si>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</si>
  <si>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</si>
  <si>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</si>
  <si>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</si>
  <si>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</si>
  <si>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</si>
  <si>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</si>
  <si>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</si>
  <si>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</si>
  <si>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</si>
  <si>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</si>
  <si>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</si>
  <si>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</si>
  <si>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</si>
  <si>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</si>
  <si>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</si>
  <si>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</si>
  <si>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</si>
  <si>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</si>
  <si>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</si>
  <si>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</si>
  <si>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</si>
  <si>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</si>
  <si>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</si>
  <si>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</si>
  <si>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</si>
  <si>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</si>
  <si>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</si>
  <si>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</si>
  <si>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</si>
  <si>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</si>
  <si>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</si>
  <si>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</si>
  <si>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</si>
  <si>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</si>
  <si>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</si>
  <si>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</si>
  <si>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</si>
  <si>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</si>
  <si>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</si>
  <si>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</si>
  <si>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</si>
  <si>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</si>
  <si>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</si>
  <si>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</si>
  <si>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</si>
  <si>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</si>
  <si>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</si>
  <si>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</si>
  <si>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</si>
  <si>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</si>
  <si>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</si>
  <si>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</si>
  <si>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</si>
  <si>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</si>
  <si>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</si>
  <si>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</si>
  <si>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</si>
  <si>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</si>
  <si>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</si>
  <si>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</si>
  <si>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</si>
  <si>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</si>
  <si>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</si>
  <si>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</si>
  <si>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</si>
  <si>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</si>
  <si>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</si>
  <si>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</si>
  <si>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</si>
  <si>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</si>
  <si>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</si>
  <si>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</si>
  <si>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</si>
  <si>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</si>
  <si>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</si>
  <si>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</si>
  <si>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</si>
  <si>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</si>
  <si>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</si>
  <si>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</si>
  <si>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</si>
  <si>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</si>
  <si>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</si>
  <si>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</si>
  <si>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</si>
  <si>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</si>
  <si>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</si>
  <si>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</si>
  <si>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</si>
  <si>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</si>
  <si>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</si>
  <si>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</si>
  <si>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</si>
  <si>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</si>
  <si>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</si>
  <si>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</si>
  <si>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</si>
  <si>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</si>
  <si>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</si>
  <si>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</si>
  <si>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</si>
  <si>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</si>
  <si>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</si>
  <si>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</si>
  <si>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</si>
  <si>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</si>
  <si>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</si>
  <si>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</si>
  <si>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</si>
  <si>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</si>
  <si>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</si>
  <si>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</si>
  <si>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</si>
  <si>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</si>
  <si>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</si>
  <si>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</si>
  <si>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</si>
  <si>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</si>
  <si>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</si>
  <si>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</si>
  <si>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</si>
  <si>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</si>
  <si>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</si>
  <si>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</si>
  <si>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</si>
  <si>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</si>
  <si>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</si>
  <si>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</si>
  <si>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</si>
  <si>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</si>
  <si>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</si>
  <si>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</si>
  <si>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</si>
  <si>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</si>
  <si>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</si>
  <si>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</si>
  <si>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</si>
  <si>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</si>
  <si>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</si>
  <si>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</si>
  <si>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</si>
  <si>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</si>
  <si>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</si>
  <si>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</si>
  <si>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</si>
  <si>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</si>
  <si>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</si>
  <si>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</si>
  <si>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</si>
  <si>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</si>
  <si>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</si>
  <si>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</si>
  <si>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</si>
  <si>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</si>
  <si>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</si>
  <si>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</si>
  <si>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</si>
  <si>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</si>
  <si>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</si>
  <si>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</si>
  <si>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</si>
  <si>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</si>
  <si>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</si>
  <si>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</si>
  <si>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</si>
  <si>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</si>
  <si>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</si>
  <si>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</si>
  <si>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</si>
  <si>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</si>
  <si>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</si>
  <si>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</si>
  <si>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</si>
  <si>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</si>
  <si>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</si>
  <si>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</si>
  <si>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</si>
  <si>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</si>
  <si>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</si>
  <si>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</si>
  <si>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</si>
  <si>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</si>
  <si>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</si>
  <si>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</si>
  <si>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</si>
  <si>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</si>
  <si>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</si>
  <si>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</si>
  <si>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</si>
  <si>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</si>
  <si>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</si>
  <si>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</si>
  <si>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</si>
  <si>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</si>
  <si>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</si>
  <si>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</si>
  <si>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</si>
  <si>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</si>
  <si>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</si>
  <si>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</si>
  <si>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</si>
  <si>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</si>
  <si>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</si>
  <si>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</si>
  <si>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</si>
  <si>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</si>
  <si>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</si>
  <si>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</si>
  <si>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</si>
  <si>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</si>
  <si>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</si>
  <si>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</si>
  <si>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</si>
  <si>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</si>
  <si>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</si>
  <si>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</si>
  <si>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</si>
  <si>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</si>
  <si>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</si>
  <si>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</si>
  <si>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</si>
  <si>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</si>
  <si>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</si>
  <si>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</si>
  <si>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</si>
  <si>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</si>
  <si>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</si>
  <si>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</si>
  <si>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</si>
  <si>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</si>
  <si>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</si>
  <si>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</si>
  <si>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</si>
  <si>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</si>
  <si>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</si>
  <si>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</si>
  <si>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</si>
  <si>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</si>
  <si>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</si>
  <si>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</si>
  <si>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</si>
  <si>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</si>
  <si>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</si>
  <si>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</si>
  <si>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</si>
  <si>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</si>
  <si>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</si>
  <si>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</si>
  <si>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</si>
  <si>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</si>
  <si>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</si>
  <si>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</si>
  <si>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</si>
  <si>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</si>
  <si>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</si>
  <si>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</si>
  <si>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</si>
  <si>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</si>
  <si>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</si>
  <si>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</si>
  <si>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</si>
  <si>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</si>
  <si>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</si>
  <si>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</si>
  <si>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</si>
  <si>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</si>
  <si>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</si>
  <si>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</si>
  <si>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</si>
  <si>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</si>
  <si>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</si>
  <si>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</si>
  <si>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</si>
  <si>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</si>
  <si>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</si>
  <si>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</si>
  <si>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</si>
  <si>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</si>
  <si>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</si>
  <si>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</si>
  <si>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</si>
  <si>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</si>
  <si>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</si>
  <si>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</si>
  <si>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</si>
  <si>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</si>
  <si>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</si>
  <si>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</si>
  <si>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</si>
  <si>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</si>
  <si>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</si>
  <si>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</si>
  <si>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</si>
  <si>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</si>
  <si>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</si>
  <si>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</si>
  <si>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</si>
  <si>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</si>
  <si>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</si>
  <si>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</si>
  <si>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</si>
  <si>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</si>
  <si>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</si>
  <si>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</si>
  <si>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</si>
  <si>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</si>
  <si>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</si>
  <si>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</si>
  <si>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</si>
  <si>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</si>
  <si>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</si>
  <si>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</si>
  <si>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</si>
  <si>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</si>
  <si>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</si>
  <si>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</si>
  <si>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</si>
  <si>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</si>
  <si>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</si>
  <si>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</si>
  <si>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</si>
  <si>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</si>
  <si>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</si>
  <si>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</si>
  <si>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</si>
  <si>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</si>
  <si>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</si>
  <si>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</si>
  <si>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</si>
  <si>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</si>
  <si>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</si>
  <si>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</si>
  <si>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</si>
  <si>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</si>
  <si>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</si>
  <si>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</si>
  <si>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</si>
  <si>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</si>
  <si>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</si>
  <si>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</si>
  <si>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</si>
  <si>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</si>
  <si>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</si>
  <si>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</si>
  <si>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</si>
  <si>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</si>
  <si>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</si>
  <si>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</si>
  <si>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</si>
  <si>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</si>
  <si>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</si>
  <si>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</si>
  <si>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</si>
  <si>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</si>
  <si>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</si>
  <si>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</si>
  <si>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</si>
  <si>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</si>
  <si>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</si>
  <si>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</si>
  <si>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</si>
  <si>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</si>
  <si>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</si>
  <si>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</si>
  <si>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</si>
  <si>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</si>
  <si>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</si>
  <si>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</si>
  <si>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</si>
  <si>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</si>
  <si>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</si>
  <si>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</si>
  <si>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</si>
  <si>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</si>
  <si>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</si>
  <si>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</si>
  <si>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</si>
  <si>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</si>
  <si>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</si>
  <si>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</si>
  <si>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</si>
  <si>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</si>
  <si>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</si>
  <si>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</si>
  <si>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</si>
  <si>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</si>
  <si>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</si>
  <si>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</si>
  <si>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</si>
  <si>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</si>
  <si>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</si>
  <si>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</si>
  <si>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</si>
  <si>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</si>
  <si>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</si>
  <si>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</si>
  <si>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</si>
  <si>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</si>
  <si>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</si>
  <si>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</si>
  <si>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</si>
  <si>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</si>
  <si>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</si>
  <si>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</si>
  <si>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</si>
  <si>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</si>
  <si>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</si>
  <si>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</si>
  <si>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</si>
  <si>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</si>
  <si>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</si>
  <si>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</si>
  <si>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</si>
  <si>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</si>
  <si>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</si>
  <si>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</si>
  <si>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</si>
  <si>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</si>
  <si>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</si>
  <si>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</si>
  <si>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</si>
  <si>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</si>
  <si>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</si>
  <si>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</si>
  <si>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</si>
  <si>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</si>
  <si>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</si>
  <si>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</si>
  <si>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</si>
  <si>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</si>
  <si>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</si>
  <si>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</si>
  <si>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</si>
  <si>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</si>
  <si>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</si>
  <si>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</si>
  <si>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</si>
  <si>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</si>
  <si>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</si>
  <si>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</si>
  <si>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</si>
  <si>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</si>
  <si>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</si>
  <si>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</si>
  <si>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</si>
  <si>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</si>
  <si>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</si>
  <si>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</si>
  <si>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</si>
  <si>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</si>
  <si>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</si>
  <si>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</si>
  <si>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</si>
  <si>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</si>
  <si>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</si>
  <si>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</si>
  <si>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</si>
  <si>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</si>
  <si>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</si>
  <si>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</si>
  <si>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</si>
  <si>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</si>
  <si>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</si>
  <si>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</si>
  <si>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</si>
  <si>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</si>
  <si>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</si>
  <si>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</si>
  <si>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</si>
  <si>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</si>
  <si>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</si>
  <si>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</si>
  <si>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</si>
  <si>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</si>
  <si>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</si>
  <si>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</si>
  <si>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</si>
  <si>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</si>
  <si>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刘备|曹操|夏侯惇|孙权|糜夫人</t>
  </si>
  <si>
    <t>20004,1|20005,2|20003,3|20006,4|20001,5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</si>
  <si>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</si>
  <si>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</si>
  <si>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</si>
  <si>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</si>
  <si>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</si>
  <si>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</si>
  <si>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</si>
  <si>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</si>
  <si>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</si>
  <si>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</si>
  <si>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</si>
  <si>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</si>
  <si>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</si>
  <si>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</si>
  <si>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</si>
  <si>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</si>
  <si>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</si>
  <si>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</si>
  <si>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</si>
  <si>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</si>
  <si>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</si>
  <si>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</si>
  <si>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</si>
  <si>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</si>
  <si>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</si>
  <si>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</si>
  <si>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</si>
  <si>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</si>
  <si>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</si>
  <si>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</si>
  <si>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</si>
  <si>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</si>
  <si>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</si>
  <si>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</si>
  <si>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</si>
  <si>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</si>
  <si>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</si>
  <si>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</si>
  <si>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</si>
  <si>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</si>
  <si>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</si>
  <si>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</si>
  <si>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</si>
  <si>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</si>
  <si>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</si>
  <si>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</si>
  <si>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</si>
  <si>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</si>
  <si>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</si>
  <si>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</si>
  <si>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</si>
  <si>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</si>
  <si>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</si>
  <si>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</si>
  <si>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</si>
  <si>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</si>
  <si>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</si>
  <si>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</si>
  <si>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</si>
  <si>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</si>
  <si>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</si>
  <si>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</si>
  <si>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</si>
  <si>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</si>
  <si>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</si>
  <si>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</si>
  <si>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</si>
  <si>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</si>
  <si>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</si>
  <si>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</si>
  <si>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</si>
  <si>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</si>
  <si>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</si>
  <si>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</si>
  <si>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</si>
  <si>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</si>
  <si>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</si>
  <si>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</si>
  <si>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</si>
  <si>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</si>
  <si>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</si>
  <si>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</si>
  <si>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</si>
  <si>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</si>
  <si>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</si>
  <si>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</si>
  <si>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</si>
  <si>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第一章</t>
  </si>
  <si>
    <t>101,126|102,7|100,1145|132,100</t>
  </si>
  <si>
    <t>101,97|102,9|100,1260|132,100</t>
  </si>
  <si>
    <t>101,103|102,8|100,1202|132,100</t>
  </si>
  <si>
    <t>第二章</t>
  </si>
  <si>
    <t>101,426|102,18|100,4360|132,400</t>
  </si>
  <si>
    <t>101,328|102,23|100,4796|132,400</t>
  </si>
  <si>
    <t>101,349|102,21|100,4578|132,400</t>
  </si>
  <si>
    <t>第三章</t>
  </si>
  <si>
    <t>101,950|102,37|100,9970|132,800</t>
  </si>
  <si>
    <t>101,732|102,48|100,10967|132,800</t>
  </si>
  <si>
    <t>101,779|102,44|100,10469|132,800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</si>
</sst>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8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H4" sqref="AH4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/>
      <c r="AJ4" s="58" t="s">
        <v>89</v>
      </c>
      <c r="AK4" s="59" t="s">
        <v>90</v>
      </c>
      <c r="AL4" s="60" t="s">
        <v>91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92</v>
      </c>
      <c r="C5" s="56" t="s">
        <v>93</v>
      </c>
      <c r="D5" s="56" t="s">
        <v>92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94</v>
      </c>
      <c r="AK5" s="59" t="s">
        <v>90</v>
      </c>
      <c r="AL5" s="60" t="s">
        <v>95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96</v>
      </c>
      <c r="C6" s="56" t="s">
        <v>97</v>
      </c>
      <c r="D6" s="56" t="s">
        <v>96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98</v>
      </c>
      <c r="AK6" s="59" t="s">
        <v>90</v>
      </c>
      <c r="AL6" s="60" t="s">
        <v>99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100</v>
      </c>
      <c r="C7" s="56" t="s">
        <v>101</v>
      </c>
      <c r="D7" s="56" t="s">
        <v>100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102</v>
      </c>
      <c r="AK7" s="59" t="s">
        <v>90</v>
      </c>
      <c r="AL7" s="60" t="s">
        <v>103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104</v>
      </c>
      <c r="C8" s="56" t="s">
        <v>105</v>
      </c>
      <c r="D8" s="56" t="s">
        <v>104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58" t="s">
        <v>106</v>
      </c>
      <c r="AK8" s="59" t="s">
        <v>90</v>
      </c>
      <c r="AL8" s="60" t="s">
        <v>107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108</v>
      </c>
      <c r="C9" s="63" t="s">
        <v>109</v>
      </c>
      <c r="D9" s="63" t="s">
        <v>108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65" t="s">
        <v>110</v>
      </c>
      <c r="AK9" s="66" t="s">
        <v>111</v>
      </c>
      <c r="AL9" s="67" t="s">
        <v>112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113</v>
      </c>
      <c r="C10" s="63" t="s">
        <v>114</v>
      </c>
      <c r="D10" s="63" t="s">
        <v>113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115</v>
      </c>
      <c r="AK10" s="66" t="s">
        <v>111</v>
      </c>
      <c r="AL10" s="67" t="s">
        <v>116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117</v>
      </c>
      <c r="C11" s="63" t="s">
        <v>118</v>
      </c>
      <c r="D11" s="63" t="s">
        <v>117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119</v>
      </c>
      <c r="AK11" s="66" t="s">
        <v>111</v>
      </c>
      <c r="AL11" s="67" t="s">
        <v>120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121</v>
      </c>
      <c r="C12" s="63" t="s">
        <v>122</v>
      </c>
      <c r="D12" s="63" t="s">
        <v>121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123</v>
      </c>
      <c r="AK12" s="66" t="s">
        <v>111</v>
      </c>
      <c r="AL12" s="67" t="s">
        <v>124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125</v>
      </c>
      <c r="C13" s="63" t="s">
        <v>109</v>
      </c>
      <c r="D13" s="63" t="s">
        <v>108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110</v>
      </c>
      <c r="AK13" s="66" t="s">
        <v>126</v>
      </c>
      <c r="AL13" s="67" t="s">
        <v>112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108</v>
      </c>
      <c r="C14" s="63" t="s">
        <v>109</v>
      </c>
      <c r="D14" s="63" t="s">
        <v>108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110</v>
      </c>
      <c r="AK14" s="66" t="s">
        <v>127</v>
      </c>
      <c r="AL14" s="67" t="s">
        <v>112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113</v>
      </c>
      <c r="C15" s="63" t="s">
        <v>114</v>
      </c>
      <c r="D15" s="63" t="s">
        <v>113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115</v>
      </c>
      <c r="AK15" s="66" t="s">
        <v>127</v>
      </c>
      <c r="AL15" s="67" t="s">
        <v>116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117</v>
      </c>
      <c r="C16" s="63" t="s">
        <v>118</v>
      </c>
      <c r="D16" s="63" t="s">
        <v>117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119</v>
      </c>
      <c r="AK16" s="66" t="s">
        <v>127</v>
      </c>
      <c r="AL16" s="67" t="s">
        <v>120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121</v>
      </c>
      <c r="C17" s="63" t="s">
        <v>122</v>
      </c>
      <c r="D17" s="63" t="s">
        <v>121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123</v>
      </c>
      <c r="AK17" s="66" t="s">
        <v>127</v>
      </c>
      <c r="AL17" s="67" t="s">
        <v>124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108</v>
      </c>
      <c r="C18" s="63" t="s">
        <v>109</v>
      </c>
      <c r="D18" s="63" t="s">
        <v>108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110</v>
      </c>
      <c r="AK18" s="66" t="s">
        <v>128</v>
      </c>
      <c r="AL18" s="67" t="s">
        <v>112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113</v>
      </c>
      <c r="C19" s="63" t="s">
        <v>114</v>
      </c>
      <c r="D19" s="63" t="s">
        <v>113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115</v>
      </c>
      <c r="AK19" s="66" t="s">
        <v>128</v>
      </c>
      <c r="AL19" s="67" t="s">
        <v>116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117</v>
      </c>
      <c r="C20" s="63" t="s">
        <v>118</v>
      </c>
      <c r="D20" s="63" t="s">
        <v>117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119</v>
      </c>
      <c r="AK20" s="66" t="s">
        <v>128</v>
      </c>
      <c r="AL20" s="67" t="s">
        <v>120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121</v>
      </c>
      <c r="C21" s="63" t="s">
        <v>122</v>
      </c>
      <c r="D21" s="63" t="s">
        <v>121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123</v>
      </c>
      <c r="AK21" s="66" t="s">
        <v>128</v>
      </c>
      <c r="AL21" s="67" t="s">
        <v>124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108</v>
      </c>
      <c r="C22" s="63" t="s">
        <v>109</v>
      </c>
      <c r="D22" s="63" t="s">
        <v>108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110</v>
      </c>
      <c r="AK22" s="66" t="s">
        <v>129</v>
      </c>
      <c r="AL22" s="67" t="s">
        <v>112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113</v>
      </c>
      <c r="C23" s="63" t="s">
        <v>114</v>
      </c>
      <c r="D23" s="63" t="s">
        <v>113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115</v>
      </c>
      <c r="AK23" s="66" t="s">
        <v>129</v>
      </c>
      <c r="AL23" s="67" t="s">
        <v>116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117</v>
      </c>
      <c r="C24" s="63" t="s">
        <v>118</v>
      </c>
      <c r="D24" s="63" t="s">
        <v>117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119</v>
      </c>
      <c r="AK24" s="66" t="s">
        <v>129</v>
      </c>
      <c r="AL24" s="67" t="s">
        <v>120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121</v>
      </c>
      <c r="C25" s="63" t="s">
        <v>122</v>
      </c>
      <c r="D25" s="63" t="s">
        <v>121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123</v>
      </c>
      <c r="AK25" s="66" t="s">
        <v>129</v>
      </c>
      <c r="AL25" s="67" t="s">
        <v>124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130</v>
      </c>
      <c r="C26" s="63" t="s">
        <v>109</v>
      </c>
      <c r="D26" s="63" t="s">
        <v>130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131</v>
      </c>
      <c r="AK26" s="66" t="s">
        <v>132</v>
      </c>
      <c r="AL26" s="67" t="s">
        <v>133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A22+10</f>
        <v>11041</v>
      </c>
      <c r="B27" s="63" t="s">
        <v>108</v>
      </c>
      <c r="C27" s="63" t="s">
        <v>109</v>
      </c>
      <c r="D27" s="63" t="s">
        <v>108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110</v>
      </c>
      <c r="AK27" s="66" t="s">
        <v>134</v>
      </c>
      <c r="AL27" s="67" t="s">
        <v>112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 t="shared" ref="A28:A41" si="0">A23+10</f>
        <v>11042</v>
      </c>
      <c r="B28" s="63" t="s">
        <v>113</v>
      </c>
      <c r="C28" s="63" t="s">
        <v>114</v>
      </c>
      <c r="D28" s="63" t="s">
        <v>113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115</v>
      </c>
      <c r="AK28" s="66" t="s">
        <v>134</v>
      </c>
      <c r="AL28" s="67" t="s">
        <v>116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f t="shared" si="0"/>
        <v>11043</v>
      </c>
      <c r="B29" s="63" t="s">
        <v>117</v>
      </c>
      <c r="C29" s="63" t="s">
        <v>118</v>
      </c>
      <c r="D29" s="63" t="s">
        <v>117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119</v>
      </c>
      <c r="AK29" s="66" t="s">
        <v>134</v>
      </c>
      <c r="AL29" s="67" t="s">
        <v>120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f t="shared" si="0"/>
        <v>11044</v>
      </c>
      <c r="B30" s="63" t="s">
        <v>121</v>
      </c>
      <c r="C30" s="63" t="s">
        <v>122</v>
      </c>
      <c r="D30" s="63" t="s">
        <v>121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123</v>
      </c>
      <c r="AK30" s="66" t="s">
        <v>134</v>
      </c>
      <c r="AL30" s="67" t="s">
        <v>124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f t="shared" si="0"/>
        <v>11045</v>
      </c>
      <c r="B31" s="63" t="s">
        <v>130</v>
      </c>
      <c r="C31" s="63" t="s">
        <v>109</v>
      </c>
      <c r="D31" s="63" t="s">
        <v>130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131</v>
      </c>
      <c r="AK31" s="66" t="s">
        <v>134</v>
      </c>
      <c r="AL31" s="67" t="s">
        <v>133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f t="shared" si="0"/>
        <v>11051</v>
      </c>
      <c r="B32" s="63" t="s">
        <v>108</v>
      </c>
      <c r="C32" s="63" t="s">
        <v>109</v>
      </c>
      <c r="D32" s="63" t="s">
        <v>108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110</v>
      </c>
      <c r="AK32" s="66" t="s">
        <v>135</v>
      </c>
      <c r="AL32" s="67" t="s">
        <v>112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f t="shared" si="0"/>
        <v>11052</v>
      </c>
      <c r="B33" s="63" t="s">
        <v>113</v>
      </c>
      <c r="C33" s="63" t="s">
        <v>114</v>
      </c>
      <c r="D33" s="63" t="s">
        <v>113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115</v>
      </c>
      <c r="AK33" s="66" t="s">
        <v>135</v>
      </c>
      <c r="AL33" s="67" t="s">
        <v>116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f t="shared" si="0"/>
        <v>11053</v>
      </c>
      <c r="B34" s="63" t="s">
        <v>117</v>
      </c>
      <c r="C34" s="63" t="s">
        <v>118</v>
      </c>
      <c r="D34" s="63" t="s">
        <v>117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119</v>
      </c>
      <c r="AK34" s="66" t="s">
        <v>135</v>
      </c>
      <c r="AL34" s="67" t="s">
        <v>120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f t="shared" si="0"/>
        <v>11054</v>
      </c>
      <c r="B35" s="63" t="s">
        <v>121</v>
      </c>
      <c r="C35" s="63" t="s">
        <v>122</v>
      </c>
      <c r="D35" s="63" t="s">
        <v>121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123</v>
      </c>
      <c r="AK35" s="66" t="s">
        <v>135</v>
      </c>
      <c r="AL35" s="67" t="s">
        <v>124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f t="shared" si="0"/>
        <v>11055</v>
      </c>
      <c r="B36" s="63" t="s">
        <v>130</v>
      </c>
      <c r="C36" s="63" t="s">
        <v>109</v>
      </c>
      <c r="D36" s="63" t="s">
        <v>130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131</v>
      </c>
      <c r="AK36" s="66" t="s">
        <v>135</v>
      </c>
      <c r="AL36" s="67" t="s">
        <v>133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f t="shared" si="0"/>
        <v>11061</v>
      </c>
      <c r="B37" s="63" t="s">
        <v>108</v>
      </c>
      <c r="C37" s="63" t="s">
        <v>109</v>
      </c>
      <c r="D37" s="63" t="s">
        <v>108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110</v>
      </c>
      <c r="AK37" s="66" t="s">
        <v>136</v>
      </c>
      <c r="AL37" s="67" t="s">
        <v>112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f t="shared" si="0"/>
        <v>11062</v>
      </c>
      <c r="B38" s="63" t="s">
        <v>113</v>
      </c>
      <c r="C38" s="63" t="s">
        <v>114</v>
      </c>
      <c r="D38" s="63" t="s">
        <v>113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115</v>
      </c>
      <c r="AK38" s="66" t="s">
        <v>136</v>
      </c>
      <c r="AL38" s="67" t="s">
        <v>116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f t="shared" si="0"/>
        <v>11063</v>
      </c>
      <c r="B39" s="63" t="s">
        <v>117</v>
      </c>
      <c r="C39" s="63" t="s">
        <v>118</v>
      </c>
      <c r="D39" s="63" t="s">
        <v>117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119</v>
      </c>
      <c r="AK39" s="66" t="s">
        <v>136</v>
      </c>
      <c r="AL39" s="67" t="s">
        <v>120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f t="shared" si="0"/>
        <v>11064</v>
      </c>
      <c r="B40" s="63" t="s">
        <v>121</v>
      </c>
      <c r="C40" s="63" t="s">
        <v>122</v>
      </c>
      <c r="D40" s="63" t="s">
        <v>121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123</v>
      </c>
      <c r="AK40" s="66" t="s">
        <v>136</v>
      </c>
      <c r="AL40" s="67" t="s">
        <v>124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f t="shared" si="0"/>
        <v>11065</v>
      </c>
      <c r="B41" s="63" t="s">
        <v>130</v>
      </c>
      <c r="C41" s="63" t="s">
        <v>109</v>
      </c>
      <c r="D41" s="63" t="s">
        <v>130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131</v>
      </c>
      <c r="AK41" s="66" t="s">
        <v>136</v>
      </c>
      <c r="AL41" s="67" t="s">
        <v>133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137</v>
      </c>
      <c r="C42" s="63" t="s">
        <v>109</v>
      </c>
      <c r="D42" s="63" t="s">
        <v>130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131</v>
      </c>
      <c r="AK42" s="66" t="s">
        <v>138</v>
      </c>
      <c r="AL42" s="67" t="s">
        <v>133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139</v>
      </c>
      <c r="C43" s="2" t="str">
        <f>"monster_"&amp;A43</f>
        <v>monster_20001</v>
      </c>
      <c r="D43" s="2" t="s">
        <v>140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141</v>
      </c>
      <c r="AK43" s="66" t="s">
        <v>142</v>
      </c>
      <c r="AL43" s="69" t="s">
        <v>143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139</v>
      </c>
      <c r="C44" s="2" t="str">
        <f t="shared" ref="C44:C107" si="1">"monster_"&amp;A44</f>
        <v>monster_20002</v>
      </c>
      <c r="D44" s="2" t="s">
        <v>144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145</v>
      </c>
      <c r="AK44" s="66" t="s">
        <v>142</v>
      </c>
      <c r="AL44" s="69" t="s">
        <v>146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147</v>
      </c>
      <c r="C45" s="2" t="str">
        <f t="shared" si="1"/>
        <v>monster_20003</v>
      </c>
      <c r="D45" s="2" t="s">
        <v>148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149</v>
      </c>
      <c r="AK45" s="66" t="s">
        <v>150</v>
      </c>
      <c r="AL45" s="69" t="s">
        <v>151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152</v>
      </c>
      <c r="C46" s="2" t="str">
        <f t="shared" si="1"/>
        <v>monster_20004</v>
      </c>
      <c r="D46" s="2" t="s">
        <v>153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154</v>
      </c>
      <c r="AK46" s="66" t="s">
        <v>155</v>
      </c>
      <c r="AL46" s="69" t="s">
        <v>156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152</v>
      </c>
      <c r="C47" s="2" t="str">
        <f t="shared" si="1"/>
        <v>monster_20005</v>
      </c>
      <c r="D47" s="2" t="s">
        <v>157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158</v>
      </c>
      <c r="AK47" s="66" t="s">
        <v>155</v>
      </c>
      <c r="AL47" s="69" t="s">
        <v>159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147</v>
      </c>
      <c r="C48" s="2" t="str">
        <f t="shared" si="1"/>
        <v>monster_20006</v>
      </c>
      <c r="D48" s="2" t="s">
        <v>160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161</v>
      </c>
      <c r="AK48" s="66" t="s">
        <v>150</v>
      </c>
      <c r="AL48" s="69" t="s">
        <v>162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152</v>
      </c>
      <c r="C49" s="2" t="str">
        <f t="shared" si="1"/>
        <v>monster_20007</v>
      </c>
      <c r="D49" s="2" t="s">
        <v>163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164</v>
      </c>
      <c r="AK49" s="66" t="s">
        <v>155</v>
      </c>
      <c r="AL49" s="69" t="s">
        <v>165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152</v>
      </c>
      <c r="C50" s="2" t="str">
        <f t="shared" si="1"/>
        <v>monster_20008</v>
      </c>
      <c r="D50" s="2" t="s">
        <v>166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167</v>
      </c>
      <c r="AK50" s="66" t="s">
        <v>155</v>
      </c>
      <c r="AL50" s="69" t="s">
        <v>168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139</v>
      </c>
      <c r="C51" s="2" t="str">
        <f t="shared" si="1"/>
        <v>monster_20009</v>
      </c>
      <c r="D51" s="2" t="s">
        <v>169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170</v>
      </c>
      <c r="AK51" s="66" t="s">
        <v>142</v>
      </c>
      <c r="AL51" s="69" t="s">
        <v>171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152</v>
      </c>
      <c r="C52" s="2" t="str">
        <f t="shared" si="1"/>
        <v>monster_20010</v>
      </c>
      <c r="D52" s="2" t="s">
        <v>172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173</v>
      </c>
      <c r="AK52" s="66" t="s">
        <v>155</v>
      </c>
      <c r="AL52" s="69" t="s">
        <v>174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152</v>
      </c>
      <c r="C53" s="2" t="str">
        <f t="shared" si="1"/>
        <v>monster_20011</v>
      </c>
      <c r="D53" s="2" t="s">
        <v>175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176</v>
      </c>
      <c r="AK53" s="66" t="s">
        <v>155</v>
      </c>
      <c r="AL53" s="69" t="s">
        <v>177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178</v>
      </c>
      <c r="C54" s="2" t="str">
        <f t="shared" si="1"/>
        <v>monster_30001</v>
      </c>
      <c r="D54" s="2" t="s">
        <v>140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141</v>
      </c>
      <c r="AK54" t="s">
        <v>179</v>
      </c>
      <c r="AL54" s="69" t="s">
        <v>143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178</v>
      </c>
      <c r="C55" s="2" t="str">
        <f t="shared" si="1"/>
        <v>monster_30002</v>
      </c>
      <c r="D55" s="2" t="s">
        <v>144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145</v>
      </c>
      <c r="AK55" t="s">
        <v>179</v>
      </c>
      <c r="AL55" s="69" t="s">
        <v>146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178</v>
      </c>
      <c r="C56" s="2" t="str">
        <f t="shared" si="1"/>
        <v>monster_30003</v>
      </c>
      <c r="D56" s="2" t="s">
        <v>148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149</v>
      </c>
      <c r="AK56" t="s">
        <v>179</v>
      </c>
      <c r="AL56" s="69" t="s">
        <v>151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178</v>
      </c>
      <c r="C57" s="2" t="str">
        <f t="shared" si="1"/>
        <v>monster_30004</v>
      </c>
      <c r="D57" s="2" t="s">
        <v>153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154</v>
      </c>
      <c r="AK57" t="s">
        <v>179</v>
      </c>
      <c r="AL57" s="69" t="s">
        <v>156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178</v>
      </c>
      <c r="C58" s="2" t="str">
        <f t="shared" si="1"/>
        <v>monster_30005</v>
      </c>
      <c r="D58" s="2" t="s">
        <v>157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158</v>
      </c>
      <c r="AK58" t="s">
        <v>179</v>
      </c>
      <c r="AL58" s="69" t="s">
        <v>159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178</v>
      </c>
      <c r="C59" s="2" t="str">
        <f t="shared" si="1"/>
        <v>monster_30006</v>
      </c>
      <c r="D59" s="2" t="s">
        <v>160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161</v>
      </c>
      <c r="AK59" t="s">
        <v>179</v>
      </c>
      <c r="AL59" s="69" t="s">
        <v>162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178</v>
      </c>
      <c r="C60" s="2" t="str">
        <f t="shared" si="1"/>
        <v>monster_30007</v>
      </c>
      <c r="D60" s="2" t="s">
        <v>163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164</v>
      </c>
      <c r="AK60" t="s">
        <v>179</v>
      </c>
      <c r="AL60" s="69" t="s">
        <v>165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178</v>
      </c>
      <c r="C61" s="2" t="str">
        <f t="shared" si="1"/>
        <v>monster_30008</v>
      </c>
      <c r="D61" s="2" t="s">
        <v>166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167</v>
      </c>
      <c r="AK61" t="s">
        <v>179</v>
      </c>
      <c r="AL61" s="69" t="s">
        <v>168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178</v>
      </c>
      <c r="C62" s="2" t="str">
        <f t="shared" si="1"/>
        <v>monster_30009</v>
      </c>
      <c r="D62" s="2" t="s">
        <v>169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170</v>
      </c>
      <c r="AK62" t="s">
        <v>179</v>
      </c>
      <c r="AL62" s="69" t="s">
        <v>171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178</v>
      </c>
      <c r="C63" s="2" t="str">
        <f t="shared" si="1"/>
        <v>monster_30010</v>
      </c>
      <c r="D63" s="2" t="s">
        <v>172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173</v>
      </c>
      <c r="AK63" t="s">
        <v>179</v>
      </c>
      <c r="AL63" s="69" t="s">
        <v>174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178</v>
      </c>
      <c r="C64" s="2" t="str">
        <f t="shared" si="1"/>
        <v>monster_30011</v>
      </c>
      <c r="D64" s="2" t="s">
        <v>175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176</v>
      </c>
      <c r="AK64" t="s">
        <v>179</v>
      </c>
      <c r="AL64" s="69" t="s">
        <v>177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180</v>
      </c>
      <c r="C65" s="2" t="str">
        <f t="shared" si="1"/>
        <v>monster_31001</v>
      </c>
      <c r="D65" s="2" t="s">
        <v>140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141</v>
      </c>
      <c r="AK65" t="s">
        <v>181</v>
      </c>
      <c r="AL65" s="69" t="s">
        <v>143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180</v>
      </c>
      <c r="C66" s="2" t="str">
        <f t="shared" si="1"/>
        <v>monster_31002</v>
      </c>
      <c r="D66" s="2" t="s">
        <v>144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145</v>
      </c>
      <c r="AK66" t="s">
        <v>181</v>
      </c>
      <c r="AL66" s="69" t="s">
        <v>146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180</v>
      </c>
      <c r="C67" s="2" t="str">
        <f t="shared" si="1"/>
        <v>monster_31003</v>
      </c>
      <c r="D67" s="2" t="s">
        <v>148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149</v>
      </c>
      <c r="AK67" t="s">
        <v>182</v>
      </c>
      <c r="AL67" s="69" t="s">
        <v>151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180</v>
      </c>
      <c r="C68" s="2" t="str">
        <f t="shared" si="1"/>
        <v>monster_31004</v>
      </c>
      <c r="D68" s="2" t="s">
        <v>153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154</v>
      </c>
      <c r="AK68" t="s">
        <v>183</v>
      </c>
      <c r="AL68" s="69" t="s">
        <v>156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180</v>
      </c>
      <c r="C69" s="2" t="str">
        <f t="shared" si="1"/>
        <v>monster_31005</v>
      </c>
      <c r="D69" s="2" t="s">
        <v>157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158</v>
      </c>
      <c r="AK69" t="s">
        <v>183</v>
      </c>
      <c r="AL69" s="69" t="s">
        <v>159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180</v>
      </c>
      <c r="C70" s="2" t="str">
        <f t="shared" si="1"/>
        <v>monster_31006</v>
      </c>
      <c r="D70" s="2" t="s">
        <v>160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161</v>
      </c>
      <c r="AK70" t="s">
        <v>182</v>
      </c>
      <c r="AL70" s="69" t="s">
        <v>162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180</v>
      </c>
      <c r="C71" s="2" t="str">
        <f t="shared" si="1"/>
        <v>monster_31007</v>
      </c>
      <c r="D71" s="2" t="s">
        <v>163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164</v>
      </c>
      <c r="AK71" t="s">
        <v>183</v>
      </c>
      <c r="AL71" s="69" t="s">
        <v>165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180</v>
      </c>
      <c r="C72" s="2" t="str">
        <f t="shared" si="1"/>
        <v>monster_31008</v>
      </c>
      <c r="D72" s="2" t="s">
        <v>166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167</v>
      </c>
      <c r="AK72" t="s">
        <v>183</v>
      </c>
      <c r="AL72" s="69" t="s">
        <v>168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180</v>
      </c>
      <c r="C73" s="2" t="str">
        <f t="shared" si="1"/>
        <v>monster_31009</v>
      </c>
      <c r="D73" s="2" t="s">
        <v>169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170</v>
      </c>
      <c r="AK73" t="s">
        <v>181</v>
      </c>
      <c r="AL73" s="69" t="s">
        <v>171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180</v>
      </c>
      <c r="C74" s="2" t="str">
        <f t="shared" si="1"/>
        <v>monster_31010</v>
      </c>
      <c r="D74" s="2" t="s">
        <v>172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173</v>
      </c>
      <c r="AK74" t="s">
        <v>183</v>
      </c>
      <c r="AL74" s="69" t="s">
        <v>174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180</v>
      </c>
      <c r="C75" s="2" t="str">
        <f t="shared" si="1"/>
        <v>monster_31011</v>
      </c>
      <c r="D75" s="2" t="s">
        <v>175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176</v>
      </c>
      <c r="AK75" t="s">
        <v>183</v>
      </c>
      <c r="AL75" s="69" t="s">
        <v>177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184</v>
      </c>
      <c r="C76" s="2" t="str">
        <f t="shared" si="1"/>
        <v>monster_32001</v>
      </c>
      <c r="D76" s="2" t="s">
        <v>140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141</v>
      </c>
      <c r="AK76" t="s">
        <v>185</v>
      </c>
      <c r="AL76" s="69" t="s">
        <v>143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184</v>
      </c>
      <c r="C77" s="2" t="str">
        <f t="shared" si="1"/>
        <v>monster_32002</v>
      </c>
      <c r="D77" s="2" t="s">
        <v>144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145</v>
      </c>
      <c r="AK77" t="s">
        <v>185</v>
      </c>
      <c r="AL77" s="69" t="s">
        <v>146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184</v>
      </c>
      <c r="C78" s="2" t="str">
        <f t="shared" si="1"/>
        <v>monster_32003</v>
      </c>
      <c r="D78" s="2" t="s">
        <v>148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149</v>
      </c>
      <c r="AK78" t="s">
        <v>186</v>
      </c>
      <c r="AL78" s="69" t="s">
        <v>151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184</v>
      </c>
      <c r="C79" s="2" t="str">
        <f t="shared" si="1"/>
        <v>monster_32004</v>
      </c>
      <c r="D79" s="2" t="s">
        <v>153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154</v>
      </c>
      <c r="AK79" t="s">
        <v>187</v>
      </c>
      <c r="AL79" s="69" t="s">
        <v>156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184</v>
      </c>
      <c r="C80" s="2" t="str">
        <f t="shared" si="1"/>
        <v>monster_32005</v>
      </c>
      <c r="D80" s="2" t="s">
        <v>157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158</v>
      </c>
      <c r="AK80" t="s">
        <v>187</v>
      </c>
      <c r="AL80" s="69" t="s">
        <v>159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184</v>
      </c>
      <c r="C81" s="2" t="str">
        <f t="shared" si="1"/>
        <v>monster_32006</v>
      </c>
      <c r="D81" s="2" t="s">
        <v>160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161</v>
      </c>
      <c r="AK81" t="s">
        <v>186</v>
      </c>
      <c r="AL81" s="69" t="s">
        <v>162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184</v>
      </c>
      <c r="C82" s="2" t="str">
        <f t="shared" si="1"/>
        <v>monster_32007</v>
      </c>
      <c r="D82" s="2" t="s">
        <v>163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164</v>
      </c>
      <c r="AK82" t="s">
        <v>187</v>
      </c>
      <c r="AL82" s="69" t="s">
        <v>165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184</v>
      </c>
      <c r="C83" s="2" t="str">
        <f t="shared" si="1"/>
        <v>monster_32008</v>
      </c>
      <c r="D83" s="2" t="s">
        <v>166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167</v>
      </c>
      <c r="AK83" t="s">
        <v>187</v>
      </c>
      <c r="AL83" s="69" t="s">
        <v>168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184</v>
      </c>
      <c r="C84" s="2" t="str">
        <f t="shared" si="1"/>
        <v>monster_32009</v>
      </c>
      <c r="D84" s="2" t="s">
        <v>169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170</v>
      </c>
      <c r="AK84" t="s">
        <v>185</v>
      </c>
      <c r="AL84" s="69" t="s">
        <v>171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184</v>
      </c>
      <c r="C85" s="2" t="str">
        <f t="shared" si="1"/>
        <v>monster_32010</v>
      </c>
      <c r="D85" s="2" t="s">
        <v>172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173</v>
      </c>
      <c r="AK85" t="s">
        <v>187</v>
      </c>
      <c r="AL85" s="69" t="s">
        <v>174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184</v>
      </c>
      <c r="C86" s="2" t="str">
        <f t="shared" si="1"/>
        <v>monster_32011</v>
      </c>
      <c r="D86" s="2" t="s">
        <v>175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176</v>
      </c>
      <c r="AK86" t="s">
        <v>187</v>
      </c>
      <c r="AL86" s="69" t="s">
        <v>177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188</v>
      </c>
      <c r="C87" s="2" t="str">
        <f t="shared" si="1"/>
        <v>monster_33001</v>
      </c>
      <c r="D87" s="2" t="s">
        <v>140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141</v>
      </c>
      <c r="AK87" t="s">
        <v>189</v>
      </c>
      <c r="AL87" s="69" t="s">
        <v>143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188</v>
      </c>
      <c r="C88" s="2" t="str">
        <f t="shared" si="1"/>
        <v>monster_33002</v>
      </c>
      <c r="D88" s="2" t="s">
        <v>144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145</v>
      </c>
      <c r="AK88" t="s">
        <v>189</v>
      </c>
      <c r="AL88" s="69" t="s">
        <v>146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188</v>
      </c>
      <c r="C89" s="2" t="str">
        <f t="shared" si="1"/>
        <v>monster_33003</v>
      </c>
      <c r="D89" s="2" t="s">
        <v>148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149</v>
      </c>
      <c r="AK89" t="s">
        <v>190</v>
      </c>
      <c r="AL89" s="69" t="s">
        <v>151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188</v>
      </c>
      <c r="C90" s="2" t="str">
        <f t="shared" si="1"/>
        <v>monster_33004</v>
      </c>
      <c r="D90" s="2" t="s">
        <v>153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154</v>
      </c>
      <c r="AK90" t="s">
        <v>191</v>
      </c>
      <c r="AL90" s="69" t="s">
        <v>156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188</v>
      </c>
      <c r="C91" s="2" t="str">
        <f t="shared" si="1"/>
        <v>monster_33005</v>
      </c>
      <c r="D91" s="2" t="s">
        <v>157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158</v>
      </c>
      <c r="AK91" t="s">
        <v>191</v>
      </c>
      <c r="AL91" s="69" t="s">
        <v>159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188</v>
      </c>
      <c r="C92" s="2" t="str">
        <f t="shared" si="1"/>
        <v>monster_33006</v>
      </c>
      <c r="D92" s="2" t="s">
        <v>160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161</v>
      </c>
      <c r="AK92" t="s">
        <v>190</v>
      </c>
      <c r="AL92" s="69" t="s">
        <v>162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188</v>
      </c>
      <c r="C93" s="2" t="str">
        <f t="shared" si="1"/>
        <v>monster_33007</v>
      </c>
      <c r="D93" s="2" t="s">
        <v>163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164</v>
      </c>
      <c r="AK93" t="s">
        <v>191</v>
      </c>
      <c r="AL93" s="69" t="s">
        <v>165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188</v>
      </c>
      <c r="C94" s="2" t="str">
        <f t="shared" si="1"/>
        <v>monster_33008</v>
      </c>
      <c r="D94" s="2" t="s">
        <v>166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167</v>
      </c>
      <c r="AK94" t="s">
        <v>191</v>
      </c>
      <c r="AL94" s="69" t="s">
        <v>168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188</v>
      </c>
      <c r="C95" s="2" t="str">
        <f t="shared" si="1"/>
        <v>monster_33009</v>
      </c>
      <c r="D95" s="2" t="s">
        <v>169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170</v>
      </c>
      <c r="AK95" t="s">
        <v>189</v>
      </c>
      <c r="AL95" s="69" t="s">
        <v>171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188</v>
      </c>
      <c r="C96" s="2" t="str">
        <f t="shared" si="1"/>
        <v>monster_33010</v>
      </c>
      <c r="D96" s="2" t="s">
        <v>172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173</v>
      </c>
      <c r="AK96" t="s">
        <v>191</v>
      </c>
      <c r="AL96" s="69" t="s">
        <v>174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188</v>
      </c>
      <c r="C97" s="2" t="str">
        <f t="shared" si="1"/>
        <v>monster_33011</v>
      </c>
      <c r="D97" s="2" t="s">
        <v>175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176</v>
      </c>
      <c r="AK97" t="s">
        <v>191</v>
      </c>
      <c r="AL97" s="69" t="s">
        <v>177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192</v>
      </c>
      <c r="C98" s="2" t="str">
        <f t="shared" si="1"/>
        <v>monster_34001</v>
      </c>
      <c r="D98" s="2" t="s">
        <v>140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141</v>
      </c>
      <c r="AK98" t="s">
        <v>193</v>
      </c>
      <c r="AL98" s="69" t="s">
        <v>143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192</v>
      </c>
      <c r="C99" s="2" t="str">
        <f t="shared" si="1"/>
        <v>monster_34002</v>
      </c>
      <c r="D99" s="2" t="s">
        <v>144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145</v>
      </c>
      <c r="AK99" t="s">
        <v>193</v>
      </c>
      <c r="AL99" s="69" t="s">
        <v>146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192</v>
      </c>
      <c r="C100" s="2" t="str">
        <f t="shared" si="1"/>
        <v>monster_34003</v>
      </c>
      <c r="D100" s="2" t="s">
        <v>148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149</v>
      </c>
      <c r="AK100" t="s">
        <v>194</v>
      </c>
      <c r="AL100" s="69" t="s">
        <v>151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192</v>
      </c>
      <c r="C101" s="2" t="str">
        <f t="shared" si="1"/>
        <v>monster_34004</v>
      </c>
      <c r="D101" s="2" t="s">
        <v>153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154</v>
      </c>
      <c r="AK101" t="s">
        <v>195</v>
      </c>
      <c r="AL101" s="69" t="s">
        <v>156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192</v>
      </c>
      <c r="C102" s="2" t="str">
        <f t="shared" si="1"/>
        <v>monster_34005</v>
      </c>
      <c r="D102" s="2" t="s">
        <v>157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158</v>
      </c>
      <c r="AK102" t="s">
        <v>195</v>
      </c>
      <c r="AL102" s="69" t="s">
        <v>159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192</v>
      </c>
      <c r="C103" s="2" t="str">
        <f t="shared" si="1"/>
        <v>monster_34006</v>
      </c>
      <c r="D103" s="2" t="s">
        <v>160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161</v>
      </c>
      <c r="AK103" t="s">
        <v>194</v>
      </c>
      <c r="AL103" s="69" t="s">
        <v>162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192</v>
      </c>
      <c r="C104" s="2" t="str">
        <f t="shared" si="1"/>
        <v>monster_34007</v>
      </c>
      <c r="D104" s="2" t="s">
        <v>163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164</v>
      </c>
      <c r="AK104" t="s">
        <v>195</v>
      </c>
      <c r="AL104" s="69" t="s">
        <v>165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192</v>
      </c>
      <c r="C105" s="2" t="str">
        <f t="shared" si="1"/>
        <v>monster_34008</v>
      </c>
      <c r="D105" s="2" t="s">
        <v>166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167</v>
      </c>
      <c r="AK105" t="s">
        <v>195</v>
      </c>
      <c r="AL105" s="69" t="s">
        <v>168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192</v>
      </c>
      <c r="C106" s="2" t="str">
        <f t="shared" si="1"/>
        <v>monster_34009</v>
      </c>
      <c r="D106" s="2" t="s">
        <v>169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170</v>
      </c>
      <c r="AK106" t="s">
        <v>193</v>
      </c>
      <c r="AL106" s="69" t="s">
        <v>171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192</v>
      </c>
      <c r="C107" s="2" t="str">
        <f t="shared" si="1"/>
        <v>monster_34010</v>
      </c>
      <c r="D107" s="2" t="s">
        <v>172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173</v>
      </c>
      <c r="AK107" t="s">
        <v>195</v>
      </c>
      <c r="AL107" s="69" t="s">
        <v>174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192</v>
      </c>
      <c r="C108" s="2" t="str">
        <f t="shared" ref="C108:C119" si="2">"monster_"&amp;A108</f>
        <v>monster_34011</v>
      </c>
      <c r="D108" s="2" t="s">
        <v>175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176</v>
      </c>
      <c r="AK108" t="s">
        <v>195</v>
      </c>
      <c r="AL108" s="69" t="s">
        <v>177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196</v>
      </c>
      <c r="C109" s="2" t="str">
        <f t="shared" si="2"/>
        <v>monster_35001</v>
      </c>
      <c r="D109" s="2" t="s">
        <v>140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141</v>
      </c>
      <c r="AK109" t="s">
        <v>197</v>
      </c>
      <c r="AL109" s="69" t="s">
        <v>143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196</v>
      </c>
      <c r="C110" s="2" t="str">
        <f t="shared" si="2"/>
        <v>monster_35002</v>
      </c>
      <c r="D110" s="2" t="s">
        <v>144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145</v>
      </c>
      <c r="AK110" t="s">
        <v>197</v>
      </c>
      <c r="AL110" s="69" t="s">
        <v>146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196</v>
      </c>
      <c r="C111" s="2" t="str">
        <f t="shared" si="2"/>
        <v>monster_35003</v>
      </c>
      <c r="D111" s="2" t="s">
        <v>148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149</v>
      </c>
      <c r="AK111" t="s">
        <v>198</v>
      </c>
      <c r="AL111" s="69" t="s">
        <v>151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196</v>
      </c>
      <c r="C112" s="2" t="str">
        <f t="shared" si="2"/>
        <v>monster_35004</v>
      </c>
      <c r="D112" s="2" t="s">
        <v>153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154</v>
      </c>
      <c r="AK112" t="s">
        <v>199</v>
      </c>
      <c r="AL112" s="69" t="s">
        <v>156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196</v>
      </c>
      <c r="C113" s="2" t="str">
        <f t="shared" si="2"/>
        <v>monster_35005</v>
      </c>
      <c r="D113" s="2" t="s">
        <v>157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158</v>
      </c>
      <c r="AK113" t="s">
        <v>199</v>
      </c>
      <c r="AL113" s="69" t="s">
        <v>159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196</v>
      </c>
      <c r="C114" s="2" t="str">
        <f t="shared" si="2"/>
        <v>monster_35006</v>
      </c>
      <c r="D114" s="2" t="s">
        <v>160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161</v>
      </c>
      <c r="AK114" t="s">
        <v>198</v>
      </c>
      <c r="AL114" s="69" t="s">
        <v>162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196</v>
      </c>
      <c r="C115" s="2" t="str">
        <f t="shared" si="2"/>
        <v>monster_35007</v>
      </c>
      <c r="D115" s="2" t="s">
        <v>163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164</v>
      </c>
      <c r="AK115" t="s">
        <v>199</v>
      </c>
      <c r="AL115" s="69" t="s">
        <v>165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196</v>
      </c>
      <c r="C116" s="2" t="str">
        <f t="shared" si="2"/>
        <v>monster_35008</v>
      </c>
      <c r="D116" s="2" t="s">
        <v>166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167</v>
      </c>
      <c r="AK116" t="s">
        <v>199</v>
      </c>
      <c r="AL116" s="69" t="s">
        <v>168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196</v>
      </c>
      <c r="C117" s="2" t="str">
        <f t="shared" si="2"/>
        <v>monster_35009</v>
      </c>
      <c r="D117" s="2" t="s">
        <v>169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170</v>
      </c>
      <c r="AK117" t="s">
        <v>197</v>
      </c>
      <c r="AL117" s="69" t="s">
        <v>171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196</v>
      </c>
      <c r="C118" s="2" t="str">
        <f t="shared" si="2"/>
        <v>monster_35010</v>
      </c>
      <c r="D118" s="2" t="s">
        <v>172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173</v>
      </c>
      <c r="AK118" t="s">
        <v>199</v>
      </c>
      <c r="AL118" s="69" t="s">
        <v>174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196</v>
      </c>
      <c r="C119" s="2" t="str">
        <f t="shared" si="2"/>
        <v>monster_35011</v>
      </c>
      <c r="D119" s="2" t="s">
        <v>175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176</v>
      </c>
      <c r="AK119" t="s">
        <v>199</v>
      </c>
      <c r="AL119" s="69" t="s">
        <v>177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200</v>
      </c>
      <c r="C120" s="1" t="s">
        <v>201</v>
      </c>
      <c r="D120" s="1" t="s">
        <v>202</v>
      </c>
      <c r="E120" s="1" t="s">
        <v>86</v>
      </c>
      <c r="F120" s="1" t="s">
        <v>203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204</v>
      </c>
      <c r="O120" s="72" t="s">
        <v>205</v>
      </c>
      <c r="P120" s="72" t="s">
        <v>206</v>
      </c>
      <c r="Q120" s="1">
        <v>1000001</v>
      </c>
      <c r="R120" s="1">
        <v>1000076</v>
      </c>
      <c r="S120" s="1" t="s">
        <v>207</v>
      </c>
      <c r="T120" s="1">
        <v>1</v>
      </c>
      <c r="U120" s="1" t="s">
        <v>208</v>
      </c>
      <c r="V120" s="1" t="s">
        <v>209</v>
      </c>
      <c r="W120" s="1" t="s">
        <v>210</v>
      </c>
      <c r="X120" s="1">
        <v>5</v>
      </c>
      <c r="Y120" s="1" t="s">
        <v>211</v>
      </c>
      <c r="Z120" s="1" t="s">
        <v>212</v>
      </c>
      <c r="AA120" s="1" t="s">
        <v>213</v>
      </c>
      <c r="AB120" s="1">
        <v>1</v>
      </c>
      <c r="AC120" s="73" t="b">
        <v>0</v>
      </c>
      <c r="AD120" s="40" t="b">
        <v>0</v>
      </c>
      <c r="AF120" s="74">
        <v>3</v>
      </c>
      <c r="AG120" s="75"/>
      <c r="AH120" s="75"/>
    </row>
    <row r="121" s="40" customFormat="1" spans="1:41">
      <c r="A121" s="1">
        <v>11102</v>
      </c>
      <c r="B121" s="1" t="s">
        <v>214</v>
      </c>
      <c r="C121" s="1" t="s">
        <v>201</v>
      </c>
      <c r="D121" s="1" t="s">
        <v>202</v>
      </c>
      <c r="E121" s="1" t="s">
        <v>86</v>
      </c>
      <c r="F121" s="1" t="s">
        <v>203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204</v>
      </c>
      <c r="O121" s="72" t="s">
        <v>205</v>
      </c>
      <c r="P121" s="72" t="s">
        <v>215</v>
      </c>
      <c r="Q121" s="1">
        <v>1000002</v>
      </c>
      <c r="R121" s="1">
        <v>1000077</v>
      </c>
      <c r="S121" s="1" t="s">
        <v>207</v>
      </c>
      <c r="T121" s="1">
        <v>1</v>
      </c>
      <c r="U121" s="1" t="s">
        <v>208</v>
      </c>
      <c r="V121" s="1" t="s">
        <v>209</v>
      </c>
      <c r="W121" s="1" t="s">
        <v>210</v>
      </c>
      <c r="X121" s="1">
        <v>5</v>
      </c>
      <c r="Y121" s="1" t="s">
        <v>216</v>
      </c>
      <c r="Z121" s="1" t="s">
        <v>217</v>
      </c>
      <c r="AA121" s="1" t="s">
        <v>218</v>
      </c>
      <c r="AB121" s="1">
        <v>1</v>
      </c>
      <c r="AC121" s="73" t="b">
        <v>0</v>
      </c>
      <c r="AD121" s="40" t="b">
        <v>0</v>
      </c>
      <c r="AF121" s="74">
        <v>3</v>
      </c>
      <c r="AG121" s="75"/>
      <c r="AH121" s="75"/>
    </row>
    <row r="122" s="40" customFormat="1" spans="1:41">
      <c r="A122" s="1">
        <v>11103</v>
      </c>
      <c r="B122" s="1" t="s">
        <v>219</v>
      </c>
      <c r="C122" s="1" t="s">
        <v>201</v>
      </c>
      <c r="D122" s="1" t="s">
        <v>202</v>
      </c>
      <c r="E122" s="1" t="s">
        <v>86</v>
      </c>
      <c r="F122" s="1" t="s">
        <v>203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204</v>
      </c>
      <c r="O122" s="72" t="s">
        <v>205</v>
      </c>
      <c r="P122" s="72" t="s">
        <v>220</v>
      </c>
      <c r="Q122" s="1">
        <v>1000003</v>
      </c>
      <c r="R122" s="1">
        <v>1000078</v>
      </c>
      <c r="S122" s="1" t="s">
        <v>207</v>
      </c>
      <c r="T122" s="1">
        <v>1</v>
      </c>
      <c r="U122" s="1" t="s">
        <v>208</v>
      </c>
      <c r="V122" s="1" t="s">
        <v>209</v>
      </c>
      <c r="W122" s="1" t="s">
        <v>210</v>
      </c>
      <c r="X122" s="1">
        <v>5</v>
      </c>
      <c r="Y122" s="1" t="s">
        <v>221</v>
      </c>
      <c r="Z122" s="1" t="s">
        <v>222</v>
      </c>
      <c r="AA122" s="1" t="s">
        <v>223</v>
      </c>
      <c r="AB122" s="1">
        <v>1</v>
      </c>
      <c r="AC122" s="73" t="b">
        <v>0</v>
      </c>
      <c r="AD122" s="40" t="b">
        <v>0</v>
      </c>
      <c r="AF122" s="74">
        <v>3</v>
      </c>
      <c r="AG122" s="75"/>
      <c r="AH122" s="75"/>
    </row>
    <row r="123" s="40" customFormat="1" spans="1:41">
      <c r="A123" s="1">
        <v>11104</v>
      </c>
      <c r="B123" s="1" t="s">
        <v>224</v>
      </c>
      <c r="C123" s="1" t="s">
        <v>201</v>
      </c>
      <c r="D123" s="1" t="s">
        <v>202</v>
      </c>
      <c r="E123" s="1" t="s">
        <v>86</v>
      </c>
      <c r="F123" s="1" t="s">
        <v>203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204</v>
      </c>
      <c r="O123" s="72" t="s">
        <v>205</v>
      </c>
      <c r="P123" s="72" t="s">
        <v>225</v>
      </c>
      <c r="Q123" s="1">
        <v>1000004</v>
      </c>
      <c r="R123" s="1">
        <v>1000079</v>
      </c>
      <c r="S123" s="1" t="s">
        <v>207</v>
      </c>
      <c r="T123" s="1">
        <v>1</v>
      </c>
      <c r="U123" s="1" t="s">
        <v>208</v>
      </c>
      <c r="V123" s="1" t="s">
        <v>209</v>
      </c>
      <c r="W123" s="1" t="s">
        <v>210</v>
      </c>
      <c r="X123" s="1">
        <v>5</v>
      </c>
      <c r="Y123" s="1" t="s">
        <v>226</v>
      </c>
      <c r="Z123" s="1" t="s">
        <v>227</v>
      </c>
      <c r="AA123" s="1" t="s">
        <v>228</v>
      </c>
      <c r="AB123" s="1">
        <v>1</v>
      </c>
      <c r="AC123" s="73" t="b">
        <v>0</v>
      </c>
      <c r="AD123" s="40" t="b">
        <v>0</v>
      </c>
      <c r="AF123" s="74">
        <v>3</v>
      </c>
      <c r="AG123" s="75"/>
      <c r="AH123" s="75"/>
    </row>
    <row r="124" s="40" customFormat="1" spans="1:41">
      <c r="A124" s="1">
        <v>11105</v>
      </c>
      <c r="B124" s="1" t="s">
        <v>229</v>
      </c>
      <c r="C124" s="1" t="s">
        <v>201</v>
      </c>
      <c r="D124" s="1" t="s">
        <v>202</v>
      </c>
      <c r="E124" s="1" t="s">
        <v>86</v>
      </c>
      <c r="F124" s="1" t="s">
        <v>203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204</v>
      </c>
      <c r="O124" s="72" t="s">
        <v>205</v>
      </c>
      <c r="P124" s="72" t="s">
        <v>230</v>
      </c>
      <c r="Q124" s="1">
        <v>1000005</v>
      </c>
      <c r="R124" s="1">
        <v>1000080</v>
      </c>
      <c r="S124" s="1" t="s">
        <v>207</v>
      </c>
      <c r="T124" s="1">
        <v>1</v>
      </c>
      <c r="U124" s="1" t="s">
        <v>208</v>
      </c>
      <c r="V124" s="1" t="s">
        <v>209</v>
      </c>
      <c r="W124" s="1" t="s">
        <v>210</v>
      </c>
      <c r="X124" s="1">
        <v>5</v>
      </c>
      <c r="Y124" s="1" t="s">
        <v>231</v>
      </c>
      <c r="Z124" s="1" t="s">
        <v>232</v>
      </c>
      <c r="AA124" s="1" t="s">
        <v>233</v>
      </c>
      <c r="AB124" s="1">
        <v>1</v>
      </c>
      <c r="AC124" s="73" t="b">
        <v>0</v>
      </c>
      <c r="AD124" s="40" t="b">
        <v>0</v>
      </c>
      <c r="AF124" s="74">
        <v>3</v>
      </c>
      <c r="AG124" s="75"/>
      <c r="AH124" s="75"/>
    </row>
    <row r="125" s="40" customFormat="1" spans="1:41">
      <c r="A125" s="1">
        <v>11106</v>
      </c>
      <c r="B125" s="1" t="s">
        <v>234</v>
      </c>
      <c r="C125" s="1" t="s">
        <v>201</v>
      </c>
      <c r="D125" s="1" t="s">
        <v>202</v>
      </c>
      <c r="E125" s="1" t="s">
        <v>86</v>
      </c>
      <c r="F125" s="1" t="s">
        <v>203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204</v>
      </c>
      <c r="O125" s="72" t="s">
        <v>205</v>
      </c>
      <c r="P125" s="72" t="s">
        <v>235</v>
      </c>
      <c r="Q125" s="1">
        <v>1000006</v>
      </c>
      <c r="R125" s="1">
        <v>1000081</v>
      </c>
      <c r="S125" s="1" t="s">
        <v>207</v>
      </c>
      <c r="T125" s="1">
        <v>1</v>
      </c>
      <c r="U125" s="1" t="s">
        <v>208</v>
      </c>
      <c r="V125" s="1" t="s">
        <v>209</v>
      </c>
      <c r="W125" s="1" t="s">
        <v>236</v>
      </c>
      <c r="X125" s="1">
        <v>10</v>
      </c>
      <c r="Y125" s="1" t="s">
        <v>237</v>
      </c>
      <c r="Z125" s="1" t="s">
        <v>238</v>
      </c>
      <c r="AA125" s="1" t="s">
        <v>239</v>
      </c>
      <c r="AB125" s="1">
        <v>1</v>
      </c>
      <c r="AC125" s="73" t="b">
        <v>0</v>
      </c>
      <c r="AD125" s="40" t="b">
        <v>0</v>
      </c>
      <c r="AF125" s="74">
        <v>3</v>
      </c>
      <c r="AG125" s="75"/>
      <c r="AH125" s="75"/>
    </row>
    <row r="126" s="40" customFormat="1" spans="1:41">
      <c r="A126" s="1">
        <v>11107</v>
      </c>
      <c r="B126" s="1" t="s">
        <v>240</v>
      </c>
      <c r="C126" s="1" t="s">
        <v>201</v>
      </c>
      <c r="D126" s="1" t="s">
        <v>202</v>
      </c>
      <c r="E126" s="1" t="s">
        <v>86</v>
      </c>
      <c r="F126" s="1" t="s">
        <v>203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204</v>
      </c>
      <c r="O126" s="72" t="s">
        <v>205</v>
      </c>
      <c r="P126" s="72" t="s">
        <v>241</v>
      </c>
      <c r="Q126" s="1">
        <v>1000007</v>
      </c>
      <c r="R126" s="1">
        <v>1000082</v>
      </c>
      <c r="S126" s="1" t="s">
        <v>207</v>
      </c>
      <c r="T126" s="1">
        <v>1</v>
      </c>
      <c r="U126" s="1" t="s">
        <v>208</v>
      </c>
      <c r="V126" s="1" t="s">
        <v>209</v>
      </c>
      <c r="W126" s="1" t="s">
        <v>236</v>
      </c>
      <c r="X126" s="1">
        <v>10</v>
      </c>
      <c r="Y126" s="1" t="s">
        <v>242</v>
      </c>
      <c r="Z126" s="1" t="s">
        <v>243</v>
      </c>
      <c r="AA126" s="1" t="s">
        <v>244</v>
      </c>
      <c r="AB126" s="1">
        <v>1</v>
      </c>
      <c r="AC126" s="73" t="b">
        <v>0</v>
      </c>
      <c r="AD126" s="40" t="b">
        <v>0</v>
      </c>
      <c r="AF126" s="74">
        <v>3</v>
      </c>
      <c r="AG126" s="75"/>
      <c r="AH126" s="75"/>
    </row>
    <row r="127" s="40" customFormat="1" spans="1:41">
      <c r="A127" s="1">
        <v>11108</v>
      </c>
      <c r="B127" s="1" t="s">
        <v>245</v>
      </c>
      <c r="C127" s="1" t="s">
        <v>201</v>
      </c>
      <c r="D127" s="1" t="s">
        <v>202</v>
      </c>
      <c r="E127" s="1" t="s">
        <v>86</v>
      </c>
      <c r="F127" s="1" t="s">
        <v>203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204</v>
      </c>
      <c r="O127" s="72" t="s">
        <v>205</v>
      </c>
      <c r="P127" s="72" t="s">
        <v>246</v>
      </c>
      <c r="Q127" s="1">
        <v>1000008</v>
      </c>
      <c r="R127" s="1">
        <v>1000083</v>
      </c>
      <c r="S127" s="1" t="s">
        <v>207</v>
      </c>
      <c r="T127" s="1">
        <v>1</v>
      </c>
      <c r="U127" s="1" t="s">
        <v>208</v>
      </c>
      <c r="V127" s="1" t="s">
        <v>209</v>
      </c>
      <c r="W127" s="1" t="s">
        <v>236</v>
      </c>
      <c r="X127" s="1">
        <v>10</v>
      </c>
      <c r="Y127" s="1" t="s">
        <v>247</v>
      </c>
      <c r="Z127" s="1" t="s">
        <v>248</v>
      </c>
      <c r="AA127" s="1" t="s">
        <v>249</v>
      </c>
      <c r="AB127" s="1">
        <v>1</v>
      </c>
      <c r="AC127" s="73" t="b">
        <v>0</v>
      </c>
      <c r="AD127" s="40" t="b">
        <v>0</v>
      </c>
      <c r="AF127" s="74">
        <v>3</v>
      </c>
      <c r="AG127" s="75"/>
      <c r="AH127" s="75"/>
    </row>
    <row r="128" s="40" customFormat="1" spans="1:41">
      <c r="A128" s="1">
        <v>11109</v>
      </c>
      <c r="B128" s="1" t="s">
        <v>250</v>
      </c>
      <c r="C128" s="1" t="s">
        <v>201</v>
      </c>
      <c r="D128" s="1" t="s">
        <v>202</v>
      </c>
      <c r="E128" s="1" t="s">
        <v>86</v>
      </c>
      <c r="F128" s="1" t="s">
        <v>203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204</v>
      </c>
      <c r="O128" s="72" t="s">
        <v>205</v>
      </c>
      <c r="P128" s="72" t="s">
        <v>251</v>
      </c>
      <c r="Q128" s="1">
        <v>1000009</v>
      </c>
      <c r="R128" s="1">
        <v>1000084</v>
      </c>
      <c r="S128" s="1" t="s">
        <v>207</v>
      </c>
      <c r="T128" s="1">
        <v>1</v>
      </c>
      <c r="U128" s="1" t="s">
        <v>208</v>
      </c>
      <c r="V128" s="1" t="s">
        <v>209</v>
      </c>
      <c r="W128" s="1" t="s">
        <v>236</v>
      </c>
      <c r="X128" s="1">
        <v>10</v>
      </c>
      <c r="Y128" s="1" t="s">
        <v>252</v>
      </c>
      <c r="Z128" s="1" t="s">
        <v>253</v>
      </c>
      <c r="AA128" s="1" t="s">
        <v>254</v>
      </c>
      <c r="AB128" s="1">
        <v>1</v>
      </c>
      <c r="AC128" s="73" t="b">
        <v>0</v>
      </c>
      <c r="AD128" s="40" t="b">
        <v>0</v>
      </c>
      <c r="AF128" s="74">
        <v>3</v>
      </c>
      <c r="AG128" s="75"/>
      <c r="AH128" s="75"/>
    </row>
    <row r="129" s="40" customFormat="1" spans="1:40">
      <c r="A129" s="1">
        <v>11110</v>
      </c>
      <c r="B129" s="1" t="s">
        <v>255</v>
      </c>
      <c r="C129" s="1" t="s">
        <v>201</v>
      </c>
      <c r="D129" s="1" t="s">
        <v>202</v>
      </c>
      <c r="E129" s="1" t="s">
        <v>86</v>
      </c>
      <c r="F129" s="1" t="s">
        <v>203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204</v>
      </c>
      <c r="O129" s="72" t="s">
        <v>205</v>
      </c>
      <c r="P129" s="72" t="s">
        <v>256</v>
      </c>
      <c r="Q129" s="1">
        <v>1000010</v>
      </c>
      <c r="R129" s="1">
        <v>1000085</v>
      </c>
      <c r="S129" s="1" t="s">
        <v>207</v>
      </c>
      <c r="T129" s="1">
        <v>1</v>
      </c>
      <c r="U129" s="1" t="s">
        <v>208</v>
      </c>
      <c r="V129" s="1" t="s">
        <v>209</v>
      </c>
      <c r="W129" s="1" t="s">
        <v>236</v>
      </c>
      <c r="X129" s="1">
        <v>10</v>
      </c>
      <c r="Y129" s="1" t="s">
        <v>257</v>
      </c>
      <c r="Z129" s="1" t="s">
        <v>258</v>
      </c>
      <c r="AA129" s="1" t="s">
        <v>259</v>
      </c>
      <c r="AB129" s="1">
        <v>1</v>
      </c>
      <c r="AC129" s="73" t="b">
        <v>0</v>
      </c>
      <c r="AD129" s="40" t="b">
        <v>0</v>
      </c>
      <c r="AF129" s="74">
        <v>3</v>
      </c>
      <c r="AG129" s="75"/>
      <c r="AH129" s="75"/>
    </row>
    <row r="130" s="40" customFormat="1" spans="1:40">
      <c r="A130" s="1">
        <v>11111</v>
      </c>
      <c r="B130" s="1" t="s">
        <v>260</v>
      </c>
      <c r="C130" s="1" t="s">
        <v>201</v>
      </c>
      <c r="D130" s="1" t="s">
        <v>202</v>
      </c>
      <c r="E130" s="1" t="s">
        <v>86</v>
      </c>
      <c r="F130" s="1" t="s">
        <v>203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204</v>
      </c>
      <c r="O130" s="72" t="s">
        <v>205</v>
      </c>
      <c r="P130" s="72" t="s">
        <v>261</v>
      </c>
      <c r="Q130" s="1">
        <v>1000011</v>
      </c>
      <c r="R130" s="1">
        <v>1000086</v>
      </c>
      <c r="S130" s="1" t="s">
        <v>207</v>
      </c>
      <c r="T130" s="1">
        <v>1</v>
      </c>
      <c r="U130" s="1" t="s">
        <v>208</v>
      </c>
      <c r="V130" s="1" t="s">
        <v>209</v>
      </c>
      <c r="W130" s="1" t="s">
        <v>236</v>
      </c>
      <c r="X130" s="1">
        <v>15</v>
      </c>
      <c r="Y130" s="1" t="s">
        <v>262</v>
      </c>
      <c r="Z130" s="1" t="s">
        <v>263</v>
      </c>
      <c r="AA130" s="1" t="s">
        <v>264</v>
      </c>
      <c r="AB130" s="1">
        <v>1</v>
      </c>
      <c r="AC130" s="73" t="b">
        <v>0</v>
      </c>
      <c r="AD130" s="40" t="b">
        <v>0</v>
      </c>
      <c r="AF130" s="74">
        <v>3</v>
      </c>
      <c r="AG130" s="75"/>
      <c r="AH130" s="75"/>
    </row>
    <row r="131" s="40" customFormat="1" spans="1:40">
      <c r="A131" s="1">
        <v>11112</v>
      </c>
      <c r="B131" s="1" t="s">
        <v>265</v>
      </c>
      <c r="C131" s="1" t="s">
        <v>201</v>
      </c>
      <c r="D131" s="1" t="s">
        <v>202</v>
      </c>
      <c r="E131" s="1" t="s">
        <v>86</v>
      </c>
      <c r="F131" s="1" t="s">
        <v>203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204</v>
      </c>
      <c r="O131" s="72" t="s">
        <v>205</v>
      </c>
      <c r="P131" s="72" t="s">
        <v>266</v>
      </c>
      <c r="Q131" s="1">
        <v>1000012</v>
      </c>
      <c r="R131" s="1">
        <v>1000087</v>
      </c>
      <c r="S131" s="1" t="s">
        <v>207</v>
      </c>
      <c r="T131" s="1">
        <v>1</v>
      </c>
      <c r="U131" s="1" t="s">
        <v>208</v>
      </c>
      <c r="V131" s="1" t="s">
        <v>209</v>
      </c>
      <c r="W131" s="1" t="s">
        <v>236</v>
      </c>
      <c r="X131" s="1">
        <v>15</v>
      </c>
      <c r="Y131" s="1" t="s">
        <v>267</v>
      </c>
      <c r="Z131" s="1" t="s">
        <v>268</v>
      </c>
      <c r="AA131" s="1" t="s">
        <v>269</v>
      </c>
      <c r="AB131" s="1">
        <v>1</v>
      </c>
      <c r="AC131" s="73" t="b">
        <v>0</v>
      </c>
      <c r="AD131" s="40" t="b">
        <v>0</v>
      </c>
      <c r="AF131" s="74">
        <v>3</v>
      </c>
      <c r="AG131" s="75"/>
      <c r="AH131" s="75"/>
    </row>
    <row r="132" s="40" customFormat="1" spans="1:40">
      <c r="A132" s="1">
        <v>11113</v>
      </c>
      <c r="B132" s="1" t="s">
        <v>270</v>
      </c>
      <c r="C132" s="1" t="s">
        <v>201</v>
      </c>
      <c r="D132" s="1" t="s">
        <v>202</v>
      </c>
      <c r="E132" s="1" t="s">
        <v>86</v>
      </c>
      <c r="F132" s="1" t="s">
        <v>203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204</v>
      </c>
      <c r="O132" s="72" t="s">
        <v>205</v>
      </c>
      <c r="P132" s="72" t="s">
        <v>271</v>
      </c>
      <c r="Q132" s="1">
        <v>1000013</v>
      </c>
      <c r="R132" s="1">
        <v>1000088</v>
      </c>
      <c r="S132" s="1" t="s">
        <v>207</v>
      </c>
      <c r="T132" s="1">
        <v>1</v>
      </c>
      <c r="U132" s="1" t="s">
        <v>208</v>
      </c>
      <c r="V132" s="1" t="s">
        <v>209</v>
      </c>
      <c r="W132" s="1" t="s">
        <v>236</v>
      </c>
      <c r="X132" s="1">
        <v>15</v>
      </c>
      <c r="Y132" s="1" t="s">
        <v>272</v>
      </c>
      <c r="Z132" s="1" t="s">
        <v>273</v>
      </c>
      <c r="AA132" s="1" t="s">
        <v>274</v>
      </c>
      <c r="AB132" s="1">
        <v>1</v>
      </c>
      <c r="AC132" s="73" t="b">
        <v>0</v>
      </c>
      <c r="AD132" s="40" t="b">
        <v>0</v>
      </c>
      <c r="AF132" s="74">
        <v>3</v>
      </c>
      <c r="AG132" s="75"/>
      <c r="AH132" s="75"/>
    </row>
    <row r="133" s="40" customFormat="1" spans="1:40">
      <c r="A133" s="1">
        <v>11114</v>
      </c>
      <c r="B133" s="1" t="s">
        <v>275</v>
      </c>
      <c r="C133" s="1" t="s">
        <v>201</v>
      </c>
      <c r="D133" s="1" t="s">
        <v>202</v>
      </c>
      <c r="E133" s="1" t="s">
        <v>86</v>
      </c>
      <c r="F133" s="1" t="s">
        <v>203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204</v>
      </c>
      <c r="O133" s="72" t="s">
        <v>205</v>
      </c>
      <c r="P133" s="72" t="s">
        <v>276</v>
      </c>
      <c r="Q133" s="1">
        <v>1000014</v>
      </c>
      <c r="R133" s="1">
        <v>1000089</v>
      </c>
      <c r="S133" s="1" t="s">
        <v>207</v>
      </c>
      <c r="T133" s="1">
        <v>1</v>
      </c>
      <c r="U133" s="1" t="s">
        <v>208</v>
      </c>
      <c r="V133" s="1" t="s">
        <v>209</v>
      </c>
      <c r="W133" s="1" t="s">
        <v>236</v>
      </c>
      <c r="X133" s="1">
        <v>15</v>
      </c>
      <c r="Y133" s="1" t="s">
        <v>277</v>
      </c>
      <c r="Z133" s="44"/>
      <c r="AA133" s="1" t="s">
        <v>278</v>
      </c>
      <c r="AB133" s="1">
        <v>1</v>
      </c>
      <c r="AC133" s="73" t="b">
        <v>0</v>
      </c>
      <c r="AD133" s="40" t="b">
        <v>0</v>
      </c>
      <c r="AF133" s="74">
        <v>3</v>
      </c>
      <c r="AG133" s="75"/>
      <c r="AH133" s="75"/>
      <c r="AI133" s="40"/>
      <c r="AN133" s="1"/>
    </row>
    <row r="134" s="40" customFormat="1" spans="1:40">
      <c r="A134" s="1">
        <v>11115</v>
      </c>
      <c r="B134" s="1" t="s">
        <v>279</v>
      </c>
      <c r="C134" s="1" t="s">
        <v>201</v>
      </c>
      <c r="D134" s="1" t="s">
        <v>202</v>
      </c>
      <c r="E134" s="1" t="s">
        <v>86</v>
      </c>
      <c r="F134" s="1" t="s">
        <v>203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204</v>
      </c>
      <c r="O134" s="72" t="s">
        <v>205</v>
      </c>
      <c r="P134" s="72" t="s">
        <v>280</v>
      </c>
      <c r="Q134" s="1">
        <v>1000015</v>
      </c>
      <c r="R134" s="1">
        <v>1000090</v>
      </c>
      <c r="S134" s="1" t="s">
        <v>207</v>
      </c>
      <c r="T134" s="1">
        <v>1</v>
      </c>
      <c r="U134" s="1" t="s">
        <v>208</v>
      </c>
      <c r="V134" s="1" t="s">
        <v>209</v>
      </c>
      <c r="W134" s="1" t="s">
        <v>236</v>
      </c>
      <c r="X134" s="1">
        <v>15</v>
      </c>
      <c r="Y134" s="1" t="s">
        <v>281</v>
      </c>
      <c r="Z134" s="1" t="s">
        <v>282</v>
      </c>
      <c r="AA134" s="1" t="s">
        <v>283</v>
      </c>
      <c r="AB134" s="1">
        <v>1</v>
      </c>
      <c r="AC134" s="73" t="b">
        <v>0</v>
      </c>
      <c r="AD134" s="40" t="b">
        <v>0</v>
      </c>
      <c r="AF134" s="74">
        <v>3</v>
      </c>
      <c r="AG134" s="75"/>
      <c r="AH134" s="75"/>
    </row>
    <row r="135" s="40" customFormat="1" spans="1:40">
      <c r="A135" s="1">
        <v>11116</v>
      </c>
      <c r="B135" s="1" t="s">
        <v>284</v>
      </c>
      <c r="C135" s="1" t="s">
        <v>201</v>
      </c>
      <c r="D135" s="1" t="s">
        <v>202</v>
      </c>
      <c r="E135" s="1" t="s">
        <v>86</v>
      </c>
      <c r="F135" s="1" t="s">
        <v>203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204</v>
      </c>
      <c r="O135" s="72" t="s">
        <v>205</v>
      </c>
      <c r="P135" s="72" t="s">
        <v>285</v>
      </c>
      <c r="Q135" s="1">
        <v>1000016</v>
      </c>
      <c r="R135" s="1">
        <v>1000091</v>
      </c>
      <c r="S135" s="1" t="s">
        <v>207</v>
      </c>
      <c r="T135" s="1">
        <v>1</v>
      </c>
      <c r="U135" s="1" t="s">
        <v>208</v>
      </c>
      <c r="V135" s="1" t="s">
        <v>209</v>
      </c>
      <c r="W135" s="1" t="s">
        <v>286</v>
      </c>
      <c r="X135" s="1">
        <v>20</v>
      </c>
      <c r="Y135" s="1" t="s">
        <v>287</v>
      </c>
      <c r="Z135" s="1" t="s">
        <v>288</v>
      </c>
      <c r="AA135" s="1" t="s">
        <v>289</v>
      </c>
      <c r="AB135" s="1">
        <v>1</v>
      </c>
      <c r="AC135" s="73" t="b">
        <v>0</v>
      </c>
      <c r="AD135" s="40" t="b">
        <v>0</v>
      </c>
      <c r="AF135" s="74">
        <v>3</v>
      </c>
      <c r="AG135" s="75"/>
      <c r="AH135" s="75"/>
    </row>
    <row r="136" s="40" customFormat="1" spans="1:40">
      <c r="A136" s="1">
        <v>11117</v>
      </c>
      <c r="B136" s="1" t="s">
        <v>290</v>
      </c>
      <c r="C136" s="1" t="s">
        <v>201</v>
      </c>
      <c r="D136" s="1" t="s">
        <v>202</v>
      </c>
      <c r="E136" s="1" t="s">
        <v>86</v>
      </c>
      <c r="F136" s="1" t="s">
        <v>203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204</v>
      </c>
      <c r="O136" s="72" t="s">
        <v>205</v>
      </c>
      <c r="P136" s="72" t="s">
        <v>291</v>
      </c>
      <c r="Q136" s="1">
        <v>1000017</v>
      </c>
      <c r="R136" s="1">
        <v>1000092</v>
      </c>
      <c r="S136" s="1" t="s">
        <v>207</v>
      </c>
      <c r="T136" s="1">
        <v>1</v>
      </c>
      <c r="U136" s="1" t="s">
        <v>208</v>
      </c>
      <c r="V136" s="1" t="s">
        <v>209</v>
      </c>
      <c r="W136" s="1" t="s">
        <v>286</v>
      </c>
      <c r="X136" s="1">
        <v>20</v>
      </c>
      <c r="Y136" s="1" t="s">
        <v>292</v>
      </c>
      <c r="Z136" s="1" t="s">
        <v>293</v>
      </c>
      <c r="AA136" s="1" t="s">
        <v>294</v>
      </c>
      <c r="AB136" s="1">
        <v>1</v>
      </c>
      <c r="AC136" s="73" t="b">
        <v>0</v>
      </c>
      <c r="AD136" s="40" t="b">
        <v>0</v>
      </c>
      <c r="AF136" s="74">
        <v>3</v>
      </c>
      <c r="AG136" s="75"/>
      <c r="AH136" s="75"/>
    </row>
    <row r="137" s="40" customFormat="1" spans="1:40">
      <c r="A137" s="1">
        <v>11118</v>
      </c>
      <c r="B137" s="1" t="s">
        <v>295</v>
      </c>
      <c r="C137" s="1" t="s">
        <v>201</v>
      </c>
      <c r="D137" s="1" t="s">
        <v>202</v>
      </c>
      <c r="E137" s="1" t="s">
        <v>86</v>
      </c>
      <c r="F137" s="1" t="s">
        <v>203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204</v>
      </c>
      <c r="O137" s="72" t="s">
        <v>205</v>
      </c>
      <c r="P137" s="72" t="s">
        <v>296</v>
      </c>
      <c r="Q137" s="1">
        <v>1000018</v>
      </c>
      <c r="R137" s="1">
        <v>1000093</v>
      </c>
      <c r="S137" s="1" t="s">
        <v>207</v>
      </c>
      <c r="T137" s="1">
        <v>1</v>
      </c>
      <c r="U137" s="1" t="s">
        <v>208</v>
      </c>
      <c r="V137" s="1" t="s">
        <v>209</v>
      </c>
      <c r="W137" s="1" t="s">
        <v>286</v>
      </c>
      <c r="X137" s="1">
        <v>20</v>
      </c>
      <c r="Y137" s="1" t="s">
        <v>297</v>
      </c>
      <c r="Z137" s="1" t="s">
        <v>298</v>
      </c>
      <c r="AA137" s="1" t="s">
        <v>299</v>
      </c>
      <c r="AB137" s="1">
        <v>1</v>
      </c>
      <c r="AC137" s="73" t="b">
        <v>0</v>
      </c>
      <c r="AD137" s="40" t="b">
        <v>0</v>
      </c>
      <c r="AF137" s="74">
        <v>3</v>
      </c>
      <c r="AG137" s="75"/>
      <c r="AH137" s="75"/>
    </row>
    <row r="138" s="40" customFormat="1" spans="1:40">
      <c r="A138" s="1">
        <v>11119</v>
      </c>
      <c r="B138" s="1" t="s">
        <v>300</v>
      </c>
      <c r="C138" s="1" t="s">
        <v>201</v>
      </c>
      <c r="D138" s="1" t="s">
        <v>202</v>
      </c>
      <c r="E138" s="1" t="s">
        <v>86</v>
      </c>
      <c r="F138" s="1" t="s">
        <v>203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204</v>
      </c>
      <c r="O138" s="72" t="s">
        <v>205</v>
      </c>
      <c r="P138" s="72" t="s">
        <v>301</v>
      </c>
      <c r="Q138" s="1">
        <v>1000019</v>
      </c>
      <c r="R138" s="1">
        <v>1000094</v>
      </c>
      <c r="S138" s="1" t="s">
        <v>207</v>
      </c>
      <c r="T138" s="1">
        <v>1</v>
      </c>
      <c r="U138" s="1" t="s">
        <v>208</v>
      </c>
      <c r="V138" s="1" t="s">
        <v>209</v>
      </c>
      <c r="W138" s="1" t="s">
        <v>286</v>
      </c>
      <c r="X138" s="1">
        <v>20</v>
      </c>
      <c r="Y138" s="1" t="s">
        <v>302</v>
      </c>
      <c r="Z138" s="1" t="s">
        <v>303</v>
      </c>
      <c r="AA138" s="1" t="s">
        <v>304</v>
      </c>
      <c r="AB138" s="1">
        <v>1</v>
      </c>
      <c r="AC138" s="73" t="b">
        <v>0</v>
      </c>
      <c r="AD138" s="40" t="b">
        <v>0</v>
      </c>
      <c r="AF138" s="74">
        <v>3</v>
      </c>
      <c r="AG138" s="75"/>
      <c r="AH138" s="75"/>
    </row>
    <row r="139" s="40" customFormat="1" spans="1:40">
      <c r="A139" s="1">
        <v>11120</v>
      </c>
      <c r="B139" s="1" t="s">
        <v>305</v>
      </c>
      <c r="C139" s="1" t="s">
        <v>201</v>
      </c>
      <c r="D139" s="1" t="s">
        <v>202</v>
      </c>
      <c r="E139" s="1" t="s">
        <v>86</v>
      </c>
      <c r="F139" s="1" t="s">
        <v>203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204</v>
      </c>
      <c r="O139" s="72" t="s">
        <v>205</v>
      </c>
      <c r="P139" s="72" t="s">
        <v>306</v>
      </c>
      <c r="Q139" s="1">
        <v>1000020</v>
      </c>
      <c r="R139" s="1">
        <v>1000095</v>
      </c>
      <c r="S139" s="1" t="s">
        <v>207</v>
      </c>
      <c r="T139" s="1">
        <v>1</v>
      </c>
      <c r="U139" s="1" t="s">
        <v>208</v>
      </c>
      <c r="V139" s="1" t="s">
        <v>209</v>
      </c>
      <c r="W139" s="1" t="s">
        <v>286</v>
      </c>
      <c r="X139" s="1">
        <v>20</v>
      </c>
      <c r="Y139" s="1" t="s">
        <v>307</v>
      </c>
      <c r="Z139" s="1" t="s">
        <v>308</v>
      </c>
      <c r="AA139" s="1" t="s">
        <v>309</v>
      </c>
      <c r="AB139" s="1">
        <v>1</v>
      </c>
      <c r="AC139" s="73" t="b">
        <v>0</v>
      </c>
      <c r="AD139" s="40" t="b">
        <v>0</v>
      </c>
      <c r="AF139" s="74">
        <v>3</v>
      </c>
      <c r="AG139" s="75"/>
      <c r="AH139" s="75"/>
    </row>
    <row r="140" s="40" customFormat="1" spans="1:40">
      <c r="A140" s="1">
        <v>11121</v>
      </c>
      <c r="B140" s="1" t="s">
        <v>310</v>
      </c>
      <c r="C140" s="1" t="s">
        <v>201</v>
      </c>
      <c r="D140" s="1" t="s">
        <v>202</v>
      </c>
      <c r="E140" s="1" t="s">
        <v>86</v>
      </c>
      <c r="F140" s="1" t="s">
        <v>203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204</v>
      </c>
      <c r="O140" s="72" t="s">
        <v>205</v>
      </c>
      <c r="P140" s="72" t="s">
        <v>311</v>
      </c>
      <c r="Q140" s="1">
        <v>1000021</v>
      </c>
      <c r="R140" s="1">
        <v>1000096</v>
      </c>
      <c r="S140" s="1" t="s">
        <v>207</v>
      </c>
      <c r="T140" s="1">
        <v>1</v>
      </c>
      <c r="U140" s="1" t="s">
        <v>208</v>
      </c>
      <c r="V140" s="1" t="s">
        <v>209</v>
      </c>
      <c r="W140" s="1" t="s">
        <v>286</v>
      </c>
      <c r="X140" s="1">
        <v>25</v>
      </c>
      <c r="Y140" s="1" t="s">
        <v>312</v>
      </c>
      <c r="Z140" s="1" t="s">
        <v>313</v>
      </c>
      <c r="AA140" s="1" t="s">
        <v>314</v>
      </c>
      <c r="AB140" s="1">
        <v>1</v>
      </c>
      <c r="AC140" s="73" t="b">
        <v>0</v>
      </c>
      <c r="AD140" s="40" t="b">
        <v>0</v>
      </c>
      <c r="AF140" s="74">
        <v>3</v>
      </c>
      <c r="AG140" s="75"/>
      <c r="AH140" s="75"/>
    </row>
    <row r="141" s="40" customFormat="1" spans="1:40">
      <c r="A141" s="1">
        <v>11122</v>
      </c>
      <c r="B141" s="1" t="s">
        <v>315</v>
      </c>
      <c r="C141" s="1" t="s">
        <v>201</v>
      </c>
      <c r="D141" s="1" t="s">
        <v>202</v>
      </c>
      <c r="E141" s="1" t="s">
        <v>86</v>
      </c>
      <c r="F141" s="1" t="s">
        <v>203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204</v>
      </c>
      <c r="O141" s="72" t="s">
        <v>205</v>
      </c>
      <c r="P141" s="72" t="s">
        <v>316</v>
      </c>
      <c r="Q141" s="1">
        <v>1000022</v>
      </c>
      <c r="R141" s="1">
        <v>1000097</v>
      </c>
      <c r="S141" s="1" t="s">
        <v>207</v>
      </c>
      <c r="T141" s="1">
        <v>1</v>
      </c>
      <c r="U141" s="1" t="s">
        <v>208</v>
      </c>
      <c r="V141" s="1" t="s">
        <v>209</v>
      </c>
      <c r="W141" s="1" t="s">
        <v>286</v>
      </c>
      <c r="X141" s="1">
        <v>25</v>
      </c>
      <c r="Y141" s="1" t="s">
        <v>317</v>
      </c>
      <c r="Z141" s="1" t="s">
        <v>318</v>
      </c>
      <c r="AA141" s="1" t="s">
        <v>319</v>
      </c>
      <c r="AB141" s="1">
        <v>1</v>
      </c>
      <c r="AC141" s="73" t="b">
        <v>0</v>
      </c>
      <c r="AD141" s="40" t="b">
        <v>0</v>
      </c>
      <c r="AF141" s="74">
        <v>3</v>
      </c>
      <c r="AG141" s="75"/>
      <c r="AH141" s="75"/>
    </row>
    <row r="142" s="40" customFormat="1" spans="1:40">
      <c r="A142" s="1">
        <v>11123</v>
      </c>
      <c r="B142" s="1" t="s">
        <v>320</v>
      </c>
      <c r="C142" s="1" t="s">
        <v>201</v>
      </c>
      <c r="D142" s="1" t="s">
        <v>202</v>
      </c>
      <c r="E142" s="1" t="s">
        <v>86</v>
      </c>
      <c r="F142" s="1" t="s">
        <v>203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204</v>
      </c>
      <c r="O142" s="72" t="s">
        <v>205</v>
      </c>
      <c r="P142" s="72" t="s">
        <v>321</v>
      </c>
      <c r="Q142" s="1">
        <v>1000023</v>
      </c>
      <c r="R142" s="1">
        <v>1000098</v>
      </c>
      <c r="S142" s="1" t="s">
        <v>207</v>
      </c>
      <c r="T142" s="1">
        <v>1</v>
      </c>
      <c r="U142" s="1" t="s">
        <v>208</v>
      </c>
      <c r="V142" s="1" t="s">
        <v>209</v>
      </c>
      <c r="W142" s="1" t="s">
        <v>286</v>
      </c>
      <c r="X142" s="1">
        <v>25</v>
      </c>
      <c r="Y142" s="1" t="s">
        <v>322</v>
      </c>
      <c r="Z142" s="1" t="s">
        <v>323</v>
      </c>
      <c r="AA142" s="1" t="s">
        <v>324</v>
      </c>
      <c r="AB142" s="1">
        <v>1</v>
      </c>
      <c r="AC142" s="73" t="b">
        <v>0</v>
      </c>
      <c r="AD142" s="40" t="b">
        <v>0</v>
      </c>
      <c r="AF142" s="74">
        <v>3</v>
      </c>
      <c r="AG142" s="75"/>
      <c r="AH142" s="75"/>
    </row>
    <row r="143" s="40" customFormat="1" spans="1:40">
      <c r="A143" s="1">
        <v>11124</v>
      </c>
      <c r="B143" s="1" t="s">
        <v>325</v>
      </c>
      <c r="C143" s="1" t="s">
        <v>201</v>
      </c>
      <c r="D143" s="1" t="s">
        <v>202</v>
      </c>
      <c r="E143" s="1" t="s">
        <v>86</v>
      </c>
      <c r="F143" s="1" t="s">
        <v>203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204</v>
      </c>
      <c r="O143" s="72" t="s">
        <v>205</v>
      </c>
      <c r="P143" s="72" t="s">
        <v>326</v>
      </c>
      <c r="Q143" s="1">
        <v>1000024</v>
      </c>
      <c r="R143" s="1">
        <v>1000099</v>
      </c>
      <c r="S143" s="1" t="s">
        <v>207</v>
      </c>
      <c r="T143" s="1">
        <v>1</v>
      </c>
      <c r="U143" s="1" t="s">
        <v>208</v>
      </c>
      <c r="V143" s="1" t="s">
        <v>209</v>
      </c>
      <c r="W143" s="1" t="s">
        <v>286</v>
      </c>
      <c r="X143" s="1">
        <v>25</v>
      </c>
      <c r="Y143" s="1" t="s">
        <v>327</v>
      </c>
      <c r="Z143" s="1" t="s">
        <v>328</v>
      </c>
      <c r="AA143" s="1" t="s">
        <v>329</v>
      </c>
      <c r="AB143" s="1">
        <v>1</v>
      </c>
      <c r="AC143" s="73" t="b">
        <v>0</v>
      </c>
      <c r="AD143" s="40" t="b">
        <v>0</v>
      </c>
      <c r="AF143" s="74">
        <v>3</v>
      </c>
      <c r="AG143" s="75"/>
      <c r="AH143" s="75"/>
    </row>
    <row r="144" s="40" customFormat="1" spans="1:40">
      <c r="A144" s="1">
        <v>11125</v>
      </c>
      <c r="B144" s="1" t="s">
        <v>330</v>
      </c>
      <c r="C144" s="1" t="s">
        <v>201</v>
      </c>
      <c r="D144" s="1" t="s">
        <v>202</v>
      </c>
      <c r="E144" s="1" t="s">
        <v>86</v>
      </c>
      <c r="F144" s="1" t="s">
        <v>203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204</v>
      </c>
      <c r="O144" s="72" t="s">
        <v>205</v>
      </c>
      <c r="P144" s="72" t="s">
        <v>331</v>
      </c>
      <c r="Q144" s="1">
        <v>1000025</v>
      </c>
      <c r="R144" s="1">
        <v>1000100</v>
      </c>
      <c r="S144" s="1" t="s">
        <v>207</v>
      </c>
      <c r="T144" s="1">
        <v>1</v>
      </c>
      <c r="U144" s="1" t="s">
        <v>208</v>
      </c>
      <c r="V144" s="1" t="s">
        <v>209</v>
      </c>
      <c r="W144" s="1" t="s">
        <v>286</v>
      </c>
      <c r="X144" s="1">
        <v>25</v>
      </c>
      <c r="Y144" s="1" t="s">
        <v>332</v>
      </c>
      <c r="Z144" s="1" t="s">
        <v>333</v>
      </c>
      <c r="AA144" s="1" t="s">
        <v>334</v>
      </c>
      <c r="AB144" s="1">
        <v>1</v>
      </c>
      <c r="AC144" s="73" t="b">
        <v>0</v>
      </c>
      <c r="AD144" s="40" t="b">
        <v>0</v>
      </c>
      <c r="AF144" s="74">
        <v>3</v>
      </c>
      <c r="AG144" s="75"/>
      <c r="AH144" s="75"/>
    </row>
    <row r="145" s="40" customFormat="1" spans="1:34">
      <c r="A145" s="1">
        <v>11201</v>
      </c>
      <c r="B145" s="1" t="s">
        <v>335</v>
      </c>
      <c r="C145" s="1" t="s">
        <v>336</v>
      </c>
      <c r="D145" s="1" t="s">
        <v>337</v>
      </c>
      <c r="E145" s="1" t="s">
        <v>338</v>
      </c>
      <c r="F145" s="1" t="s">
        <v>339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204</v>
      </c>
      <c r="O145" s="72" t="s">
        <v>205</v>
      </c>
      <c r="P145" s="72" t="s">
        <v>340</v>
      </c>
      <c r="Q145" s="1">
        <v>1000026</v>
      </c>
      <c r="R145" s="1">
        <v>1000101</v>
      </c>
      <c r="S145" s="1" t="s">
        <v>207</v>
      </c>
      <c r="T145" s="1">
        <v>1</v>
      </c>
      <c r="U145" s="1" t="s">
        <v>341</v>
      </c>
      <c r="V145" s="1" t="s">
        <v>342</v>
      </c>
      <c r="W145" s="1" t="s">
        <v>343</v>
      </c>
      <c r="X145" s="1">
        <v>5</v>
      </c>
      <c r="Y145" s="1" t="s">
        <v>211</v>
      </c>
      <c r="Z145" s="1" t="s">
        <v>212</v>
      </c>
      <c r="AA145" s="1" t="s">
        <v>213</v>
      </c>
      <c r="AB145" s="1">
        <v>1</v>
      </c>
      <c r="AC145" s="73" t="b">
        <v>0</v>
      </c>
      <c r="AD145" s="40" t="b">
        <v>0</v>
      </c>
      <c r="AF145" s="74">
        <v>3</v>
      </c>
      <c r="AG145" s="75"/>
      <c r="AH145" s="75"/>
    </row>
    <row r="146" s="40" customFormat="1" spans="1:34">
      <c r="A146" s="1">
        <v>11202</v>
      </c>
      <c r="B146" s="1" t="s">
        <v>344</v>
      </c>
      <c r="C146" s="1" t="s">
        <v>336</v>
      </c>
      <c r="D146" s="1" t="s">
        <v>337</v>
      </c>
      <c r="E146" s="1" t="s">
        <v>338</v>
      </c>
      <c r="F146" s="1" t="s">
        <v>339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204</v>
      </c>
      <c r="O146" s="72" t="s">
        <v>205</v>
      </c>
      <c r="P146" s="72" t="s">
        <v>345</v>
      </c>
      <c r="Q146" s="1">
        <v>1000027</v>
      </c>
      <c r="R146" s="1">
        <v>1000102</v>
      </c>
      <c r="S146" s="1" t="s">
        <v>207</v>
      </c>
      <c r="T146" s="1">
        <v>1</v>
      </c>
      <c r="U146" s="1" t="s">
        <v>341</v>
      </c>
      <c r="V146" s="1" t="s">
        <v>342</v>
      </c>
      <c r="W146" s="1" t="s">
        <v>343</v>
      </c>
      <c r="X146" s="1">
        <v>5</v>
      </c>
      <c r="Y146" s="1" t="s">
        <v>216</v>
      </c>
      <c r="Z146" s="1" t="s">
        <v>217</v>
      </c>
      <c r="AA146" s="1" t="s">
        <v>218</v>
      </c>
      <c r="AB146" s="1">
        <v>1</v>
      </c>
      <c r="AC146" s="73" t="b">
        <v>0</v>
      </c>
      <c r="AD146" s="40" t="b">
        <v>0</v>
      </c>
      <c r="AF146" s="74">
        <v>3</v>
      </c>
      <c r="AG146" s="75"/>
      <c r="AH146" s="75"/>
    </row>
    <row r="147" s="40" customFormat="1" spans="1:34">
      <c r="A147" s="1">
        <v>11203</v>
      </c>
      <c r="B147" s="1" t="s">
        <v>346</v>
      </c>
      <c r="C147" s="1" t="s">
        <v>336</v>
      </c>
      <c r="D147" s="1" t="s">
        <v>337</v>
      </c>
      <c r="E147" s="1" t="s">
        <v>338</v>
      </c>
      <c r="F147" s="1" t="s">
        <v>339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204</v>
      </c>
      <c r="O147" s="72" t="s">
        <v>205</v>
      </c>
      <c r="P147" s="72" t="s">
        <v>347</v>
      </c>
      <c r="Q147" s="1">
        <v>1000028</v>
      </c>
      <c r="R147" s="1">
        <v>1000103</v>
      </c>
      <c r="S147" s="1" t="s">
        <v>207</v>
      </c>
      <c r="T147" s="1">
        <v>1</v>
      </c>
      <c r="U147" s="1" t="s">
        <v>341</v>
      </c>
      <c r="V147" s="1" t="s">
        <v>342</v>
      </c>
      <c r="W147" s="1" t="s">
        <v>343</v>
      </c>
      <c r="X147" s="1">
        <v>5</v>
      </c>
      <c r="Y147" s="1" t="s">
        <v>221</v>
      </c>
      <c r="Z147" s="1" t="s">
        <v>222</v>
      </c>
      <c r="AA147" s="1" t="s">
        <v>223</v>
      </c>
      <c r="AB147" s="1">
        <v>1</v>
      </c>
      <c r="AC147" s="73" t="b">
        <v>0</v>
      </c>
      <c r="AD147" s="40" t="b">
        <v>0</v>
      </c>
      <c r="AF147" s="74">
        <v>3</v>
      </c>
      <c r="AG147" s="75"/>
      <c r="AH147" s="75"/>
    </row>
    <row r="148" s="40" customFormat="1" spans="1:34">
      <c r="A148" s="1">
        <v>11204</v>
      </c>
      <c r="B148" s="1" t="s">
        <v>348</v>
      </c>
      <c r="C148" s="1" t="s">
        <v>336</v>
      </c>
      <c r="D148" s="1" t="s">
        <v>337</v>
      </c>
      <c r="E148" s="1" t="s">
        <v>338</v>
      </c>
      <c r="F148" s="1" t="s">
        <v>339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204</v>
      </c>
      <c r="O148" s="72" t="s">
        <v>205</v>
      </c>
      <c r="P148" s="72" t="s">
        <v>349</v>
      </c>
      <c r="Q148" s="1">
        <v>1000029</v>
      </c>
      <c r="R148" s="1">
        <v>1000104</v>
      </c>
      <c r="S148" s="1" t="s">
        <v>207</v>
      </c>
      <c r="T148" s="1">
        <v>1</v>
      </c>
      <c r="U148" s="1" t="s">
        <v>341</v>
      </c>
      <c r="V148" s="1" t="s">
        <v>342</v>
      </c>
      <c r="W148" s="1" t="s">
        <v>343</v>
      </c>
      <c r="X148" s="1">
        <v>5</v>
      </c>
      <c r="Y148" s="1" t="s">
        <v>226</v>
      </c>
      <c r="Z148" s="1" t="s">
        <v>227</v>
      </c>
      <c r="AA148" s="1" t="s">
        <v>228</v>
      </c>
      <c r="AB148" s="1">
        <v>1</v>
      </c>
      <c r="AC148" s="73" t="b">
        <v>0</v>
      </c>
      <c r="AD148" s="40" t="b">
        <v>0</v>
      </c>
      <c r="AF148" s="74">
        <v>3</v>
      </c>
      <c r="AG148" s="75"/>
      <c r="AH148" s="75"/>
    </row>
    <row r="149" s="40" customFormat="1" spans="1:34">
      <c r="A149" s="1">
        <v>11205</v>
      </c>
      <c r="B149" s="1" t="s">
        <v>350</v>
      </c>
      <c r="C149" s="1" t="s">
        <v>336</v>
      </c>
      <c r="D149" s="1" t="s">
        <v>337</v>
      </c>
      <c r="E149" s="1" t="s">
        <v>338</v>
      </c>
      <c r="F149" s="1" t="s">
        <v>339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204</v>
      </c>
      <c r="O149" s="72" t="s">
        <v>205</v>
      </c>
      <c r="P149" s="72" t="s">
        <v>351</v>
      </c>
      <c r="Q149" s="1">
        <v>1000030</v>
      </c>
      <c r="R149" s="1">
        <v>1000105</v>
      </c>
      <c r="S149" s="1" t="s">
        <v>207</v>
      </c>
      <c r="T149" s="1">
        <v>1</v>
      </c>
      <c r="U149" s="1" t="s">
        <v>341</v>
      </c>
      <c r="V149" s="1" t="s">
        <v>342</v>
      </c>
      <c r="W149" s="1" t="s">
        <v>343</v>
      </c>
      <c r="X149" s="1">
        <v>5</v>
      </c>
      <c r="Y149" s="1" t="s">
        <v>231</v>
      </c>
      <c r="Z149" s="1" t="s">
        <v>232</v>
      </c>
      <c r="AA149" s="1" t="s">
        <v>233</v>
      </c>
      <c r="AB149" s="1">
        <v>1</v>
      </c>
      <c r="AC149" s="73" t="b">
        <v>0</v>
      </c>
      <c r="AD149" s="40" t="b">
        <v>0</v>
      </c>
      <c r="AF149" s="74">
        <v>3</v>
      </c>
      <c r="AG149" s="75"/>
      <c r="AH149" s="75"/>
    </row>
    <row r="150" s="40" customFormat="1" spans="1:34">
      <c r="A150" s="1">
        <v>11206</v>
      </c>
      <c r="B150" s="1" t="s">
        <v>352</v>
      </c>
      <c r="C150" s="1" t="s">
        <v>336</v>
      </c>
      <c r="D150" s="1" t="s">
        <v>337</v>
      </c>
      <c r="E150" s="1" t="s">
        <v>338</v>
      </c>
      <c r="F150" s="1" t="s">
        <v>339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204</v>
      </c>
      <c r="O150" s="72" t="s">
        <v>205</v>
      </c>
      <c r="P150" s="72" t="s">
        <v>353</v>
      </c>
      <c r="Q150" s="1">
        <v>1000031</v>
      </c>
      <c r="R150" s="1">
        <v>1000106</v>
      </c>
      <c r="S150" s="1" t="s">
        <v>207</v>
      </c>
      <c r="T150" s="1">
        <v>1</v>
      </c>
      <c r="U150" s="1" t="s">
        <v>341</v>
      </c>
      <c r="V150" s="1" t="s">
        <v>342</v>
      </c>
      <c r="W150" s="1" t="s">
        <v>354</v>
      </c>
      <c r="X150" s="1">
        <v>10</v>
      </c>
      <c r="Y150" s="1" t="s">
        <v>237</v>
      </c>
      <c r="Z150" s="1" t="s">
        <v>238</v>
      </c>
      <c r="AA150" s="1" t="s">
        <v>239</v>
      </c>
      <c r="AB150" s="1">
        <v>1</v>
      </c>
      <c r="AC150" s="73" t="b">
        <v>0</v>
      </c>
      <c r="AD150" s="40" t="b">
        <v>0</v>
      </c>
      <c r="AF150" s="74">
        <v>3</v>
      </c>
      <c r="AG150" s="75"/>
      <c r="AH150" s="75"/>
    </row>
    <row r="151" s="40" customFormat="1" spans="1:34">
      <c r="A151" s="1">
        <v>11207</v>
      </c>
      <c r="B151" s="1" t="s">
        <v>355</v>
      </c>
      <c r="C151" s="1" t="s">
        <v>336</v>
      </c>
      <c r="D151" s="1" t="s">
        <v>337</v>
      </c>
      <c r="E151" s="1" t="s">
        <v>338</v>
      </c>
      <c r="F151" s="1" t="s">
        <v>339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204</v>
      </c>
      <c r="O151" s="72" t="s">
        <v>205</v>
      </c>
      <c r="P151" s="72" t="s">
        <v>356</v>
      </c>
      <c r="Q151" s="1">
        <v>1000032</v>
      </c>
      <c r="R151" s="1">
        <v>1000107</v>
      </c>
      <c r="S151" s="1" t="s">
        <v>207</v>
      </c>
      <c r="T151" s="1">
        <v>1</v>
      </c>
      <c r="U151" s="1" t="s">
        <v>341</v>
      </c>
      <c r="V151" s="1" t="s">
        <v>342</v>
      </c>
      <c r="W151" s="1" t="s">
        <v>354</v>
      </c>
      <c r="X151" s="1">
        <v>10</v>
      </c>
      <c r="Y151" s="1" t="s">
        <v>242</v>
      </c>
      <c r="Z151" s="1" t="s">
        <v>243</v>
      </c>
      <c r="AA151" s="1" t="s">
        <v>244</v>
      </c>
      <c r="AB151" s="1">
        <v>1</v>
      </c>
      <c r="AC151" s="73" t="b">
        <v>0</v>
      </c>
      <c r="AD151" s="40" t="b">
        <v>0</v>
      </c>
      <c r="AF151" s="74">
        <v>3</v>
      </c>
      <c r="AG151" s="75"/>
      <c r="AH151" s="75"/>
    </row>
    <row r="152" s="40" customFormat="1" spans="1:34">
      <c r="A152" s="1">
        <v>11208</v>
      </c>
      <c r="B152" s="1" t="s">
        <v>357</v>
      </c>
      <c r="C152" s="1" t="s">
        <v>336</v>
      </c>
      <c r="D152" s="1" t="s">
        <v>337</v>
      </c>
      <c r="E152" s="1" t="s">
        <v>338</v>
      </c>
      <c r="F152" s="1" t="s">
        <v>339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204</v>
      </c>
      <c r="O152" s="72" t="s">
        <v>205</v>
      </c>
      <c r="P152" s="72" t="s">
        <v>358</v>
      </c>
      <c r="Q152" s="1">
        <v>1000033</v>
      </c>
      <c r="R152" s="1">
        <v>1000108</v>
      </c>
      <c r="S152" s="1" t="s">
        <v>207</v>
      </c>
      <c r="T152" s="1">
        <v>1</v>
      </c>
      <c r="U152" s="1" t="s">
        <v>341</v>
      </c>
      <c r="V152" s="1" t="s">
        <v>342</v>
      </c>
      <c r="W152" s="1" t="s">
        <v>354</v>
      </c>
      <c r="X152" s="1">
        <v>10</v>
      </c>
      <c r="Y152" s="1" t="s">
        <v>247</v>
      </c>
      <c r="Z152" s="1" t="s">
        <v>248</v>
      </c>
      <c r="AA152" s="1" t="s">
        <v>249</v>
      </c>
      <c r="AB152" s="1">
        <v>1</v>
      </c>
      <c r="AC152" s="73" t="b">
        <v>0</v>
      </c>
      <c r="AD152" s="40" t="b">
        <v>0</v>
      </c>
      <c r="AF152" s="74">
        <v>3</v>
      </c>
      <c r="AG152" s="75"/>
      <c r="AH152" s="75"/>
    </row>
    <row r="153" s="40" customFormat="1" spans="1:34">
      <c r="A153" s="1">
        <v>11209</v>
      </c>
      <c r="B153" s="1" t="s">
        <v>359</v>
      </c>
      <c r="C153" s="1" t="s">
        <v>336</v>
      </c>
      <c r="D153" s="1" t="s">
        <v>337</v>
      </c>
      <c r="E153" s="1" t="s">
        <v>338</v>
      </c>
      <c r="F153" s="1" t="s">
        <v>339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204</v>
      </c>
      <c r="O153" s="72" t="s">
        <v>205</v>
      </c>
      <c r="P153" s="72" t="s">
        <v>360</v>
      </c>
      <c r="Q153" s="1">
        <v>1000034</v>
      </c>
      <c r="R153" s="1">
        <v>1000109</v>
      </c>
      <c r="S153" s="1" t="s">
        <v>207</v>
      </c>
      <c r="T153" s="1">
        <v>1</v>
      </c>
      <c r="U153" s="1" t="s">
        <v>341</v>
      </c>
      <c r="V153" s="1" t="s">
        <v>342</v>
      </c>
      <c r="W153" s="1" t="s">
        <v>354</v>
      </c>
      <c r="X153" s="1">
        <v>10</v>
      </c>
      <c r="Y153" s="1" t="s">
        <v>252</v>
      </c>
      <c r="Z153" s="1" t="s">
        <v>253</v>
      </c>
      <c r="AA153" s="1" t="s">
        <v>254</v>
      </c>
      <c r="AB153" s="1">
        <v>1</v>
      </c>
      <c r="AC153" s="73" t="b">
        <v>0</v>
      </c>
      <c r="AD153" s="40" t="b">
        <v>0</v>
      </c>
      <c r="AF153" s="74">
        <v>3</v>
      </c>
      <c r="AG153" s="75"/>
      <c r="AH153" s="75"/>
    </row>
    <row r="154" s="40" customFormat="1" spans="1:34">
      <c r="A154" s="1">
        <v>11210</v>
      </c>
      <c r="B154" s="1" t="s">
        <v>361</v>
      </c>
      <c r="C154" s="1" t="s">
        <v>336</v>
      </c>
      <c r="D154" s="1" t="s">
        <v>337</v>
      </c>
      <c r="E154" s="1" t="s">
        <v>338</v>
      </c>
      <c r="F154" s="1" t="s">
        <v>339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204</v>
      </c>
      <c r="O154" s="72" t="s">
        <v>205</v>
      </c>
      <c r="P154" s="72" t="s">
        <v>362</v>
      </c>
      <c r="Q154" s="1">
        <v>1000035</v>
      </c>
      <c r="R154" s="1">
        <v>1000110</v>
      </c>
      <c r="S154" s="1" t="s">
        <v>207</v>
      </c>
      <c r="T154" s="1">
        <v>1</v>
      </c>
      <c r="U154" s="1" t="s">
        <v>341</v>
      </c>
      <c r="V154" s="1" t="s">
        <v>342</v>
      </c>
      <c r="W154" s="1" t="s">
        <v>354</v>
      </c>
      <c r="X154" s="1">
        <v>10</v>
      </c>
      <c r="Y154" s="1" t="s">
        <v>257</v>
      </c>
      <c r="Z154" s="1" t="s">
        <v>258</v>
      </c>
      <c r="AA154" s="1" t="s">
        <v>259</v>
      </c>
      <c r="AB154" s="1">
        <v>1</v>
      </c>
      <c r="AC154" s="73" t="b">
        <v>0</v>
      </c>
      <c r="AD154" s="40" t="b">
        <v>0</v>
      </c>
      <c r="AF154" s="74">
        <v>3</v>
      </c>
      <c r="AG154" s="75"/>
      <c r="AH154" s="75"/>
    </row>
    <row r="155" s="40" customFormat="1" spans="1:34">
      <c r="A155" s="1">
        <v>11211</v>
      </c>
      <c r="B155" s="1" t="s">
        <v>363</v>
      </c>
      <c r="C155" s="1" t="s">
        <v>336</v>
      </c>
      <c r="D155" s="1" t="s">
        <v>337</v>
      </c>
      <c r="E155" s="1" t="s">
        <v>338</v>
      </c>
      <c r="F155" s="1" t="s">
        <v>339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204</v>
      </c>
      <c r="O155" s="72" t="s">
        <v>205</v>
      </c>
      <c r="P155" s="72" t="s">
        <v>364</v>
      </c>
      <c r="Q155" s="1">
        <v>1000036</v>
      </c>
      <c r="R155" s="1">
        <v>1000111</v>
      </c>
      <c r="S155" s="1" t="s">
        <v>207</v>
      </c>
      <c r="T155" s="1">
        <v>1</v>
      </c>
      <c r="U155" s="1" t="s">
        <v>341</v>
      </c>
      <c r="V155" s="1" t="s">
        <v>342</v>
      </c>
      <c r="W155" s="1" t="s">
        <v>354</v>
      </c>
      <c r="X155" s="1">
        <v>15</v>
      </c>
      <c r="Y155" s="1" t="s">
        <v>262</v>
      </c>
      <c r="Z155" s="1" t="s">
        <v>263</v>
      </c>
      <c r="AA155" s="1" t="s">
        <v>264</v>
      </c>
      <c r="AB155" s="1">
        <v>1</v>
      </c>
      <c r="AC155" s="73" t="b">
        <v>0</v>
      </c>
      <c r="AD155" s="40" t="b">
        <v>0</v>
      </c>
      <c r="AF155" s="74">
        <v>3</v>
      </c>
      <c r="AG155" s="75"/>
      <c r="AH155" s="75"/>
    </row>
    <row r="156" s="40" customFormat="1" spans="1:34">
      <c r="A156" s="1">
        <v>11212</v>
      </c>
      <c r="B156" s="1" t="s">
        <v>365</v>
      </c>
      <c r="C156" s="1" t="s">
        <v>336</v>
      </c>
      <c r="D156" s="1" t="s">
        <v>337</v>
      </c>
      <c r="E156" s="1" t="s">
        <v>338</v>
      </c>
      <c r="F156" s="1" t="s">
        <v>339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204</v>
      </c>
      <c r="O156" s="72" t="s">
        <v>205</v>
      </c>
      <c r="P156" s="72" t="s">
        <v>366</v>
      </c>
      <c r="Q156" s="1">
        <v>1000037</v>
      </c>
      <c r="R156" s="1">
        <v>1000112</v>
      </c>
      <c r="S156" s="1" t="s">
        <v>207</v>
      </c>
      <c r="T156" s="1">
        <v>1</v>
      </c>
      <c r="U156" s="1" t="s">
        <v>341</v>
      </c>
      <c r="V156" s="1" t="s">
        <v>342</v>
      </c>
      <c r="W156" s="1" t="s">
        <v>354</v>
      </c>
      <c r="X156" s="1">
        <v>15</v>
      </c>
      <c r="Y156" s="1" t="s">
        <v>267</v>
      </c>
      <c r="Z156" s="1" t="s">
        <v>268</v>
      </c>
      <c r="AA156" s="1" t="s">
        <v>269</v>
      </c>
      <c r="AB156" s="1">
        <v>1</v>
      </c>
      <c r="AC156" s="73" t="b">
        <v>0</v>
      </c>
      <c r="AD156" s="40" t="b">
        <v>0</v>
      </c>
      <c r="AF156" s="74">
        <v>3</v>
      </c>
      <c r="AG156" s="75"/>
      <c r="AH156" s="75"/>
    </row>
    <row r="157" s="40" customFormat="1" spans="1:34">
      <c r="A157" s="1">
        <v>11213</v>
      </c>
      <c r="B157" s="1" t="s">
        <v>367</v>
      </c>
      <c r="C157" s="1" t="s">
        <v>336</v>
      </c>
      <c r="D157" s="1" t="s">
        <v>337</v>
      </c>
      <c r="E157" s="1" t="s">
        <v>338</v>
      </c>
      <c r="F157" s="1" t="s">
        <v>339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204</v>
      </c>
      <c r="O157" s="72" t="s">
        <v>205</v>
      </c>
      <c r="P157" s="72" t="s">
        <v>368</v>
      </c>
      <c r="Q157" s="1">
        <v>1000038</v>
      </c>
      <c r="R157" s="1">
        <v>1000113</v>
      </c>
      <c r="S157" s="1" t="s">
        <v>207</v>
      </c>
      <c r="T157" s="1">
        <v>1</v>
      </c>
      <c r="U157" s="1" t="s">
        <v>341</v>
      </c>
      <c r="V157" s="1" t="s">
        <v>342</v>
      </c>
      <c r="W157" s="1" t="s">
        <v>354</v>
      </c>
      <c r="X157" s="1">
        <v>15</v>
      </c>
      <c r="Y157" s="1" t="s">
        <v>272</v>
      </c>
      <c r="Z157" s="1" t="s">
        <v>273</v>
      </c>
      <c r="AA157" s="1" t="s">
        <v>274</v>
      </c>
      <c r="AB157" s="1">
        <v>1</v>
      </c>
      <c r="AC157" s="73" t="b">
        <v>0</v>
      </c>
      <c r="AD157" s="40" t="b">
        <v>0</v>
      </c>
      <c r="AF157" s="74">
        <v>3</v>
      </c>
      <c r="AG157" s="75"/>
      <c r="AH157" s="75"/>
    </row>
    <row r="158" s="40" customFormat="1" spans="1:34">
      <c r="A158" s="1">
        <v>11214</v>
      </c>
      <c r="B158" s="1" t="s">
        <v>369</v>
      </c>
      <c r="C158" s="1" t="s">
        <v>336</v>
      </c>
      <c r="D158" s="1" t="s">
        <v>337</v>
      </c>
      <c r="E158" s="1" t="s">
        <v>338</v>
      </c>
      <c r="F158" s="1" t="s">
        <v>339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204</v>
      </c>
      <c r="O158" s="72" t="s">
        <v>205</v>
      </c>
      <c r="P158" s="72" t="s">
        <v>370</v>
      </c>
      <c r="Q158" s="1">
        <v>1000039</v>
      </c>
      <c r="R158" s="1">
        <v>1000114</v>
      </c>
      <c r="S158" s="1" t="s">
        <v>207</v>
      </c>
      <c r="T158" s="1">
        <v>1</v>
      </c>
      <c r="U158" s="1" t="s">
        <v>341</v>
      </c>
      <c r="V158" s="1" t="s">
        <v>342</v>
      </c>
      <c r="W158" s="1" t="s">
        <v>354</v>
      </c>
      <c r="X158" s="1">
        <v>15</v>
      </c>
      <c r="Y158" s="1" t="s">
        <v>277</v>
      </c>
      <c r="Z158" s="1" t="s">
        <v>371</v>
      </c>
      <c r="AA158" s="1" t="s">
        <v>278</v>
      </c>
      <c r="AB158" s="1">
        <v>1</v>
      </c>
      <c r="AC158" s="73" t="b">
        <v>0</v>
      </c>
      <c r="AD158" s="40" t="b">
        <v>0</v>
      </c>
      <c r="AF158" s="74">
        <v>3</v>
      </c>
      <c r="AG158" s="75"/>
      <c r="AH158" s="75"/>
    </row>
    <row r="159" s="40" customFormat="1" spans="1:34">
      <c r="A159" s="1">
        <v>11215</v>
      </c>
      <c r="B159" s="1" t="s">
        <v>372</v>
      </c>
      <c r="C159" s="1" t="s">
        <v>336</v>
      </c>
      <c r="D159" s="1" t="s">
        <v>337</v>
      </c>
      <c r="E159" s="1" t="s">
        <v>338</v>
      </c>
      <c r="F159" s="1" t="s">
        <v>339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204</v>
      </c>
      <c r="O159" s="72" t="s">
        <v>205</v>
      </c>
      <c r="P159" s="72" t="s">
        <v>373</v>
      </c>
      <c r="Q159" s="1">
        <v>1000040</v>
      </c>
      <c r="R159" s="1">
        <v>1000115</v>
      </c>
      <c r="S159" s="1" t="s">
        <v>207</v>
      </c>
      <c r="T159" s="1">
        <v>1</v>
      </c>
      <c r="U159" s="1" t="s">
        <v>341</v>
      </c>
      <c r="V159" s="1" t="s">
        <v>342</v>
      </c>
      <c r="W159" s="1" t="s">
        <v>354</v>
      </c>
      <c r="X159" s="1">
        <v>15</v>
      </c>
      <c r="Y159" s="1" t="s">
        <v>281</v>
      </c>
      <c r="Z159" s="1" t="s">
        <v>282</v>
      </c>
      <c r="AA159" s="1" t="s">
        <v>283</v>
      </c>
      <c r="AB159" s="1">
        <v>1</v>
      </c>
      <c r="AC159" s="73" t="b">
        <v>0</v>
      </c>
      <c r="AD159" s="40" t="b">
        <v>0</v>
      </c>
      <c r="AF159" s="74">
        <v>3</v>
      </c>
      <c r="AG159" s="75"/>
      <c r="AH159" s="75"/>
    </row>
    <row r="160" s="40" customFormat="1" spans="1:34">
      <c r="A160" s="1">
        <v>11216</v>
      </c>
      <c r="B160" s="1" t="s">
        <v>374</v>
      </c>
      <c r="C160" s="1" t="s">
        <v>336</v>
      </c>
      <c r="D160" s="1" t="s">
        <v>337</v>
      </c>
      <c r="E160" s="1" t="s">
        <v>338</v>
      </c>
      <c r="F160" s="1" t="s">
        <v>339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204</v>
      </c>
      <c r="O160" s="72" t="s">
        <v>205</v>
      </c>
      <c r="P160" s="72" t="s">
        <v>375</v>
      </c>
      <c r="Q160" s="1">
        <v>1000041</v>
      </c>
      <c r="R160" s="1">
        <v>1000116</v>
      </c>
      <c r="S160" s="1" t="s">
        <v>207</v>
      </c>
      <c r="T160" s="1">
        <v>1</v>
      </c>
      <c r="U160" s="1" t="s">
        <v>341</v>
      </c>
      <c r="V160" s="1" t="s">
        <v>342</v>
      </c>
      <c r="W160" s="1" t="s">
        <v>376</v>
      </c>
      <c r="X160" s="1">
        <v>20</v>
      </c>
      <c r="Y160" s="1" t="s">
        <v>287</v>
      </c>
      <c r="Z160" s="1" t="s">
        <v>288</v>
      </c>
      <c r="AA160" s="1" t="s">
        <v>289</v>
      </c>
      <c r="AB160" s="1">
        <v>1</v>
      </c>
      <c r="AC160" s="73" t="b">
        <v>0</v>
      </c>
      <c r="AD160" s="40" t="b">
        <v>0</v>
      </c>
      <c r="AF160" s="74">
        <v>3</v>
      </c>
      <c r="AG160" s="75"/>
      <c r="AH160" s="75"/>
    </row>
    <row r="161" s="40" customFormat="1" spans="1:34">
      <c r="A161" s="1">
        <v>11217</v>
      </c>
      <c r="B161" s="1" t="s">
        <v>377</v>
      </c>
      <c r="C161" s="1" t="s">
        <v>336</v>
      </c>
      <c r="D161" s="1" t="s">
        <v>337</v>
      </c>
      <c r="E161" s="1" t="s">
        <v>338</v>
      </c>
      <c r="F161" s="1" t="s">
        <v>339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204</v>
      </c>
      <c r="O161" s="72" t="s">
        <v>205</v>
      </c>
      <c r="P161" s="72" t="s">
        <v>378</v>
      </c>
      <c r="Q161" s="1">
        <v>1000042</v>
      </c>
      <c r="R161" s="1">
        <v>1000117</v>
      </c>
      <c r="S161" s="1" t="s">
        <v>207</v>
      </c>
      <c r="T161" s="1">
        <v>1</v>
      </c>
      <c r="U161" s="1" t="s">
        <v>341</v>
      </c>
      <c r="V161" s="1" t="s">
        <v>342</v>
      </c>
      <c r="W161" s="1" t="s">
        <v>376</v>
      </c>
      <c r="X161" s="1">
        <v>20</v>
      </c>
      <c r="Y161" s="1" t="s">
        <v>292</v>
      </c>
      <c r="Z161" s="1" t="s">
        <v>293</v>
      </c>
      <c r="AA161" s="1" t="s">
        <v>294</v>
      </c>
      <c r="AB161" s="1">
        <v>1</v>
      </c>
      <c r="AC161" s="73" t="b">
        <v>0</v>
      </c>
      <c r="AD161" s="40" t="b">
        <v>0</v>
      </c>
      <c r="AF161" s="74">
        <v>3</v>
      </c>
      <c r="AG161" s="75"/>
      <c r="AH161" s="75"/>
    </row>
    <row r="162" s="40" customFormat="1" spans="1:34">
      <c r="A162" s="1">
        <v>11218</v>
      </c>
      <c r="B162" s="1" t="s">
        <v>379</v>
      </c>
      <c r="C162" s="1" t="s">
        <v>336</v>
      </c>
      <c r="D162" s="1" t="s">
        <v>337</v>
      </c>
      <c r="E162" s="1" t="s">
        <v>338</v>
      </c>
      <c r="F162" s="1" t="s">
        <v>339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204</v>
      </c>
      <c r="O162" s="72" t="s">
        <v>205</v>
      </c>
      <c r="P162" s="72" t="s">
        <v>380</v>
      </c>
      <c r="Q162" s="1">
        <v>1000043</v>
      </c>
      <c r="R162" s="1">
        <v>1000118</v>
      </c>
      <c r="S162" s="1" t="s">
        <v>207</v>
      </c>
      <c r="T162" s="1">
        <v>1</v>
      </c>
      <c r="U162" s="1" t="s">
        <v>341</v>
      </c>
      <c r="V162" s="1" t="s">
        <v>342</v>
      </c>
      <c r="W162" s="1" t="s">
        <v>376</v>
      </c>
      <c r="X162" s="1">
        <v>20</v>
      </c>
      <c r="Y162" s="1" t="s">
        <v>297</v>
      </c>
      <c r="Z162" s="1" t="s">
        <v>298</v>
      </c>
      <c r="AA162" s="1" t="s">
        <v>299</v>
      </c>
      <c r="AB162" s="1">
        <v>1</v>
      </c>
      <c r="AC162" s="73" t="b">
        <v>0</v>
      </c>
      <c r="AD162" s="40" t="b">
        <v>0</v>
      </c>
      <c r="AF162" s="74">
        <v>3</v>
      </c>
      <c r="AG162" s="75"/>
      <c r="AH162" s="75"/>
    </row>
    <row r="163" s="40" customFormat="1" spans="1:34">
      <c r="A163" s="1">
        <v>11219</v>
      </c>
      <c r="B163" s="1" t="s">
        <v>381</v>
      </c>
      <c r="C163" s="1" t="s">
        <v>336</v>
      </c>
      <c r="D163" s="1" t="s">
        <v>337</v>
      </c>
      <c r="E163" s="1" t="s">
        <v>338</v>
      </c>
      <c r="F163" s="1" t="s">
        <v>339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204</v>
      </c>
      <c r="O163" s="72" t="s">
        <v>205</v>
      </c>
      <c r="P163" s="72" t="s">
        <v>382</v>
      </c>
      <c r="Q163" s="1">
        <v>1000044</v>
      </c>
      <c r="R163" s="1">
        <v>1000119</v>
      </c>
      <c r="S163" s="1" t="s">
        <v>207</v>
      </c>
      <c r="T163" s="1">
        <v>1</v>
      </c>
      <c r="U163" s="1" t="s">
        <v>341</v>
      </c>
      <c r="V163" s="1" t="s">
        <v>342</v>
      </c>
      <c r="W163" s="1" t="s">
        <v>376</v>
      </c>
      <c r="X163" s="1">
        <v>20</v>
      </c>
      <c r="Y163" s="1" t="s">
        <v>302</v>
      </c>
      <c r="Z163" s="1" t="s">
        <v>303</v>
      </c>
      <c r="AA163" s="1" t="s">
        <v>304</v>
      </c>
      <c r="AB163" s="1">
        <v>1</v>
      </c>
      <c r="AC163" s="73" t="b">
        <v>0</v>
      </c>
      <c r="AD163" s="40" t="b">
        <v>0</v>
      </c>
      <c r="AF163" s="74">
        <v>3</v>
      </c>
      <c r="AG163" s="75"/>
      <c r="AH163" s="75"/>
    </row>
    <row r="164" s="40" customFormat="1" spans="1:34">
      <c r="A164" s="1">
        <v>11220</v>
      </c>
      <c r="B164" s="1" t="s">
        <v>383</v>
      </c>
      <c r="C164" s="1" t="s">
        <v>336</v>
      </c>
      <c r="D164" s="1" t="s">
        <v>337</v>
      </c>
      <c r="E164" s="1" t="s">
        <v>338</v>
      </c>
      <c r="F164" s="1" t="s">
        <v>339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204</v>
      </c>
      <c r="O164" s="72" t="s">
        <v>205</v>
      </c>
      <c r="P164" s="72" t="s">
        <v>384</v>
      </c>
      <c r="Q164" s="1">
        <v>1000045</v>
      </c>
      <c r="R164" s="1">
        <v>1000120</v>
      </c>
      <c r="S164" s="1" t="s">
        <v>207</v>
      </c>
      <c r="T164" s="1">
        <v>1</v>
      </c>
      <c r="U164" s="1" t="s">
        <v>341</v>
      </c>
      <c r="V164" s="1" t="s">
        <v>342</v>
      </c>
      <c r="W164" s="1" t="s">
        <v>376</v>
      </c>
      <c r="X164" s="1">
        <v>20</v>
      </c>
      <c r="Y164" s="1" t="s">
        <v>307</v>
      </c>
      <c r="Z164" s="1" t="s">
        <v>308</v>
      </c>
      <c r="AA164" s="1" t="s">
        <v>309</v>
      </c>
      <c r="AB164" s="1">
        <v>1</v>
      </c>
      <c r="AC164" s="73" t="b">
        <v>0</v>
      </c>
      <c r="AD164" s="40" t="b">
        <v>0</v>
      </c>
      <c r="AF164" s="74">
        <v>3</v>
      </c>
      <c r="AG164" s="75"/>
      <c r="AH164" s="75"/>
    </row>
    <row r="165" s="40" customFormat="1" spans="1:34">
      <c r="A165" s="1">
        <v>11221</v>
      </c>
      <c r="B165" s="1" t="s">
        <v>385</v>
      </c>
      <c r="C165" s="1" t="s">
        <v>336</v>
      </c>
      <c r="D165" s="1" t="s">
        <v>337</v>
      </c>
      <c r="E165" s="1" t="s">
        <v>338</v>
      </c>
      <c r="F165" s="1" t="s">
        <v>339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204</v>
      </c>
      <c r="O165" s="72" t="s">
        <v>205</v>
      </c>
      <c r="P165" s="72" t="s">
        <v>386</v>
      </c>
      <c r="Q165" s="1">
        <v>1000046</v>
      </c>
      <c r="R165" s="1">
        <v>1000121</v>
      </c>
      <c r="S165" s="1" t="s">
        <v>207</v>
      </c>
      <c r="T165" s="1">
        <v>1</v>
      </c>
      <c r="U165" s="1" t="s">
        <v>341</v>
      </c>
      <c r="V165" s="1" t="s">
        <v>342</v>
      </c>
      <c r="W165" s="1" t="s">
        <v>376</v>
      </c>
      <c r="X165" s="1">
        <v>25</v>
      </c>
      <c r="Y165" s="1" t="s">
        <v>312</v>
      </c>
      <c r="Z165" s="1" t="s">
        <v>313</v>
      </c>
      <c r="AA165" s="1" t="s">
        <v>314</v>
      </c>
      <c r="AB165" s="1">
        <v>1</v>
      </c>
      <c r="AC165" s="73" t="b">
        <v>0</v>
      </c>
      <c r="AD165" s="40" t="b">
        <v>0</v>
      </c>
      <c r="AF165" s="74">
        <v>3</v>
      </c>
      <c r="AG165" s="75"/>
      <c r="AH165" s="75"/>
    </row>
    <row r="166" s="40" customFormat="1" spans="1:34">
      <c r="A166" s="1">
        <v>11222</v>
      </c>
      <c r="B166" s="1" t="s">
        <v>387</v>
      </c>
      <c r="C166" s="1" t="s">
        <v>336</v>
      </c>
      <c r="D166" s="1" t="s">
        <v>337</v>
      </c>
      <c r="E166" s="1" t="s">
        <v>338</v>
      </c>
      <c r="F166" s="1" t="s">
        <v>339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204</v>
      </c>
      <c r="O166" s="72" t="s">
        <v>205</v>
      </c>
      <c r="P166" s="72" t="s">
        <v>388</v>
      </c>
      <c r="Q166" s="1">
        <v>1000047</v>
      </c>
      <c r="R166" s="1">
        <v>1000122</v>
      </c>
      <c r="S166" s="1" t="s">
        <v>207</v>
      </c>
      <c r="T166" s="1">
        <v>1</v>
      </c>
      <c r="U166" s="1" t="s">
        <v>341</v>
      </c>
      <c r="V166" s="1" t="s">
        <v>342</v>
      </c>
      <c r="W166" s="1" t="s">
        <v>376</v>
      </c>
      <c r="X166" s="1">
        <v>25</v>
      </c>
      <c r="Y166" s="1" t="s">
        <v>317</v>
      </c>
      <c r="Z166" s="1" t="s">
        <v>318</v>
      </c>
      <c r="AA166" s="1" t="s">
        <v>319</v>
      </c>
      <c r="AB166" s="1">
        <v>1</v>
      </c>
      <c r="AC166" s="73" t="b">
        <v>0</v>
      </c>
      <c r="AD166" s="40" t="b">
        <v>0</v>
      </c>
      <c r="AF166" s="74">
        <v>3</v>
      </c>
      <c r="AG166" s="75"/>
      <c r="AH166" s="75"/>
    </row>
    <row r="167" s="40" customFormat="1" spans="1:34">
      <c r="A167" s="1">
        <v>11223</v>
      </c>
      <c r="B167" s="1" t="s">
        <v>389</v>
      </c>
      <c r="C167" s="1" t="s">
        <v>336</v>
      </c>
      <c r="D167" s="1" t="s">
        <v>337</v>
      </c>
      <c r="E167" s="1" t="s">
        <v>338</v>
      </c>
      <c r="F167" s="1" t="s">
        <v>339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204</v>
      </c>
      <c r="O167" s="72" t="s">
        <v>205</v>
      </c>
      <c r="P167" s="72" t="s">
        <v>390</v>
      </c>
      <c r="Q167" s="1">
        <v>1000048</v>
      </c>
      <c r="R167" s="1">
        <v>1000123</v>
      </c>
      <c r="S167" s="1" t="s">
        <v>207</v>
      </c>
      <c r="T167" s="1">
        <v>1</v>
      </c>
      <c r="U167" s="1" t="s">
        <v>341</v>
      </c>
      <c r="V167" s="1" t="s">
        <v>342</v>
      </c>
      <c r="W167" s="1" t="s">
        <v>376</v>
      </c>
      <c r="X167" s="1">
        <v>25</v>
      </c>
      <c r="Y167" s="1" t="s">
        <v>322</v>
      </c>
      <c r="Z167" s="1" t="s">
        <v>323</v>
      </c>
      <c r="AA167" s="1" t="s">
        <v>324</v>
      </c>
      <c r="AB167" s="1">
        <v>1</v>
      </c>
      <c r="AC167" s="73" t="b">
        <v>0</v>
      </c>
      <c r="AD167" s="40" t="b">
        <v>0</v>
      </c>
      <c r="AF167" s="74">
        <v>3</v>
      </c>
      <c r="AG167" s="75"/>
      <c r="AH167" s="75"/>
    </row>
    <row r="168" s="40" customFormat="1" spans="1:34">
      <c r="A168" s="1">
        <v>11224</v>
      </c>
      <c r="B168" s="1" t="s">
        <v>391</v>
      </c>
      <c r="C168" s="1" t="s">
        <v>336</v>
      </c>
      <c r="D168" s="1" t="s">
        <v>337</v>
      </c>
      <c r="E168" s="1" t="s">
        <v>338</v>
      </c>
      <c r="F168" s="1" t="s">
        <v>339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204</v>
      </c>
      <c r="O168" s="72" t="s">
        <v>205</v>
      </c>
      <c r="P168" s="72" t="s">
        <v>392</v>
      </c>
      <c r="Q168" s="1">
        <v>1000049</v>
      </c>
      <c r="R168" s="1">
        <v>1000124</v>
      </c>
      <c r="S168" s="1" t="s">
        <v>207</v>
      </c>
      <c r="T168" s="1">
        <v>1</v>
      </c>
      <c r="U168" s="1" t="s">
        <v>341</v>
      </c>
      <c r="V168" s="1" t="s">
        <v>342</v>
      </c>
      <c r="W168" s="1" t="s">
        <v>376</v>
      </c>
      <c r="X168" s="1">
        <v>25</v>
      </c>
      <c r="Y168" s="1" t="s">
        <v>327</v>
      </c>
      <c r="Z168" s="1" t="s">
        <v>328</v>
      </c>
      <c r="AA168" s="1" t="s">
        <v>329</v>
      </c>
      <c r="AB168" s="1">
        <v>1</v>
      </c>
      <c r="AC168" s="73" t="b">
        <v>0</v>
      </c>
      <c r="AD168" s="40" t="b">
        <v>0</v>
      </c>
      <c r="AF168" s="74">
        <v>3</v>
      </c>
      <c r="AG168" s="75"/>
      <c r="AH168" s="75"/>
    </row>
    <row r="169" s="40" customFormat="1" spans="1:34">
      <c r="A169" s="1">
        <v>11225</v>
      </c>
      <c r="B169" s="1" t="s">
        <v>393</v>
      </c>
      <c r="C169" s="1" t="s">
        <v>336</v>
      </c>
      <c r="D169" s="1" t="s">
        <v>337</v>
      </c>
      <c r="E169" s="1" t="s">
        <v>338</v>
      </c>
      <c r="F169" s="1" t="s">
        <v>339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204</v>
      </c>
      <c r="O169" s="72" t="s">
        <v>205</v>
      </c>
      <c r="P169" s="72" t="s">
        <v>394</v>
      </c>
      <c r="Q169" s="1">
        <v>1000050</v>
      </c>
      <c r="R169" s="1">
        <v>1000125</v>
      </c>
      <c r="S169" s="1" t="s">
        <v>207</v>
      </c>
      <c r="T169" s="1">
        <v>1</v>
      </c>
      <c r="U169" s="1" t="s">
        <v>341</v>
      </c>
      <c r="V169" s="1" t="s">
        <v>342</v>
      </c>
      <c r="W169" s="1" t="s">
        <v>376</v>
      </c>
      <c r="X169" s="1">
        <v>25</v>
      </c>
      <c r="Y169" s="1" t="s">
        <v>332</v>
      </c>
      <c r="Z169" s="1" t="s">
        <v>333</v>
      </c>
      <c r="AA169" s="1" t="s">
        <v>334</v>
      </c>
      <c r="AB169" s="1">
        <v>1</v>
      </c>
      <c r="AC169" s="73" t="b">
        <v>0</v>
      </c>
      <c r="AD169" s="40" t="b">
        <v>0</v>
      </c>
      <c r="AF169" s="74">
        <v>3</v>
      </c>
      <c r="AG169" s="75"/>
      <c r="AH169" s="75"/>
    </row>
    <row r="170" s="40" customFormat="1" spans="1:34">
      <c r="A170" s="1">
        <v>11301</v>
      </c>
      <c r="B170" s="1" t="s">
        <v>395</v>
      </c>
      <c r="C170" s="1" t="s">
        <v>396</v>
      </c>
      <c r="D170" s="1" t="s">
        <v>397</v>
      </c>
      <c r="E170" s="1" t="s">
        <v>398</v>
      </c>
      <c r="F170" s="1" t="s">
        <v>399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204</v>
      </c>
      <c r="O170" s="72" t="s">
        <v>205</v>
      </c>
      <c r="P170" s="72" t="s">
        <v>400</v>
      </c>
      <c r="Q170" s="1">
        <v>1000051</v>
      </c>
      <c r="R170" s="1">
        <v>1000126</v>
      </c>
      <c r="S170" s="1" t="s">
        <v>207</v>
      </c>
      <c r="T170" s="1">
        <v>1</v>
      </c>
      <c r="U170" s="1" t="s">
        <v>401</v>
      </c>
      <c r="V170" s="1" t="s">
        <v>402</v>
      </c>
      <c r="W170" s="1" t="s">
        <v>403</v>
      </c>
      <c r="X170" s="1">
        <v>5</v>
      </c>
      <c r="Y170" s="1" t="s">
        <v>211</v>
      </c>
      <c r="Z170" s="1" t="s">
        <v>212</v>
      </c>
      <c r="AA170" s="1" t="s">
        <v>213</v>
      </c>
      <c r="AB170" s="1">
        <v>1</v>
      </c>
      <c r="AC170" s="73" t="b">
        <v>0</v>
      </c>
      <c r="AD170" s="40" t="b">
        <v>0</v>
      </c>
      <c r="AF170" s="74">
        <v>3</v>
      </c>
      <c r="AG170" s="75"/>
      <c r="AH170" s="75"/>
    </row>
    <row r="171" s="40" customFormat="1" spans="1:34">
      <c r="A171" s="1">
        <v>11302</v>
      </c>
      <c r="B171" s="1" t="s">
        <v>404</v>
      </c>
      <c r="C171" s="1" t="s">
        <v>396</v>
      </c>
      <c r="D171" s="1" t="s">
        <v>397</v>
      </c>
      <c r="E171" s="1" t="s">
        <v>398</v>
      </c>
      <c r="F171" s="1" t="s">
        <v>399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204</v>
      </c>
      <c r="O171" s="72" t="s">
        <v>205</v>
      </c>
      <c r="P171" s="72" t="s">
        <v>405</v>
      </c>
      <c r="Q171" s="1">
        <v>1000052</v>
      </c>
      <c r="R171" s="1">
        <v>1000127</v>
      </c>
      <c r="S171" s="1" t="s">
        <v>207</v>
      </c>
      <c r="T171" s="1">
        <v>1</v>
      </c>
      <c r="U171" s="1" t="s">
        <v>401</v>
      </c>
      <c r="V171" s="1" t="s">
        <v>402</v>
      </c>
      <c r="W171" s="1" t="s">
        <v>403</v>
      </c>
      <c r="X171" s="1">
        <v>5</v>
      </c>
      <c r="Y171" s="1" t="s">
        <v>216</v>
      </c>
      <c r="Z171" s="1" t="s">
        <v>217</v>
      </c>
      <c r="AA171" s="1" t="s">
        <v>218</v>
      </c>
      <c r="AB171" s="1">
        <v>1</v>
      </c>
      <c r="AC171" s="73" t="b">
        <v>0</v>
      </c>
      <c r="AD171" s="40" t="b">
        <v>0</v>
      </c>
      <c r="AF171" s="74">
        <v>3</v>
      </c>
      <c r="AG171" s="75"/>
      <c r="AH171" s="75"/>
    </row>
    <row r="172" s="40" customFormat="1" spans="1:34">
      <c r="A172" s="1">
        <v>11303</v>
      </c>
      <c r="B172" s="1" t="s">
        <v>406</v>
      </c>
      <c r="C172" s="1" t="s">
        <v>396</v>
      </c>
      <c r="D172" s="1" t="s">
        <v>397</v>
      </c>
      <c r="E172" s="1" t="s">
        <v>398</v>
      </c>
      <c r="F172" s="1" t="s">
        <v>399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204</v>
      </c>
      <c r="O172" s="72" t="s">
        <v>205</v>
      </c>
      <c r="P172" s="72" t="s">
        <v>407</v>
      </c>
      <c r="Q172" s="1">
        <v>1000053</v>
      </c>
      <c r="R172" s="1">
        <v>1000128</v>
      </c>
      <c r="S172" s="1" t="s">
        <v>207</v>
      </c>
      <c r="T172" s="1">
        <v>1</v>
      </c>
      <c r="U172" s="1" t="s">
        <v>401</v>
      </c>
      <c r="V172" s="1" t="s">
        <v>402</v>
      </c>
      <c r="W172" s="1" t="s">
        <v>403</v>
      </c>
      <c r="X172" s="1">
        <v>5</v>
      </c>
      <c r="Y172" s="1" t="s">
        <v>221</v>
      </c>
      <c r="Z172" s="1" t="s">
        <v>222</v>
      </c>
      <c r="AA172" s="1" t="s">
        <v>223</v>
      </c>
      <c r="AB172" s="1">
        <v>1</v>
      </c>
      <c r="AC172" s="73" t="b">
        <v>0</v>
      </c>
      <c r="AD172" s="40" t="b">
        <v>0</v>
      </c>
      <c r="AF172" s="74">
        <v>3</v>
      </c>
      <c r="AG172" s="75"/>
      <c r="AH172" s="75"/>
    </row>
    <row r="173" s="40" customFormat="1" spans="1:34">
      <c r="A173" s="1">
        <v>11304</v>
      </c>
      <c r="B173" s="1" t="s">
        <v>408</v>
      </c>
      <c r="C173" s="1" t="s">
        <v>396</v>
      </c>
      <c r="D173" s="1" t="s">
        <v>397</v>
      </c>
      <c r="E173" s="1" t="s">
        <v>398</v>
      </c>
      <c r="F173" s="1" t="s">
        <v>399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204</v>
      </c>
      <c r="O173" s="72" t="s">
        <v>205</v>
      </c>
      <c r="P173" s="72" t="s">
        <v>409</v>
      </c>
      <c r="Q173" s="1">
        <v>1000054</v>
      </c>
      <c r="R173" s="1">
        <v>1000129</v>
      </c>
      <c r="S173" s="1" t="s">
        <v>207</v>
      </c>
      <c r="T173" s="1">
        <v>1</v>
      </c>
      <c r="U173" s="1" t="s">
        <v>401</v>
      </c>
      <c r="V173" s="1" t="s">
        <v>402</v>
      </c>
      <c r="W173" s="1" t="s">
        <v>403</v>
      </c>
      <c r="X173" s="1">
        <v>5</v>
      </c>
      <c r="Y173" s="1" t="s">
        <v>226</v>
      </c>
      <c r="Z173" s="1" t="s">
        <v>227</v>
      </c>
      <c r="AA173" s="1" t="s">
        <v>228</v>
      </c>
      <c r="AB173" s="1">
        <v>1</v>
      </c>
      <c r="AC173" s="73" t="b">
        <v>0</v>
      </c>
      <c r="AD173" s="40" t="b">
        <v>0</v>
      </c>
      <c r="AF173" s="74">
        <v>3</v>
      </c>
      <c r="AG173" s="75"/>
      <c r="AH173" s="75"/>
    </row>
    <row r="174" s="40" customFormat="1" spans="1:34">
      <c r="A174" s="1">
        <v>11305</v>
      </c>
      <c r="B174" s="1" t="s">
        <v>410</v>
      </c>
      <c r="C174" s="1" t="s">
        <v>396</v>
      </c>
      <c r="D174" s="1" t="s">
        <v>397</v>
      </c>
      <c r="E174" s="1" t="s">
        <v>398</v>
      </c>
      <c r="F174" s="1" t="s">
        <v>399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204</v>
      </c>
      <c r="O174" s="72" t="s">
        <v>205</v>
      </c>
      <c r="P174" s="72" t="s">
        <v>411</v>
      </c>
      <c r="Q174" s="1">
        <v>1000055</v>
      </c>
      <c r="R174" s="1">
        <v>1000130</v>
      </c>
      <c r="S174" s="1" t="s">
        <v>207</v>
      </c>
      <c r="T174" s="1">
        <v>1</v>
      </c>
      <c r="U174" s="1" t="s">
        <v>401</v>
      </c>
      <c r="V174" s="1" t="s">
        <v>402</v>
      </c>
      <c r="W174" s="1" t="s">
        <v>403</v>
      </c>
      <c r="X174" s="1">
        <v>5</v>
      </c>
      <c r="Y174" s="1" t="s">
        <v>231</v>
      </c>
      <c r="Z174" s="1" t="s">
        <v>232</v>
      </c>
      <c r="AA174" s="1" t="s">
        <v>233</v>
      </c>
      <c r="AB174" s="1">
        <v>1</v>
      </c>
      <c r="AC174" s="73" t="b">
        <v>0</v>
      </c>
      <c r="AD174" s="40" t="b">
        <v>0</v>
      </c>
      <c r="AF174" s="74">
        <v>3</v>
      </c>
      <c r="AG174" s="75"/>
      <c r="AH174" s="75"/>
    </row>
    <row r="175" s="40" customFormat="1" spans="1:34">
      <c r="A175" s="1">
        <v>11306</v>
      </c>
      <c r="B175" s="1" t="s">
        <v>412</v>
      </c>
      <c r="C175" s="1" t="s">
        <v>396</v>
      </c>
      <c r="D175" s="1" t="s">
        <v>397</v>
      </c>
      <c r="E175" s="1" t="s">
        <v>398</v>
      </c>
      <c r="F175" s="1" t="s">
        <v>399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204</v>
      </c>
      <c r="O175" s="72" t="s">
        <v>205</v>
      </c>
      <c r="P175" s="72" t="s">
        <v>413</v>
      </c>
      <c r="Q175" s="1">
        <v>1000056</v>
      </c>
      <c r="R175" s="1">
        <v>1000131</v>
      </c>
      <c r="S175" s="1" t="s">
        <v>207</v>
      </c>
      <c r="T175" s="1">
        <v>1</v>
      </c>
      <c r="U175" s="1" t="s">
        <v>401</v>
      </c>
      <c r="V175" s="1" t="s">
        <v>402</v>
      </c>
      <c r="W175" s="1" t="s">
        <v>414</v>
      </c>
      <c r="X175" s="1">
        <v>10</v>
      </c>
      <c r="Y175" s="1" t="s">
        <v>237</v>
      </c>
      <c r="Z175" s="1" t="s">
        <v>238</v>
      </c>
      <c r="AA175" s="1" t="s">
        <v>239</v>
      </c>
      <c r="AB175" s="1">
        <v>1</v>
      </c>
      <c r="AC175" s="73" t="b">
        <v>0</v>
      </c>
      <c r="AD175" s="40" t="b">
        <v>0</v>
      </c>
      <c r="AF175" s="74">
        <v>3</v>
      </c>
      <c r="AG175" s="75"/>
      <c r="AH175" s="75"/>
    </row>
    <row r="176" s="40" customFormat="1" spans="1:34">
      <c r="A176" s="1">
        <v>11307</v>
      </c>
      <c r="B176" s="1" t="s">
        <v>415</v>
      </c>
      <c r="C176" s="1" t="s">
        <v>396</v>
      </c>
      <c r="D176" s="1" t="s">
        <v>397</v>
      </c>
      <c r="E176" s="1" t="s">
        <v>398</v>
      </c>
      <c r="F176" s="1" t="s">
        <v>399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204</v>
      </c>
      <c r="O176" s="72" t="s">
        <v>205</v>
      </c>
      <c r="P176" s="72" t="s">
        <v>416</v>
      </c>
      <c r="Q176" s="1">
        <v>1000057</v>
      </c>
      <c r="R176" s="1">
        <v>1000132</v>
      </c>
      <c r="S176" s="1" t="s">
        <v>207</v>
      </c>
      <c r="T176" s="1">
        <v>1</v>
      </c>
      <c r="U176" s="1" t="s">
        <v>401</v>
      </c>
      <c r="V176" s="1" t="s">
        <v>402</v>
      </c>
      <c r="W176" s="1" t="s">
        <v>414</v>
      </c>
      <c r="X176" s="1">
        <v>10</v>
      </c>
      <c r="Y176" s="1" t="s">
        <v>242</v>
      </c>
      <c r="Z176" s="1" t="s">
        <v>243</v>
      </c>
      <c r="AA176" s="1" t="s">
        <v>244</v>
      </c>
      <c r="AB176" s="1">
        <v>1</v>
      </c>
      <c r="AC176" s="73" t="b">
        <v>0</v>
      </c>
      <c r="AD176" s="40" t="b">
        <v>0</v>
      </c>
      <c r="AF176" s="74">
        <v>3</v>
      </c>
      <c r="AG176" s="75"/>
      <c r="AH176" s="75"/>
    </row>
    <row r="177" s="40" customFormat="1" spans="1:34">
      <c r="A177" s="1">
        <v>11308</v>
      </c>
      <c r="B177" s="1" t="s">
        <v>417</v>
      </c>
      <c r="C177" s="1" t="s">
        <v>396</v>
      </c>
      <c r="D177" s="1" t="s">
        <v>397</v>
      </c>
      <c r="E177" s="1" t="s">
        <v>398</v>
      </c>
      <c r="F177" s="1" t="s">
        <v>399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204</v>
      </c>
      <c r="O177" s="72" t="s">
        <v>205</v>
      </c>
      <c r="P177" s="72" t="s">
        <v>418</v>
      </c>
      <c r="Q177" s="1">
        <v>1000058</v>
      </c>
      <c r="R177" s="1">
        <v>1000133</v>
      </c>
      <c r="S177" s="1" t="s">
        <v>207</v>
      </c>
      <c r="T177" s="1">
        <v>1</v>
      </c>
      <c r="U177" s="1" t="s">
        <v>401</v>
      </c>
      <c r="V177" s="1" t="s">
        <v>402</v>
      </c>
      <c r="W177" s="1" t="s">
        <v>414</v>
      </c>
      <c r="X177" s="1">
        <v>10</v>
      </c>
      <c r="Y177" s="1" t="s">
        <v>247</v>
      </c>
      <c r="Z177" s="1" t="s">
        <v>248</v>
      </c>
      <c r="AA177" s="1" t="s">
        <v>249</v>
      </c>
      <c r="AB177" s="1">
        <v>1</v>
      </c>
      <c r="AC177" s="73" t="b">
        <v>0</v>
      </c>
      <c r="AD177" s="40" t="b">
        <v>0</v>
      </c>
      <c r="AF177" s="74">
        <v>3</v>
      </c>
      <c r="AG177" s="75"/>
      <c r="AH177" s="75"/>
    </row>
    <row r="178" s="40" customFormat="1" spans="1:34">
      <c r="A178" s="1">
        <v>11309</v>
      </c>
      <c r="B178" s="1" t="s">
        <v>419</v>
      </c>
      <c r="C178" s="1" t="s">
        <v>396</v>
      </c>
      <c r="D178" s="1" t="s">
        <v>397</v>
      </c>
      <c r="E178" s="1" t="s">
        <v>398</v>
      </c>
      <c r="F178" s="1" t="s">
        <v>399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204</v>
      </c>
      <c r="O178" s="72" t="s">
        <v>205</v>
      </c>
      <c r="P178" s="72" t="s">
        <v>420</v>
      </c>
      <c r="Q178" s="1">
        <v>1000059</v>
      </c>
      <c r="R178" s="1">
        <v>1000134</v>
      </c>
      <c r="S178" s="1" t="s">
        <v>207</v>
      </c>
      <c r="T178" s="1">
        <v>1</v>
      </c>
      <c r="U178" s="1" t="s">
        <v>401</v>
      </c>
      <c r="V178" s="1" t="s">
        <v>402</v>
      </c>
      <c r="W178" s="1" t="s">
        <v>414</v>
      </c>
      <c r="X178" s="1">
        <v>10</v>
      </c>
      <c r="Y178" s="1" t="s">
        <v>252</v>
      </c>
      <c r="Z178" s="1" t="s">
        <v>253</v>
      </c>
      <c r="AA178" s="1" t="s">
        <v>254</v>
      </c>
      <c r="AB178" s="1">
        <v>1</v>
      </c>
      <c r="AC178" s="73" t="b">
        <v>0</v>
      </c>
      <c r="AD178" s="40" t="b">
        <v>0</v>
      </c>
      <c r="AF178" s="74">
        <v>3</v>
      </c>
      <c r="AG178" s="75"/>
      <c r="AH178" s="75"/>
    </row>
    <row r="179" s="40" customFormat="1" spans="1:34">
      <c r="A179" s="1">
        <v>11310</v>
      </c>
      <c r="B179" s="1" t="s">
        <v>421</v>
      </c>
      <c r="C179" s="1" t="s">
        <v>396</v>
      </c>
      <c r="D179" s="1" t="s">
        <v>397</v>
      </c>
      <c r="E179" s="1" t="s">
        <v>398</v>
      </c>
      <c r="F179" s="1" t="s">
        <v>399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204</v>
      </c>
      <c r="O179" s="72" t="s">
        <v>205</v>
      </c>
      <c r="P179" s="72" t="s">
        <v>422</v>
      </c>
      <c r="Q179" s="1">
        <v>1000060</v>
      </c>
      <c r="R179" s="1">
        <v>1000135</v>
      </c>
      <c r="S179" s="1" t="s">
        <v>207</v>
      </c>
      <c r="T179" s="1">
        <v>1</v>
      </c>
      <c r="U179" s="1" t="s">
        <v>401</v>
      </c>
      <c r="V179" s="1" t="s">
        <v>402</v>
      </c>
      <c r="W179" s="1" t="s">
        <v>414</v>
      </c>
      <c r="X179" s="1">
        <v>10</v>
      </c>
      <c r="Y179" s="1" t="s">
        <v>257</v>
      </c>
      <c r="Z179" s="1" t="s">
        <v>258</v>
      </c>
      <c r="AA179" s="1" t="s">
        <v>259</v>
      </c>
      <c r="AB179" s="1">
        <v>1</v>
      </c>
      <c r="AC179" s="73" t="b">
        <v>0</v>
      </c>
      <c r="AD179" s="40" t="b">
        <v>0</v>
      </c>
      <c r="AF179" s="74">
        <v>3</v>
      </c>
      <c r="AG179" s="75"/>
      <c r="AH179" s="75"/>
    </row>
    <row r="180" s="40" customFormat="1" spans="1:34">
      <c r="A180" s="1">
        <v>11311</v>
      </c>
      <c r="B180" s="1" t="s">
        <v>423</v>
      </c>
      <c r="C180" s="1" t="s">
        <v>396</v>
      </c>
      <c r="D180" s="1" t="s">
        <v>397</v>
      </c>
      <c r="E180" s="1" t="s">
        <v>398</v>
      </c>
      <c r="F180" s="1" t="s">
        <v>399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204</v>
      </c>
      <c r="O180" s="72" t="s">
        <v>205</v>
      </c>
      <c r="P180" s="72" t="s">
        <v>424</v>
      </c>
      <c r="Q180" s="1">
        <v>1000061</v>
      </c>
      <c r="R180" s="1">
        <v>1000136</v>
      </c>
      <c r="S180" s="1" t="s">
        <v>207</v>
      </c>
      <c r="T180" s="1">
        <v>1</v>
      </c>
      <c r="U180" s="1" t="s">
        <v>401</v>
      </c>
      <c r="V180" s="1" t="s">
        <v>402</v>
      </c>
      <c r="W180" s="1" t="s">
        <v>414</v>
      </c>
      <c r="X180" s="1">
        <v>15</v>
      </c>
      <c r="Y180" s="1" t="s">
        <v>262</v>
      </c>
      <c r="Z180" s="1" t="s">
        <v>263</v>
      </c>
      <c r="AA180" s="1" t="s">
        <v>264</v>
      </c>
      <c r="AB180" s="1">
        <v>1</v>
      </c>
      <c r="AC180" s="73" t="b">
        <v>0</v>
      </c>
      <c r="AD180" s="40" t="b">
        <v>0</v>
      </c>
      <c r="AF180" s="74">
        <v>3</v>
      </c>
      <c r="AG180" s="75"/>
      <c r="AH180" s="75"/>
    </row>
    <row r="181" s="40" customFormat="1" spans="1:34">
      <c r="A181" s="1">
        <v>11312</v>
      </c>
      <c r="B181" s="1" t="s">
        <v>425</v>
      </c>
      <c r="C181" s="1" t="s">
        <v>396</v>
      </c>
      <c r="D181" s="1" t="s">
        <v>397</v>
      </c>
      <c r="E181" s="1" t="s">
        <v>398</v>
      </c>
      <c r="F181" s="1" t="s">
        <v>399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204</v>
      </c>
      <c r="O181" s="72" t="s">
        <v>205</v>
      </c>
      <c r="P181" s="72" t="s">
        <v>426</v>
      </c>
      <c r="Q181" s="1">
        <v>1000062</v>
      </c>
      <c r="R181" s="1">
        <v>1000137</v>
      </c>
      <c r="S181" s="1" t="s">
        <v>207</v>
      </c>
      <c r="T181" s="1">
        <v>1</v>
      </c>
      <c r="U181" s="1" t="s">
        <v>401</v>
      </c>
      <c r="V181" s="1" t="s">
        <v>402</v>
      </c>
      <c r="W181" s="1" t="s">
        <v>414</v>
      </c>
      <c r="X181" s="1">
        <v>15</v>
      </c>
      <c r="Y181" s="1" t="s">
        <v>267</v>
      </c>
      <c r="Z181" s="1" t="s">
        <v>268</v>
      </c>
      <c r="AA181" s="1" t="s">
        <v>269</v>
      </c>
      <c r="AB181" s="1">
        <v>1</v>
      </c>
      <c r="AC181" s="73" t="b">
        <v>0</v>
      </c>
      <c r="AD181" s="40" t="b">
        <v>0</v>
      </c>
      <c r="AF181" s="74">
        <v>3</v>
      </c>
      <c r="AG181" s="75"/>
      <c r="AH181" s="75"/>
    </row>
    <row r="182" s="40" customFormat="1" spans="1:34">
      <c r="A182" s="1">
        <v>11313</v>
      </c>
      <c r="B182" s="1" t="s">
        <v>427</v>
      </c>
      <c r="C182" s="1" t="s">
        <v>396</v>
      </c>
      <c r="D182" s="1" t="s">
        <v>397</v>
      </c>
      <c r="E182" s="1" t="s">
        <v>398</v>
      </c>
      <c r="F182" s="1" t="s">
        <v>399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204</v>
      </c>
      <c r="O182" s="72" t="s">
        <v>205</v>
      </c>
      <c r="P182" s="72" t="s">
        <v>428</v>
      </c>
      <c r="Q182" s="1">
        <v>1000063</v>
      </c>
      <c r="R182" s="1">
        <v>1000138</v>
      </c>
      <c r="S182" s="1" t="s">
        <v>207</v>
      </c>
      <c r="T182" s="1">
        <v>1</v>
      </c>
      <c r="U182" s="1" t="s">
        <v>401</v>
      </c>
      <c r="V182" s="1" t="s">
        <v>402</v>
      </c>
      <c r="W182" s="1" t="s">
        <v>414</v>
      </c>
      <c r="X182" s="1">
        <v>15</v>
      </c>
      <c r="Y182" s="1" t="s">
        <v>272</v>
      </c>
      <c r="Z182" s="1" t="s">
        <v>273</v>
      </c>
      <c r="AA182" s="1" t="s">
        <v>274</v>
      </c>
      <c r="AB182" s="1">
        <v>1</v>
      </c>
      <c r="AC182" s="73" t="b">
        <v>0</v>
      </c>
      <c r="AD182" s="40" t="b">
        <v>0</v>
      </c>
      <c r="AF182" s="74">
        <v>3</v>
      </c>
      <c r="AG182" s="75"/>
      <c r="AH182" s="75"/>
    </row>
    <row r="183" s="40" customFormat="1" spans="1:34">
      <c r="A183" s="1">
        <v>11314</v>
      </c>
      <c r="B183" s="1" t="s">
        <v>429</v>
      </c>
      <c r="C183" s="1" t="s">
        <v>396</v>
      </c>
      <c r="D183" s="1" t="s">
        <v>397</v>
      </c>
      <c r="E183" s="1" t="s">
        <v>398</v>
      </c>
      <c r="F183" s="1" t="s">
        <v>399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204</v>
      </c>
      <c r="O183" s="72" t="s">
        <v>205</v>
      </c>
      <c r="P183" s="72" t="s">
        <v>430</v>
      </c>
      <c r="Q183" s="1">
        <v>1000064</v>
      </c>
      <c r="R183" s="1">
        <v>1000139</v>
      </c>
      <c r="S183" s="1" t="s">
        <v>207</v>
      </c>
      <c r="T183" s="1">
        <v>1</v>
      </c>
      <c r="U183" s="1" t="s">
        <v>401</v>
      </c>
      <c r="V183" s="1" t="s">
        <v>402</v>
      </c>
      <c r="W183" s="1" t="s">
        <v>414</v>
      </c>
      <c r="X183" s="1">
        <v>15</v>
      </c>
      <c r="Y183" s="1" t="s">
        <v>277</v>
      </c>
      <c r="Z183" s="1" t="s">
        <v>371</v>
      </c>
      <c r="AA183" s="1" t="s">
        <v>278</v>
      </c>
      <c r="AB183" s="1">
        <v>1</v>
      </c>
      <c r="AC183" s="73" t="b">
        <v>0</v>
      </c>
      <c r="AD183" s="40" t="b">
        <v>0</v>
      </c>
      <c r="AF183" s="74">
        <v>3</v>
      </c>
      <c r="AG183" s="75"/>
      <c r="AH183" s="75"/>
    </row>
    <row r="184" s="40" customFormat="1" spans="1:34">
      <c r="A184" s="1">
        <v>11315</v>
      </c>
      <c r="B184" s="1" t="s">
        <v>431</v>
      </c>
      <c r="C184" s="1" t="s">
        <v>396</v>
      </c>
      <c r="D184" s="1" t="s">
        <v>397</v>
      </c>
      <c r="E184" s="1" t="s">
        <v>398</v>
      </c>
      <c r="F184" s="1" t="s">
        <v>399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204</v>
      </c>
      <c r="O184" s="72" t="s">
        <v>205</v>
      </c>
      <c r="P184" s="72" t="s">
        <v>432</v>
      </c>
      <c r="Q184" s="1">
        <v>1000065</v>
      </c>
      <c r="R184" s="1">
        <v>1000140</v>
      </c>
      <c r="S184" s="1" t="s">
        <v>207</v>
      </c>
      <c r="T184" s="1">
        <v>1</v>
      </c>
      <c r="U184" s="1" t="s">
        <v>401</v>
      </c>
      <c r="V184" s="1" t="s">
        <v>402</v>
      </c>
      <c r="W184" s="1" t="s">
        <v>414</v>
      </c>
      <c r="X184" s="1">
        <v>15</v>
      </c>
      <c r="Y184" s="1" t="s">
        <v>281</v>
      </c>
      <c r="Z184" s="1" t="s">
        <v>282</v>
      </c>
      <c r="AA184" s="1" t="s">
        <v>283</v>
      </c>
      <c r="AB184" s="1">
        <v>1</v>
      </c>
      <c r="AC184" s="73" t="b">
        <v>0</v>
      </c>
      <c r="AD184" s="40" t="b">
        <v>0</v>
      </c>
      <c r="AF184" s="74">
        <v>3</v>
      </c>
      <c r="AG184" s="75"/>
      <c r="AH184" s="75"/>
    </row>
    <row r="185" s="40" customFormat="1" spans="1:34">
      <c r="A185" s="1">
        <v>11316</v>
      </c>
      <c r="B185" s="1" t="s">
        <v>433</v>
      </c>
      <c r="C185" s="1" t="s">
        <v>396</v>
      </c>
      <c r="D185" s="1" t="s">
        <v>397</v>
      </c>
      <c r="E185" s="1" t="s">
        <v>398</v>
      </c>
      <c r="F185" s="1" t="s">
        <v>399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204</v>
      </c>
      <c r="O185" s="72" t="s">
        <v>205</v>
      </c>
      <c r="P185" s="72" t="s">
        <v>434</v>
      </c>
      <c r="Q185" s="1">
        <v>1000066</v>
      </c>
      <c r="R185" s="1">
        <v>1000141</v>
      </c>
      <c r="S185" s="1" t="s">
        <v>207</v>
      </c>
      <c r="T185" s="1">
        <v>1</v>
      </c>
      <c r="U185" s="1" t="s">
        <v>401</v>
      </c>
      <c r="V185" s="1" t="s">
        <v>402</v>
      </c>
      <c r="W185" s="1" t="s">
        <v>435</v>
      </c>
      <c r="X185" s="1">
        <v>20</v>
      </c>
      <c r="Y185" s="1" t="s">
        <v>287</v>
      </c>
      <c r="Z185" s="1" t="s">
        <v>288</v>
      </c>
      <c r="AA185" s="1" t="s">
        <v>289</v>
      </c>
      <c r="AB185" s="1">
        <v>1</v>
      </c>
      <c r="AC185" s="73" t="b">
        <v>0</v>
      </c>
      <c r="AD185" s="40" t="b">
        <v>0</v>
      </c>
      <c r="AF185" s="74">
        <v>3</v>
      </c>
      <c r="AG185" s="75"/>
      <c r="AH185" s="75"/>
    </row>
    <row r="186" s="40" customFormat="1" spans="1:34">
      <c r="A186" s="1">
        <v>11317</v>
      </c>
      <c r="B186" s="1" t="s">
        <v>436</v>
      </c>
      <c r="C186" s="1" t="s">
        <v>396</v>
      </c>
      <c r="D186" s="1" t="s">
        <v>397</v>
      </c>
      <c r="E186" s="1" t="s">
        <v>398</v>
      </c>
      <c r="F186" s="1" t="s">
        <v>399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204</v>
      </c>
      <c r="O186" s="72" t="s">
        <v>205</v>
      </c>
      <c r="P186" s="72" t="s">
        <v>437</v>
      </c>
      <c r="Q186" s="1">
        <v>1000067</v>
      </c>
      <c r="R186" s="1">
        <v>1000142</v>
      </c>
      <c r="S186" s="1" t="s">
        <v>207</v>
      </c>
      <c r="T186" s="1">
        <v>1</v>
      </c>
      <c r="U186" s="1" t="s">
        <v>401</v>
      </c>
      <c r="V186" s="1" t="s">
        <v>402</v>
      </c>
      <c r="W186" s="1" t="s">
        <v>435</v>
      </c>
      <c r="X186" s="1">
        <v>20</v>
      </c>
      <c r="Y186" s="1" t="s">
        <v>292</v>
      </c>
      <c r="Z186" s="1" t="s">
        <v>293</v>
      </c>
      <c r="AA186" s="1" t="s">
        <v>294</v>
      </c>
      <c r="AB186" s="1">
        <v>1</v>
      </c>
      <c r="AC186" s="73" t="b">
        <v>0</v>
      </c>
      <c r="AD186" s="40" t="b">
        <v>0</v>
      </c>
      <c r="AF186" s="74">
        <v>3</v>
      </c>
      <c r="AG186" s="75"/>
      <c r="AH186" s="75"/>
    </row>
    <row r="187" s="40" customFormat="1" spans="1:34">
      <c r="A187" s="1">
        <v>11318</v>
      </c>
      <c r="B187" s="1" t="s">
        <v>438</v>
      </c>
      <c r="C187" s="1" t="s">
        <v>396</v>
      </c>
      <c r="D187" s="1" t="s">
        <v>397</v>
      </c>
      <c r="E187" s="1" t="s">
        <v>398</v>
      </c>
      <c r="F187" s="1" t="s">
        <v>399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204</v>
      </c>
      <c r="O187" s="72" t="s">
        <v>205</v>
      </c>
      <c r="P187" s="72" t="s">
        <v>439</v>
      </c>
      <c r="Q187" s="1">
        <v>1000068</v>
      </c>
      <c r="R187" s="1">
        <v>1000143</v>
      </c>
      <c r="S187" s="1" t="s">
        <v>207</v>
      </c>
      <c r="T187" s="1">
        <v>1</v>
      </c>
      <c r="U187" s="1" t="s">
        <v>401</v>
      </c>
      <c r="V187" s="1" t="s">
        <v>402</v>
      </c>
      <c r="W187" s="1" t="s">
        <v>435</v>
      </c>
      <c r="X187" s="1">
        <v>20</v>
      </c>
      <c r="Y187" s="1" t="s">
        <v>297</v>
      </c>
      <c r="Z187" s="1" t="s">
        <v>298</v>
      </c>
      <c r="AA187" s="1" t="s">
        <v>299</v>
      </c>
      <c r="AB187" s="1">
        <v>1</v>
      </c>
      <c r="AC187" s="73" t="b">
        <v>0</v>
      </c>
      <c r="AD187" s="40" t="b">
        <v>0</v>
      </c>
      <c r="AF187" s="74">
        <v>3</v>
      </c>
      <c r="AG187" s="75"/>
      <c r="AH187" s="75"/>
    </row>
    <row r="188" s="40" customFormat="1" spans="1:34">
      <c r="A188" s="1">
        <v>11319</v>
      </c>
      <c r="B188" s="1" t="s">
        <v>440</v>
      </c>
      <c r="C188" s="1" t="s">
        <v>396</v>
      </c>
      <c r="D188" s="1" t="s">
        <v>397</v>
      </c>
      <c r="E188" s="1" t="s">
        <v>398</v>
      </c>
      <c r="F188" s="1" t="s">
        <v>399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204</v>
      </c>
      <c r="O188" s="72" t="s">
        <v>205</v>
      </c>
      <c r="P188" s="72" t="s">
        <v>441</v>
      </c>
      <c r="Q188" s="1">
        <v>1000069</v>
      </c>
      <c r="R188" s="1">
        <v>1000144</v>
      </c>
      <c r="S188" s="1" t="s">
        <v>207</v>
      </c>
      <c r="T188" s="1">
        <v>1</v>
      </c>
      <c r="U188" s="1" t="s">
        <v>401</v>
      </c>
      <c r="V188" s="1" t="s">
        <v>402</v>
      </c>
      <c r="W188" s="1" t="s">
        <v>435</v>
      </c>
      <c r="X188" s="1">
        <v>20</v>
      </c>
      <c r="Y188" s="1" t="s">
        <v>302</v>
      </c>
      <c r="Z188" s="1" t="s">
        <v>303</v>
      </c>
      <c r="AA188" s="1" t="s">
        <v>304</v>
      </c>
      <c r="AB188" s="1">
        <v>1</v>
      </c>
      <c r="AC188" s="73" t="b">
        <v>0</v>
      </c>
      <c r="AD188" s="40" t="b">
        <v>0</v>
      </c>
      <c r="AF188" s="74">
        <v>3</v>
      </c>
      <c r="AG188" s="75"/>
      <c r="AH188" s="75"/>
    </row>
    <row r="189" s="40" customFormat="1" spans="1:34">
      <c r="A189" s="1">
        <v>11320</v>
      </c>
      <c r="B189" s="1" t="s">
        <v>442</v>
      </c>
      <c r="C189" s="1" t="s">
        <v>396</v>
      </c>
      <c r="D189" s="1" t="s">
        <v>397</v>
      </c>
      <c r="E189" s="1" t="s">
        <v>398</v>
      </c>
      <c r="F189" s="1" t="s">
        <v>399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204</v>
      </c>
      <c r="O189" s="72" t="s">
        <v>205</v>
      </c>
      <c r="P189" s="72" t="s">
        <v>443</v>
      </c>
      <c r="Q189" s="1">
        <v>1000070</v>
      </c>
      <c r="R189" s="1">
        <v>1000145</v>
      </c>
      <c r="S189" s="1" t="s">
        <v>207</v>
      </c>
      <c r="T189" s="1">
        <v>1</v>
      </c>
      <c r="U189" s="1" t="s">
        <v>401</v>
      </c>
      <c r="V189" s="1" t="s">
        <v>402</v>
      </c>
      <c r="W189" s="1" t="s">
        <v>435</v>
      </c>
      <c r="X189" s="1">
        <v>20</v>
      </c>
      <c r="Y189" s="1" t="s">
        <v>307</v>
      </c>
      <c r="Z189" s="1" t="s">
        <v>308</v>
      </c>
      <c r="AA189" s="1" t="s">
        <v>309</v>
      </c>
      <c r="AB189" s="1">
        <v>1</v>
      </c>
      <c r="AC189" s="73" t="b">
        <v>0</v>
      </c>
      <c r="AD189" s="40" t="b">
        <v>0</v>
      </c>
      <c r="AF189" s="74">
        <v>3</v>
      </c>
      <c r="AG189" s="75"/>
      <c r="AH189" s="75"/>
    </row>
    <row r="190" s="40" customFormat="1" spans="1:34">
      <c r="A190" s="1">
        <v>11321</v>
      </c>
      <c r="B190" s="1" t="s">
        <v>444</v>
      </c>
      <c r="C190" s="1" t="s">
        <v>396</v>
      </c>
      <c r="D190" s="1" t="s">
        <v>397</v>
      </c>
      <c r="E190" s="1" t="s">
        <v>398</v>
      </c>
      <c r="F190" s="1" t="s">
        <v>399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204</v>
      </c>
      <c r="O190" s="72" t="s">
        <v>205</v>
      </c>
      <c r="P190" s="72" t="s">
        <v>445</v>
      </c>
      <c r="Q190" s="1">
        <v>1000071</v>
      </c>
      <c r="R190" s="1">
        <v>1000146</v>
      </c>
      <c r="S190" s="1" t="s">
        <v>207</v>
      </c>
      <c r="T190" s="1">
        <v>1</v>
      </c>
      <c r="U190" s="1" t="s">
        <v>401</v>
      </c>
      <c r="V190" s="1" t="s">
        <v>402</v>
      </c>
      <c r="W190" s="1" t="s">
        <v>435</v>
      </c>
      <c r="X190" s="1">
        <v>25</v>
      </c>
      <c r="Y190" s="1" t="s">
        <v>312</v>
      </c>
      <c r="Z190" s="1" t="s">
        <v>313</v>
      </c>
      <c r="AA190" s="1" t="s">
        <v>314</v>
      </c>
      <c r="AB190" s="1">
        <v>1</v>
      </c>
      <c r="AC190" s="73" t="b">
        <v>0</v>
      </c>
      <c r="AD190" s="40" t="b">
        <v>0</v>
      </c>
      <c r="AF190" s="74">
        <v>3</v>
      </c>
      <c r="AG190" s="75"/>
      <c r="AH190" s="75"/>
    </row>
    <row r="191" s="40" customFormat="1" spans="1:34">
      <c r="A191" s="1">
        <v>11322</v>
      </c>
      <c r="B191" s="1" t="s">
        <v>446</v>
      </c>
      <c r="C191" s="1" t="s">
        <v>396</v>
      </c>
      <c r="D191" s="1" t="s">
        <v>397</v>
      </c>
      <c r="E191" s="1" t="s">
        <v>398</v>
      </c>
      <c r="F191" s="1" t="s">
        <v>399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204</v>
      </c>
      <c r="O191" s="72" t="s">
        <v>205</v>
      </c>
      <c r="P191" s="72" t="s">
        <v>447</v>
      </c>
      <c r="Q191" s="1">
        <v>1000072</v>
      </c>
      <c r="R191" s="1">
        <v>1000147</v>
      </c>
      <c r="S191" s="1" t="s">
        <v>207</v>
      </c>
      <c r="T191" s="1">
        <v>1</v>
      </c>
      <c r="U191" s="1" t="s">
        <v>401</v>
      </c>
      <c r="V191" s="1" t="s">
        <v>402</v>
      </c>
      <c r="W191" s="1" t="s">
        <v>435</v>
      </c>
      <c r="X191" s="1">
        <v>25</v>
      </c>
      <c r="Y191" s="1" t="s">
        <v>317</v>
      </c>
      <c r="Z191" s="1" t="s">
        <v>318</v>
      </c>
      <c r="AA191" s="1" t="s">
        <v>319</v>
      </c>
      <c r="AB191" s="1">
        <v>1</v>
      </c>
      <c r="AC191" s="73" t="b">
        <v>0</v>
      </c>
      <c r="AD191" s="40" t="b">
        <v>0</v>
      </c>
      <c r="AF191" s="74">
        <v>3</v>
      </c>
      <c r="AG191" s="75"/>
      <c r="AH191" s="75"/>
    </row>
    <row r="192" s="40" customFormat="1" spans="1:34">
      <c r="A192" s="1">
        <v>11323</v>
      </c>
      <c r="B192" s="1" t="s">
        <v>448</v>
      </c>
      <c r="C192" s="1" t="s">
        <v>396</v>
      </c>
      <c r="D192" s="1" t="s">
        <v>397</v>
      </c>
      <c r="E192" s="1" t="s">
        <v>398</v>
      </c>
      <c r="F192" s="1" t="s">
        <v>399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204</v>
      </c>
      <c r="O192" s="72" t="s">
        <v>205</v>
      </c>
      <c r="P192" s="72" t="s">
        <v>449</v>
      </c>
      <c r="Q192" s="1">
        <v>1000073</v>
      </c>
      <c r="R192" s="1">
        <v>1000148</v>
      </c>
      <c r="S192" s="1" t="s">
        <v>207</v>
      </c>
      <c r="T192" s="1">
        <v>1</v>
      </c>
      <c r="U192" s="1" t="s">
        <v>401</v>
      </c>
      <c r="V192" s="1" t="s">
        <v>402</v>
      </c>
      <c r="W192" s="1" t="s">
        <v>435</v>
      </c>
      <c r="X192" s="1">
        <v>25</v>
      </c>
      <c r="Y192" s="1" t="s">
        <v>322</v>
      </c>
      <c r="Z192" s="1" t="s">
        <v>323</v>
      </c>
      <c r="AA192" s="1" t="s">
        <v>324</v>
      </c>
      <c r="AB192" s="1">
        <v>1</v>
      </c>
      <c r="AC192" s="73" t="b">
        <v>0</v>
      </c>
      <c r="AD192" s="40" t="b">
        <v>0</v>
      </c>
      <c r="AF192" s="74">
        <v>3</v>
      </c>
      <c r="AG192" s="75"/>
      <c r="AH192" s="75"/>
    </row>
    <row r="193" s="40" customFormat="1" spans="1:34">
      <c r="A193" s="1">
        <v>11324</v>
      </c>
      <c r="B193" s="1" t="s">
        <v>450</v>
      </c>
      <c r="C193" s="1" t="s">
        <v>396</v>
      </c>
      <c r="D193" s="1" t="s">
        <v>397</v>
      </c>
      <c r="E193" s="1" t="s">
        <v>398</v>
      </c>
      <c r="F193" s="1" t="s">
        <v>399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204</v>
      </c>
      <c r="O193" s="72" t="s">
        <v>205</v>
      </c>
      <c r="P193" s="72" t="s">
        <v>451</v>
      </c>
      <c r="Q193" s="1">
        <v>1000074</v>
      </c>
      <c r="R193" s="1">
        <v>1000149</v>
      </c>
      <c r="S193" s="1" t="s">
        <v>207</v>
      </c>
      <c r="T193" s="1">
        <v>1</v>
      </c>
      <c r="U193" s="1" t="s">
        <v>401</v>
      </c>
      <c r="V193" s="1" t="s">
        <v>402</v>
      </c>
      <c r="W193" s="1" t="s">
        <v>435</v>
      </c>
      <c r="X193" s="1">
        <v>25</v>
      </c>
      <c r="Y193" s="1" t="s">
        <v>327</v>
      </c>
      <c r="Z193" s="1" t="s">
        <v>328</v>
      </c>
      <c r="AA193" s="1" t="s">
        <v>329</v>
      </c>
      <c r="AB193" s="1">
        <v>1</v>
      </c>
      <c r="AC193" s="73" t="b">
        <v>0</v>
      </c>
      <c r="AD193" s="40" t="b">
        <v>0</v>
      </c>
      <c r="AF193" s="74">
        <v>3</v>
      </c>
      <c r="AG193" s="75"/>
      <c r="AH193" s="75"/>
    </row>
    <row r="194" s="40" customFormat="1" spans="1:34">
      <c r="A194" s="1">
        <v>11325</v>
      </c>
      <c r="B194" s="1" t="s">
        <v>452</v>
      </c>
      <c r="C194" s="1" t="s">
        <v>396</v>
      </c>
      <c r="D194" s="1" t="s">
        <v>397</v>
      </c>
      <c r="E194" s="1" t="s">
        <v>398</v>
      </c>
      <c r="F194" s="1" t="s">
        <v>399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204</v>
      </c>
      <c r="O194" s="72" t="s">
        <v>205</v>
      </c>
      <c r="P194" s="72" t="s">
        <v>453</v>
      </c>
      <c r="Q194" s="1">
        <v>1000075</v>
      </c>
      <c r="R194" s="1">
        <v>1000150</v>
      </c>
      <c r="S194" s="1" t="s">
        <v>207</v>
      </c>
      <c r="T194" s="1">
        <v>1</v>
      </c>
      <c r="U194" s="1" t="s">
        <v>401</v>
      </c>
      <c r="V194" s="1" t="s">
        <v>402</v>
      </c>
      <c r="W194" s="1" t="s">
        <v>435</v>
      </c>
      <c r="X194" s="1">
        <v>25</v>
      </c>
      <c r="Y194" s="1" t="s">
        <v>332</v>
      </c>
      <c r="Z194" s="1" t="s">
        <v>333</v>
      </c>
      <c r="AA194" s="1" t="s">
        <v>334</v>
      </c>
      <c r="AB194" s="1">
        <v>1</v>
      </c>
      <c r="AC194" s="73" t="b">
        <v>0</v>
      </c>
      <c r="AD194" s="40" t="b">
        <v>0</v>
      </c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454</v>
      </c>
      <c r="C195" s="76" t="s">
        <v>455</v>
      </c>
      <c r="D195" s="76" t="s">
        <v>456</v>
      </c>
      <c r="E195" s="76" t="s">
        <v>457</v>
      </c>
      <c r="F195" s="76" t="s">
        <v>458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204</v>
      </c>
      <c r="O195" s="77" t="s">
        <v>205</v>
      </c>
      <c r="P195" s="77" t="s">
        <v>459</v>
      </c>
      <c r="Q195" s="76"/>
      <c r="R195" s="76"/>
      <c r="S195" s="76"/>
      <c r="T195" s="76">
        <v>1</v>
      </c>
      <c r="U195" s="76" t="s">
        <v>460</v>
      </c>
      <c r="V195" s="76" t="s">
        <v>460</v>
      </c>
      <c r="W195" s="76" t="s">
        <v>461</v>
      </c>
      <c r="X195" s="76">
        <v>15</v>
      </c>
      <c r="Y195" s="76" t="s">
        <v>462</v>
      </c>
      <c r="Z195" s="76" t="s">
        <v>463</v>
      </c>
      <c r="AA195" s="76" t="s">
        <v>464</v>
      </c>
      <c r="AB195" s="1">
        <v>1</v>
      </c>
      <c r="AC195" s="73" t="b">
        <v>0</v>
      </c>
      <c r="AD195" s="40" t="b">
        <v>0</v>
      </c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465</v>
      </c>
      <c r="C196" s="76" t="s">
        <v>455</v>
      </c>
      <c r="D196" s="76" t="s">
        <v>456</v>
      </c>
      <c r="E196" s="76" t="s">
        <v>457</v>
      </c>
      <c r="F196" s="76" t="s">
        <v>458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204</v>
      </c>
      <c r="O196" s="77" t="s">
        <v>205</v>
      </c>
      <c r="P196" s="77" t="s">
        <v>466</v>
      </c>
      <c r="Q196" s="76"/>
      <c r="R196" s="76"/>
      <c r="S196" s="76"/>
      <c r="T196" s="76">
        <v>1</v>
      </c>
      <c r="U196" s="76" t="s">
        <v>460</v>
      </c>
      <c r="V196" s="76" t="s">
        <v>460</v>
      </c>
      <c r="W196" s="76" t="s">
        <v>461</v>
      </c>
      <c r="X196" s="76">
        <v>20</v>
      </c>
      <c r="Y196" s="76" t="s">
        <v>467</v>
      </c>
      <c r="Z196" s="76" t="s">
        <v>468</v>
      </c>
      <c r="AA196" s="76" t="s">
        <v>469</v>
      </c>
      <c r="AB196" s="1">
        <v>1</v>
      </c>
      <c r="AC196" s="73" t="b">
        <v>0</v>
      </c>
      <c r="AD196" s="40" t="b">
        <v>0</v>
      </c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470</v>
      </c>
      <c r="C197" s="76" t="s">
        <v>455</v>
      </c>
      <c r="D197" s="76" t="s">
        <v>456</v>
      </c>
      <c r="E197" s="76" t="s">
        <v>457</v>
      </c>
      <c r="F197" s="76" t="s">
        <v>458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204</v>
      </c>
      <c r="O197" s="77" t="s">
        <v>205</v>
      </c>
      <c r="P197" s="77" t="s">
        <v>471</v>
      </c>
      <c r="Q197" s="76"/>
      <c r="R197" s="76"/>
      <c r="S197" s="76"/>
      <c r="T197" s="76">
        <v>1</v>
      </c>
      <c r="U197" s="76" t="s">
        <v>460</v>
      </c>
      <c r="V197" s="76" t="s">
        <v>460</v>
      </c>
      <c r="W197" s="76" t="s">
        <v>461</v>
      </c>
      <c r="X197" s="76">
        <v>25</v>
      </c>
      <c r="Y197" s="76" t="s">
        <v>472</v>
      </c>
      <c r="Z197" s="76" t="s">
        <v>473</v>
      </c>
      <c r="AA197" s="76" t="s">
        <v>474</v>
      </c>
      <c r="AB197" s="1">
        <v>1</v>
      </c>
      <c r="AC197" s="73" t="b">
        <v>0</v>
      </c>
      <c r="AD197" s="40" t="b">
        <v>0</v>
      </c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475</v>
      </c>
      <c r="C198" s="76" t="s">
        <v>455</v>
      </c>
      <c r="D198" s="76" t="s">
        <v>456</v>
      </c>
      <c r="E198" s="76" t="s">
        <v>457</v>
      </c>
      <c r="F198" s="76" t="s">
        <v>458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204</v>
      </c>
      <c r="O198" s="77" t="s">
        <v>205</v>
      </c>
      <c r="P198" s="77" t="s">
        <v>476</v>
      </c>
      <c r="Q198" s="76"/>
      <c r="R198" s="76"/>
      <c r="S198" s="76"/>
      <c r="T198" s="76">
        <v>1</v>
      </c>
      <c r="U198" s="76" t="s">
        <v>460</v>
      </c>
      <c r="V198" s="76" t="s">
        <v>460</v>
      </c>
      <c r="W198" s="76" t="s">
        <v>461</v>
      </c>
      <c r="X198" s="76">
        <v>30</v>
      </c>
      <c r="Y198" s="76" t="s">
        <v>477</v>
      </c>
      <c r="Z198" s="76" t="s">
        <v>478</v>
      </c>
      <c r="AA198" s="76" t="s">
        <v>479</v>
      </c>
      <c r="AB198" s="1">
        <v>1</v>
      </c>
      <c r="AC198" s="73" t="b">
        <v>0</v>
      </c>
      <c r="AD198" s="40" t="b">
        <v>0</v>
      </c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480</v>
      </c>
      <c r="C199" s="76" t="s">
        <v>455</v>
      </c>
      <c r="D199" s="76" t="s">
        <v>456</v>
      </c>
      <c r="E199" s="76" t="s">
        <v>457</v>
      </c>
      <c r="F199" s="76" t="s">
        <v>458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204</v>
      </c>
      <c r="O199" s="77" t="s">
        <v>205</v>
      </c>
      <c r="P199" s="77" t="s">
        <v>481</v>
      </c>
      <c r="Q199" s="76"/>
      <c r="R199" s="76"/>
      <c r="S199" s="76"/>
      <c r="T199" s="76">
        <v>1</v>
      </c>
      <c r="U199" s="76" t="s">
        <v>460</v>
      </c>
      <c r="V199" s="76" t="s">
        <v>460</v>
      </c>
      <c r="W199" s="76" t="s">
        <v>461</v>
      </c>
      <c r="X199" s="76">
        <v>35</v>
      </c>
      <c r="Y199" s="76" t="s">
        <v>482</v>
      </c>
      <c r="Z199" s="76" t="s">
        <v>483</v>
      </c>
      <c r="AA199" s="76" t="s">
        <v>484</v>
      </c>
      <c r="AB199" s="1">
        <v>1</v>
      </c>
      <c r="AC199" s="73" t="b">
        <v>0</v>
      </c>
      <c r="AD199" s="40" t="b">
        <v>0</v>
      </c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485</v>
      </c>
      <c r="C200" s="76" t="s">
        <v>455</v>
      </c>
      <c r="D200" s="76" t="s">
        <v>456</v>
      </c>
      <c r="E200" s="76" t="s">
        <v>457</v>
      </c>
      <c r="F200" s="76" t="s">
        <v>458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204</v>
      </c>
      <c r="O200" s="77" t="s">
        <v>205</v>
      </c>
      <c r="P200" s="77" t="s">
        <v>486</v>
      </c>
      <c r="Q200" s="76"/>
      <c r="R200" s="76"/>
      <c r="S200" s="76"/>
      <c r="T200" s="76">
        <v>1</v>
      </c>
      <c r="U200" s="76" t="s">
        <v>460</v>
      </c>
      <c r="V200" s="76" t="s">
        <v>460</v>
      </c>
      <c r="W200" s="76" t="s">
        <v>461</v>
      </c>
      <c r="X200" s="76">
        <v>40</v>
      </c>
      <c r="Y200" s="76" t="s">
        <v>487</v>
      </c>
      <c r="Z200" s="76" t="s">
        <v>488</v>
      </c>
      <c r="AA200" s="76" t="s">
        <v>489</v>
      </c>
      <c r="AB200" s="1">
        <v>1</v>
      </c>
      <c r="AC200" s="73" t="b">
        <v>0</v>
      </c>
      <c r="AD200" s="40" t="b">
        <v>0</v>
      </c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490</v>
      </c>
      <c r="C201" s="76" t="s">
        <v>455</v>
      </c>
      <c r="D201" s="76" t="s">
        <v>456</v>
      </c>
      <c r="E201" s="76" t="s">
        <v>457</v>
      </c>
      <c r="F201" s="76" t="s">
        <v>458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204</v>
      </c>
      <c r="O201" s="77" t="s">
        <v>205</v>
      </c>
      <c r="P201" s="77" t="s">
        <v>491</v>
      </c>
      <c r="Q201" s="76"/>
      <c r="R201" s="76"/>
      <c r="S201" s="76"/>
      <c r="T201" s="76">
        <v>1</v>
      </c>
      <c r="U201" s="76" t="s">
        <v>460</v>
      </c>
      <c r="V201" s="76" t="s">
        <v>460</v>
      </c>
      <c r="W201" s="76" t="s">
        <v>461</v>
      </c>
      <c r="X201" s="76">
        <v>45</v>
      </c>
      <c r="Y201" s="76" t="s">
        <v>492</v>
      </c>
      <c r="Z201" s="76" t="s">
        <v>493</v>
      </c>
      <c r="AA201" s="76" t="s">
        <v>494</v>
      </c>
      <c r="AB201" s="1">
        <v>1</v>
      </c>
      <c r="AC201" s="73" t="b">
        <v>0</v>
      </c>
      <c r="AD201" s="40" t="b">
        <v>0</v>
      </c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495</v>
      </c>
      <c r="C202" s="76" t="s">
        <v>455</v>
      </c>
      <c r="D202" s="76" t="s">
        <v>456</v>
      </c>
      <c r="E202" s="76" t="s">
        <v>457</v>
      </c>
      <c r="F202" s="76" t="s">
        <v>458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204</v>
      </c>
      <c r="O202" s="77" t="s">
        <v>205</v>
      </c>
      <c r="P202" s="77" t="s">
        <v>496</v>
      </c>
      <c r="Q202" s="76"/>
      <c r="R202" s="76"/>
      <c r="S202" s="76"/>
      <c r="T202" s="76">
        <v>1</v>
      </c>
      <c r="U202" s="76" t="s">
        <v>460</v>
      </c>
      <c r="V202" s="76" t="s">
        <v>460</v>
      </c>
      <c r="W202" s="76" t="s">
        <v>461</v>
      </c>
      <c r="X202" s="76">
        <v>50</v>
      </c>
      <c r="Y202" s="76" t="s">
        <v>497</v>
      </c>
      <c r="Z202" s="76" t="s">
        <v>498</v>
      </c>
      <c r="AA202" s="76" t="s">
        <v>499</v>
      </c>
      <c r="AB202" s="1">
        <v>1</v>
      </c>
      <c r="AC202" s="73" t="b">
        <v>0</v>
      </c>
      <c r="AD202" s="40" t="b">
        <v>0</v>
      </c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500</v>
      </c>
      <c r="C203" s="76" t="s">
        <v>455</v>
      </c>
      <c r="D203" s="76" t="s">
        <v>456</v>
      </c>
      <c r="E203" s="76" t="s">
        <v>457</v>
      </c>
      <c r="F203" s="76" t="s">
        <v>458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204</v>
      </c>
      <c r="O203" s="77" t="s">
        <v>205</v>
      </c>
      <c r="P203" s="77" t="s">
        <v>501</v>
      </c>
      <c r="Q203" s="76"/>
      <c r="R203" s="76"/>
      <c r="S203" s="76"/>
      <c r="T203" s="76">
        <v>1</v>
      </c>
      <c r="U203" s="76" t="s">
        <v>460</v>
      </c>
      <c r="V203" s="76" t="s">
        <v>460</v>
      </c>
      <c r="W203" s="76" t="s">
        <v>461</v>
      </c>
      <c r="X203" s="76">
        <v>55</v>
      </c>
      <c r="Y203" s="76" t="s">
        <v>502</v>
      </c>
      <c r="Z203" s="76" t="s">
        <v>503</v>
      </c>
      <c r="AA203" s="76" t="s">
        <v>504</v>
      </c>
      <c r="AB203" s="1">
        <v>1</v>
      </c>
      <c r="AC203" s="73" t="b">
        <v>0</v>
      </c>
      <c r="AD203" s="40" t="b">
        <v>0</v>
      </c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505</v>
      </c>
      <c r="C204" s="76" t="s">
        <v>455</v>
      </c>
      <c r="D204" s="76" t="s">
        <v>456</v>
      </c>
      <c r="E204" s="76" t="s">
        <v>457</v>
      </c>
      <c r="F204" s="76" t="s">
        <v>458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204</v>
      </c>
      <c r="O204" s="77" t="s">
        <v>205</v>
      </c>
      <c r="P204" s="77" t="s">
        <v>506</v>
      </c>
      <c r="Q204" s="76"/>
      <c r="R204" s="76"/>
      <c r="S204" s="76"/>
      <c r="T204" s="76">
        <v>1</v>
      </c>
      <c r="U204" s="76" t="s">
        <v>460</v>
      </c>
      <c r="V204" s="76" t="s">
        <v>460</v>
      </c>
      <c r="W204" s="76" t="s">
        <v>461</v>
      </c>
      <c r="X204" s="76">
        <v>60</v>
      </c>
      <c r="Y204" s="76" t="s">
        <v>507</v>
      </c>
      <c r="Z204" s="76" t="s">
        <v>508</v>
      </c>
      <c r="AA204" s="76" t="s">
        <v>509</v>
      </c>
      <c r="AB204" s="1">
        <v>1</v>
      </c>
      <c r="AC204" s="73" t="b">
        <v>0</v>
      </c>
      <c r="AD204" s="40" t="b">
        <v>0</v>
      </c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510</v>
      </c>
      <c r="C205" s="76" t="s">
        <v>455</v>
      </c>
      <c r="D205" s="76" t="s">
        <v>456</v>
      </c>
      <c r="E205" s="76" t="s">
        <v>457</v>
      </c>
      <c r="F205" s="76" t="s">
        <v>458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204</v>
      </c>
      <c r="O205" s="77" t="s">
        <v>205</v>
      </c>
      <c r="P205" s="77" t="s">
        <v>511</v>
      </c>
      <c r="Q205" s="76"/>
      <c r="R205" s="76"/>
      <c r="S205" s="76"/>
      <c r="T205" s="76">
        <v>1</v>
      </c>
      <c r="U205" s="76" t="s">
        <v>460</v>
      </c>
      <c r="V205" s="76" t="s">
        <v>460</v>
      </c>
      <c r="W205" s="76" t="s">
        <v>461</v>
      </c>
      <c r="X205" s="76">
        <v>65</v>
      </c>
      <c r="Y205" s="76" t="s">
        <v>512</v>
      </c>
      <c r="Z205" s="76" t="s">
        <v>513</v>
      </c>
      <c r="AA205" s="76" t="s">
        <v>514</v>
      </c>
      <c r="AB205" s="1">
        <v>1</v>
      </c>
      <c r="AC205" s="73" t="b">
        <v>0</v>
      </c>
      <c r="AD205" s="40" t="b">
        <v>0</v>
      </c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515</v>
      </c>
      <c r="C206" s="76" t="s">
        <v>455</v>
      </c>
      <c r="D206" s="76" t="s">
        <v>456</v>
      </c>
      <c r="E206" s="76" t="s">
        <v>457</v>
      </c>
      <c r="F206" s="76" t="s">
        <v>458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204</v>
      </c>
      <c r="O206" s="77" t="s">
        <v>205</v>
      </c>
      <c r="P206" s="77" t="s">
        <v>516</v>
      </c>
      <c r="Q206" s="76"/>
      <c r="R206" s="76"/>
      <c r="S206" s="76"/>
      <c r="T206" s="76">
        <v>1</v>
      </c>
      <c r="U206" s="76" t="s">
        <v>460</v>
      </c>
      <c r="V206" s="76" t="s">
        <v>460</v>
      </c>
      <c r="W206" s="76" t="s">
        <v>461</v>
      </c>
      <c r="X206" s="76">
        <v>70</v>
      </c>
      <c r="Y206" s="76" t="s">
        <v>517</v>
      </c>
      <c r="Z206" s="76" t="s">
        <v>518</v>
      </c>
      <c r="AA206" s="76" t="s">
        <v>519</v>
      </c>
      <c r="AB206" s="1">
        <v>1</v>
      </c>
      <c r="AC206" s="73" t="b">
        <v>0</v>
      </c>
      <c r="AD206" s="40" t="b">
        <v>0</v>
      </c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520</v>
      </c>
      <c r="C207" s="76" t="s">
        <v>455</v>
      </c>
      <c r="D207" s="76" t="s">
        <v>456</v>
      </c>
      <c r="E207" s="76" t="s">
        <v>457</v>
      </c>
      <c r="F207" s="76" t="s">
        <v>458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204</v>
      </c>
      <c r="O207" s="77" t="s">
        <v>205</v>
      </c>
      <c r="P207" s="77" t="s">
        <v>521</v>
      </c>
      <c r="Q207" s="76"/>
      <c r="R207" s="76"/>
      <c r="S207" s="76"/>
      <c r="T207" s="76">
        <v>1</v>
      </c>
      <c r="U207" s="76" t="s">
        <v>460</v>
      </c>
      <c r="V207" s="76" t="s">
        <v>460</v>
      </c>
      <c r="W207" s="76" t="s">
        <v>461</v>
      </c>
      <c r="X207" s="76">
        <v>75</v>
      </c>
      <c r="Y207" s="76" t="s">
        <v>522</v>
      </c>
      <c r="Z207" s="76" t="s">
        <v>523</v>
      </c>
      <c r="AA207" s="76" t="s">
        <v>524</v>
      </c>
      <c r="AB207" s="1">
        <v>1</v>
      </c>
      <c r="AC207" s="73" t="b">
        <v>0</v>
      </c>
      <c r="AD207" s="40" t="b">
        <v>0</v>
      </c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525</v>
      </c>
      <c r="C208" s="76" t="s">
        <v>455</v>
      </c>
      <c r="D208" s="76" t="s">
        <v>456</v>
      </c>
      <c r="E208" s="76" t="s">
        <v>457</v>
      </c>
      <c r="F208" s="76" t="s">
        <v>458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204</v>
      </c>
      <c r="O208" s="77" t="s">
        <v>205</v>
      </c>
      <c r="P208" s="77" t="s">
        <v>526</v>
      </c>
      <c r="Q208" s="76"/>
      <c r="R208" s="76"/>
      <c r="S208" s="76"/>
      <c r="T208" s="76">
        <v>1</v>
      </c>
      <c r="U208" s="76" t="s">
        <v>460</v>
      </c>
      <c r="V208" s="76" t="s">
        <v>460</v>
      </c>
      <c r="W208" s="76" t="s">
        <v>461</v>
      </c>
      <c r="X208" s="76">
        <v>80</v>
      </c>
      <c r="Y208" s="76" t="s">
        <v>527</v>
      </c>
      <c r="Z208" s="76" t="s">
        <v>528</v>
      </c>
      <c r="AA208" s="76" t="s">
        <v>529</v>
      </c>
      <c r="AB208" s="1">
        <v>1</v>
      </c>
      <c r="AC208" s="73" t="b">
        <v>0</v>
      </c>
      <c r="AD208" s="40" t="b">
        <v>0</v>
      </c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530</v>
      </c>
      <c r="C209" s="76" t="s">
        <v>455</v>
      </c>
      <c r="D209" s="76" t="s">
        <v>456</v>
      </c>
      <c r="E209" s="76" t="s">
        <v>457</v>
      </c>
      <c r="F209" s="76" t="s">
        <v>458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204</v>
      </c>
      <c r="O209" s="77" t="s">
        <v>205</v>
      </c>
      <c r="P209" s="77" t="s">
        <v>531</v>
      </c>
      <c r="Q209" s="76"/>
      <c r="R209" s="76"/>
      <c r="S209" s="76"/>
      <c r="T209" s="76">
        <v>1</v>
      </c>
      <c r="U209" s="76" t="s">
        <v>460</v>
      </c>
      <c r="V209" s="76" t="s">
        <v>460</v>
      </c>
      <c r="W209" s="76" t="s">
        <v>461</v>
      </c>
      <c r="X209" s="76">
        <v>85</v>
      </c>
      <c r="Y209" s="76" t="s">
        <v>532</v>
      </c>
      <c r="Z209" s="76" t="s">
        <v>533</v>
      </c>
      <c r="AA209" s="76" t="s">
        <v>534</v>
      </c>
      <c r="AB209" s="1">
        <v>1</v>
      </c>
      <c r="AC209" s="73" t="b">
        <v>0</v>
      </c>
      <c r="AD209" s="40" t="b">
        <v>0</v>
      </c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535</v>
      </c>
      <c r="C210" s="76" t="s">
        <v>455</v>
      </c>
      <c r="D210" s="76" t="s">
        <v>456</v>
      </c>
      <c r="E210" s="76" t="s">
        <v>457</v>
      </c>
      <c r="F210" s="76" t="s">
        <v>458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204</v>
      </c>
      <c r="O210" s="77" t="s">
        <v>205</v>
      </c>
      <c r="P210" s="77" t="s">
        <v>536</v>
      </c>
      <c r="Q210" s="76"/>
      <c r="R210" s="76"/>
      <c r="S210" s="76"/>
      <c r="T210" s="76">
        <v>1</v>
      </c>
      <c r="U210" s="76" t="s">
        <v>460</v>
      </c>
      <c r="V210" s="76" t="s">
        <v>460</v>
      </c>
      <c r="W210" s="76" t="s">
        <v>461</v>
      </c>
      <c r="X210" s="76">
        <v>90</v>
      </c>
      <c r="Y210" s="76" t="s">
        <v>537</v>
      </c>
      <c r="Z210" s="76" t="s">
        <v>538</v>
      </c>
      <c r="AA210" s="76" t="s">
        <v>539</v>
      </c>
      <c r="AB210" s="1">
        <v>1</v>
      </c>
      <c r="AC210" s="73" t="b">
        <v>0</v>
      </c>
      <c r="AD210" s="40" t="b">
        <v>0</v>
      </c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540</v>
      </c>
      <c r="C211" s="76" t="s">
        <v>455</v>
      </c>
      <c r="D211" s="76" t="s">
        <v>456</v>
      </c>
      <c r="E211" s="76" t="s">
        <v>457</v>
      </c>
      <c r="F211" s="76" t="s">
        <v>458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204</v>
      </c>
      <c r="O211" s="77" t="s">
        <v>205</v>
      </c>
      <c r="P211" s="77" t="s">
        <v>541</v>
      </c>
      <c r="Q211" s="76"/>
      <c r="R211" s="76"/>
      <c r="S211" s="76"/>
      <c r="T211" s="76">
        <v>1</v>
      </c>
      <c r="U211" s="76" t="s">
        <v>460</v>
      </c>
      <c r="V211" s="76" t="s">
        <v>460</v>
      </c>
      <c r="W211" s="76" t="s">
        <v>461</v>
      </c>
      <c r="X211" s="76">
        <v>95</v>
      </c>
      <c r="Y211" s="76" t="s">
        <v>542</v>
      </c>
      <c r="Z211" s="76" t="s">
        <v>543</v>
      </c>
      <c r="AA211" s="76" t="s">
        <v>544</v>
      </c>
      <c r="AB211" s="1">
        <v>1</v>
      </c>
      <c r="AC211" s="73" t="b">
        <v>0</v>
      </c>
      <c r="AD211" s="40" t="b">
        <v>0</v>
      </c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545</v>
      </c>
      <c r="C212" s="76" t="s">
        <v>455</v>
      </c>
      <c r="D212" s="76" t="s">
        <v>456</v>
      </c>
      <c r="E212" s="76" t="s">
        <v>457</v>
      </c>
      <c r="F212" s="76" t="s">
        <v>458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204</v>
      </c>
      <c r="O212" s="77" t="s">
        <v>205</v>
      </c>
      <c r="P212" s="77" t="s">
        <v>546</v>
      </c>
      <c r="Q212" s="76"/>
      <c r="R212" s="76"/>
      <c r="S212" s="76"/>
      <c r="T212" s="76">
        <v>1</v>
      </c>
      <c r="U212" s="76" t="s">
        <v>460</v>
      </c>
      <c r="V212" s="76" t="s">
        <v>460</v>
      </c>
      <c r="W212" s="76" t="s">
        <v>461</v>
      </c>
      <c r="X212" s="76">
        <v>100</v>
      </c>
      <c r="Y212" s="76" t="s">
        <v>547</v>
      </c>
      <c r="Z212" s="76" t="s">
        <v>548</v>
      </c>
      <c r="AA212" s="76" t="s">
        <v>549</v>
      </c>
      <c r="AB212" s="1">
        <v>1</v>
      </c>
      <c r="AC212" s="73" t="b">
        <v>0</v>
      </c>
      <c r="AD212" s="40" t="b">
        <v>0</v>
      </c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550</v>
      </c>
      <c r="C213" s="76" t="s">
        <v>455</v>
      </c>
      <c r="D213" s="76" t="s">
        <v>456</v>
      </c>
      <c r="E213" s="76" t="s">
        <v>457</v>
      </c>
      <c r="F213" s="76" t="s">
        <v>458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204</v>
      </c>
      <c r="O213" s="77" t="s">
        <v>205</v>
      </c>
      <c r="P213" s="77" t="s">
        <v>551</v>
      </c>
      <c r="Q213" s="76"/>
      <c r="R213" s="76"/>
      <c r="S213" s="76"/>
      <c r="T213" s="76">
        <v>1</v>
      </c>
      <c r="U213" s="76" t="s">
        <v>460</v>
      </c>
      <c r="V213" s="76" t="s">
        <v>460</v>
      </c>
      <c r="W213" s="76" t="s">
        <v>461</v>
      </c>
      <c r="X213" s="76">
        <v>105</v>
      </c>
      <c r="Y213" s="76" t="s">
        <v>552</v>
      </c>
      <c r="Z213" s="76" t="s">
        <v>553</v>
      </c>
      <c r="AA213" s="76" t="s">
        <v>554</v>
      </c>
      <c r="AB213" s="1">
        <v>1</v>
      </c>
      <c r="AC213" s="73" t="b">
        <v>0</v>
      </c>
      <c r="AD213" s="40" t="b">
        <v>0</v>
      </c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555</v>
      </c>
      <c r="C214" s="76" t="s">
        <v>455</v>
      </c>
      <c r="D214" s="76" t="s">
        <v>456</v>
      </c>
      <c r="E214" s="76" t="s">
        <v>457</v>
      </c>
      <c r="F214" s="76" t="s">
        <v>458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204</v>
      </c>
      <c r="O214" s="77" t="s">
        <v>205</v>
      </c>
      <c r="P214" s="77" t="s">
        <v>556</v>
      </c>
      <c r="Q214" s="76"/>
      <c r="R214" s="76"/>
      <c r="S214" s="76"/>
      <c r="T214" s="76">
        <v>1</v>
      </c>
      <c r="U214" s="76" t="s">
        <v>460</v>
      </c>
      <c r="V214" s="76" t="s">
        <v>460</v>
      </c>
      <c r="W214" s="76" t="s">
        <v>461</v>
      </c>
      <c r="X214" s="76">
        <v>110</v>
      </c>
      <c r="Y214" s="76" t="s">
        <v>557</v>
      </c>
      <c r="Z214" s="76" t="s">
        <v>558</v>
      </c>
      <c r="AA214" s="76" t="s">
        <v>559</v>
      </c>
      <c r="AB214" s="1">
        <v>1</v>
      </c>
      <c r="AC214" s="73" t="b">
        <v>0</v>
      </c>
      <c r="AD214" s="40" t="b">
        <v>0</v>
      </c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560</v>
      </c>
      <c r="C215" s="76" t="s">
        <v>455</v>
      </c>
      <c r="D215" s="76" t="s">
        <v>456</v>
      </c>
      <c r="E215" s="76" t="s">
        <v>457</v>
      </c>
      <c r="F215" s="76" t="s">
        <v>458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204</v>
      </c>
      <c r="O215" s="77" t="s">
        <v>205</v>
      </c>
      <c r="P215" s="77" t="s">
        <v>561</v>
      </c>
      <c r="Q215" s="76"/>
      <c r="R215" s="76"/>
      <c r="S215" s="76"/>
      <c r="T215" s="76">
        <v>1</v>
      </c>
      <c r="U215" s="76" t="s">
        <v>460</v>
      </c>
      <c r="V215" s="76" t="s">
        <v>460</v>
      </c>
      <c r="W215" s="76" t="s">
        <v>461</v>
      </c>
      <c r="X215" s="76">
        <v>115</v>
      </c>
      <c r="Y215" s="76" t="s">
        <v>562</v>
      </c>
      <c r="Z215" s="76" t="s">
        <v>563</v>
      </c>
      <c r="AA215" s="76" t="s">
        <v>564</v>
      </c>
      <c r="AB215" s="1">
        <v>1</v>
      </c>
      <c r="AC215" s="73" t="b">
        <v>0</v>
      </c>
      <c r="AD215" s="40" t="b">
        <v>0</v>
      </c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565</v>
      </c>
      <c r="C216" s="76" t="s">
        <v>455</v>
      </c>
      <c r="D216" s="76" t="s">
        <v>456</v>
      </c>
      <c r="E216" s="76" t="s">
        <v>457</v>
      </c>
      <c r="F216" s="76" t="s">
        <v>458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204</v>
      </c>
      <c r="O216" s="77" t="s">
        <v>205</v>
      </c>
      <c r="P216" s="77" t="s">
        <v>566</v>
      </c>
      <c r="Q216" s="76"/>
      <c r="R216" s="76"/>
      <c r="S216" s="76"/>
      <c r="T216" s="76">
        <v>1</v>
      </c>
      <c r="U216" s="76" t="s">
        <v>460</v>
      </c>
      <c r="V216" s="76" t="s">
        <v>460</v>
      </c>
      <c r="W216" s="76" t="s">
        <v>461</v>
      </c>
      <c r="X216" s="76">
        <v>120</v>
      </c>
      <c r="Y216" s="76" t="s">
        <v>567</v>
      </c>
      <c r="Z216" s="76" t="s">
        <v>568</v>
      </c>
      <c r="AA216" s="76" t="s">
        <v>569</v>
      </c>
      <c r="AB216" s="1">
        <v>1</v>
      </c>
      <c r="AC216" s="73" t="b">
        <v>0</v>
      </c>
      <c r="AD216" s="40" t="b">
        <v>0</v>
      </c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570</v>
      </c>
      <c r="C217" s="76" t="s">
        <v>455</v>
      </c>
      <c r="D217" s="76" t="s">
        <v>456</v>
      </c>
      <c r="E217" s="76" t="s">
        <v>457</v>
      </c>
      <c r="F217" s="76" t="s">
        <v>458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204</v>
      </c>
      <c r="O217" s="77" t="s">
        <v>205</v>
      </c>
      <c r="P217" s="77" t="s">
        <v>571</v>
      </c>
      <c r="Q217" s="76"/>
      <c r="R217" s="76"/>
      <c r="S217" s="76"/>
      <c r="T217" s="76">
        <v>1</v>
      </c>
      <c r="U217" s="76" t="s">
        <v>460</v>
      </c>
      <c r="V217" s="76" t="s">
        <v>460</v>
      </c>
      <c r="W217" s="76" t="s">
        <v>461</v>
      </c>
      <c r="X217" s="76">
        <v>125</v>
      </c>
      <c r="Y217" s="76" t="s">
        <v>572</v>
      </c>
      <c r="Z217" s="76" t="s">
        <v>573</v>
      </c>
      <c r="AA217" s="76" t="s">
        <v>574</v>
      </c>
      <c r="AB217" s="1">
        <v>1</v>
      </c>
      <c r="AC217" s="73" t="b">
        <v>0</v>
      </c>
      <c r="AD217" s="40" t="b">
        <v>0</v>
      </c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575</v>
      </c>
      <c r="C218" s="76" t="s">
        <v>455</v>
      </c>
      <c r="D218" s="76" t="s">
        <v>456</v>
      </c>
      <c r="E218" s="76" t="s">
        <v>457</v>
      </c>
      <c r="F218" s="76" t="s">
        <v>458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204</v>
      </c>
      <c r="O218" s="77" t="s">
        <v>205</v>
      </c>
      <c r="P218" s="77" t="s">
        <v>576</v>
      </c>
      <c r="Q218" s="76"/>
      <c r="R218" s="76"/>
      <c r="S218" s="76"/>
      <c r="T218" s="76">
        <v>1</v>
      </c>
      <c r="U218" s="76" t="s">
        <v>460</v>
      </c>
      <c r="V218" s="76" t="s">
        <v>460</v>
      </c>
      <c r="W218" s="76" t="s">
        <v>461</v>
      </c>
      <c r="X218" s="76">
        <v>130</v>
      </c>
      <c r="Y218" s="76" t="s">
        <v>577</v>
      </c>
      <c r="Z218" s="76" t="s">
        <v>578</v>
      </c>
      <c r="AA218" s="76" t="s">
        <v>579</v>
      </c>
      <c r="AB218" s="1">
        <v>1</v>
      </c>
      <c r="AC218" s="73" t="b">
        <v>0</v>
      </c>
      <c r="AD218" s="40" t="b">
        <v>0</v>
      </c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580</v>
      </c>
      <c r="C219" s="76" t="s">
        <v>455</v>
      </c>
      <c r="D219" s="76" t="s">
        <v>456</v>
      </c>
      <c r="E219" s="76" t="s">
        <v>457</v>
      </c>
      <c r="F219" s="76" t="s">
        <v>458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204</v>
      </c>
      <c r="O219" s="77" t="s">
        <v>205</v>
      </c>
      <c r="P219" s="77" t="s">
        <v>581</v>
      </c>
      <c r="Q219" s="76"/>
      <c r="R219" s="76"/>
      <c r="S219" s="76"/>
      <c r="T219" s="76">
        <v>1</v>
      </c>
      <c r="U219" s="76" t="s">
        <v>460</v>
      </c>
      <c r="V219" s="76" t="s">
        <v>460</v>
      </c>
      <c r="W219" s="76" t="s">
        <v>461</v>
      </c>
      <c r="X219" s="76">
        <v>135</v>
      </c>
      <c r="Y219" s="76" t="s">
        <v>582</v>
      </c>
      <c r="Z219" s="76" t="s">
        <v>583</v>
      </c>
      <c r="AA219" s="76" t="s">
        <v>584</v>
      </c>
      <c r="AB219" s="1">
        <v>1</v>
      </c>
      <c r="AC219" s="73" t="b">
        <v>0</v>
      </c>
      <c r="AD219" s="40" t="b">
        <v>0</v>
      </c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585</v>
      </c>
      <c r="C220" s="76" t="s">
        <v>455</v>
      </c>
      <c r="D220" s="76" t="s">
        <v>456</v>
      </c>
      <c r="E220" s="76" t="s">
        <v>457</v>
      </c>
      <c r="F220" s="76" t="s">
        <v>458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204</v>
      </c>
      <c r="O220" s="77" t="s">
        <v>205</v>
      </c>
      <c r="P220" s="77" t="s">
        <v>561</v>
      </c>
      <c r="Q220" s="76"/>
      <c r="R220" s="76"/>
      <c r="S220" s="76"/>
      <c r="T220" s="76">
        <v>1</v>
      </c>
      <c r="U220" s="76" t="s">
        <v>460</v>
      </c>
      <c r="V220" s="76" t="s">
        <v>460</v>
      </c>
      <c r="W220" s="76" t="s">
        <v>461</v>
      </c>
      <c r="X220" s="76">
        <v>115</v>
      </c>
      <c r="Y220" s="76" t="s">
        <v>562</v>
      </c>
      <c r="Z220" s="76" t="s">
        <v>563</v>
      </c>
      <c r="AA220" s="76" t="s">
        <v>564</v>
      </c>
      <c r="AB220" s="1">
        <v>1</v>
      </c>
      <c r="AC220" s="73" t="b">
        <v>0</v>
      </c>
      <c r="AD220" s="40" t="b">
        <v>0</v>
      </c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586</v>
      </c>
      <c r="C221" s="76" t="s">
        <v>455</v>
      </c>
      <c r="D221" s="76" t="s">
        <v>456</v>
      </c>
      <c r="E221" s="76" t="s">
        <v>457</v>
      </c>
      <c r="F221" s="76" t="s">
        <v>458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204</v>
      </c>
      <c r="O221" s="77" t="s">
        <v>205</v>
      </c>
      <c r="P221" s="77" t="s">
        <v>566</v>
      </c>
      <c r="Q221" s="76"/>
      <c r="R221" s="76"/>
      <c r="S221" s="76"/>
      <c r="T221" s="76">
        <v>1</v>
      </c>
      <c r="U221" s="76" t="s">
        <v>460</v>
      </c>
      <c r="V221" s="76" t="s">
        <v>460</v>
      </c>
      <c r="W221" s="76" t="s">
        <v>461</v>
      </c>
      <c r="X221" s="76">
        <v>120</v>
      </c>
      <c r="Y221" s="76" t="s">
        <v>567</v>
      </c>
      <c r="Z221" s="76" t="s">
        <v>568</v>
      </c>
      <c r="AA221" s="76" t="s">
        <v>569</v>
      </c>
      <c r="AB221" s="1">
        <v>1</v>
      </c>
      <c r="AC221" s="73" t="b">
        <v>0</v>
      </c>
      <c r="AD221" s="40" t="b">
        <v>0</v>
      </c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587</v>
      </c>
      <c r="C222" s="76" t="s">
        <v>455</v>
      </c>
      <c r="D222" s="76" t="s">
        <v>456</v>
      </c>
      <c r="E222" s="76" t="s">
        <v>457</v>
      </c>
      <c r="F222" s="76" t="s">
        <v>458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204</v>
      </c>
      <c r="O222" s="77" t="s">
        <v>205</v>
      </c>
      <c r="P222" s="77" t="s">
        <v>571</v>
      </c>
      <c r="Q222" s="76"/>
      <c r="R222" s="76"/>
      <c r="S222" s="76"/>
      <c r="T222" s="76">
        <v>1</v>
      </c>
      <c r="U222" s="76" t="s">
        <v>460</v>
      </c>
      <c r="V222" s="76" t="s">
        <v>460</v>
      </c>
      <c r="W222" s="76" t="s">
        <v>461</v>
      </c>
      <c r="X222" s="76">
        <v>125</v>
      </c>
      <c r="Y222" s="76" t="s">
        <v>572</v>
      </c>
      <c r="Z222" s="76" t="s">
        <v>573</v>
      </c>
      <c r="AA222" s="76" t="s">
        <v>574</v>
      </c>
      <c r="AB222" s="1">
        <v>1</v>
      </c>
      <c r="AC222" s="73" t="b">
        <v>0</v>
      </c>
      <c r="AD222" s="40" t="b">
        <v>0</v>
      </c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588</v>
      </c>
      <c r="C223" s="76" t="s">
        <v>455</v>
      </c>
      <c r="D223" s="76" t="s">
        <v>456</v>
      </c>
      <c r="E223" s="76" t="s">
        <v>457</v>
      </c>
      <c r="F223" s="76" t="s">
        <v>458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204</v>
      </c>
      <c r="O223" s="77" t="s">
        <v>205</v>
      </c>
      <c r="P223" s="77" t="s">
        <v>576</v>
      </c>
      <c r="Q223" s="76"/>
      <c r="R223" s="76"/>
      <c r="S223" s="76"/>
      <c r="T223" s="76">
        <v>1</v>
      </c>
      <c r="U223" s="76" t="s">
        <v>460</v>
      </c>
      <c r="V223" s="76" t="s">
        <v>460</v>
      </c>
      <c r="W223" s="76" t="s">
        <v>461</v>
      </c>
      <c r="X223" s="76">
        <v>130</v>
      </c>
      <c r="Y223" s="76" t="s">
        <v>577</v>
      </c>
      <c r="Z223" s="76" t="s">
        <v>578</v>
      </c>
      <c r="AA223" s="76" t="s">
        <v>579</v>
      </c>
      <c r="AB223" s="1">
        <v>1</v>
      </c>
      <c r="AC223" s="73" t="b">
        <v>0</v>
      </c>
      <c r="AD223" s="40" t="b">
        <v>0</v>
      </c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589</v>
      </c>
      <c r="C224" s="76" t="s">
        <v>455</v>
      </c>
      <c r="D224" s="76" t="s">
        <v>456</v>
      </c>
      <c r="E224" s="76" t="s">
        <v>457</v>
      </c>
      <c r="F224" s="76" t="s">
        <v>458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204</v>
      </c>
      <c r="O224" s="77" t="s">
        <v>205</v>
      </c>
      <c r="P224" s="77" t="s">
        <v>581</v>
      </c>
      <c r="Q224" s="76"/>
      <c r="R224" s="76"/>
      <c r="S224" s="76"/>
      <c r="T224" s="76">
        <v>1</v>
      </c>
      <c r="U224" s="76" t="s">
        <v>460</v>
      </c>
      <c r="V224" s="76" t="s">
        <v>460</v>
      </c>
      <c r="W224" s="76" t="s">
        <v>461</v>
      </c>
      <c r="X224" s="76">
        <v>135</v>
      </c>
      <c r="Y224" s="76" t="s">
        <v>582</v>
      </c>
      <c r="Z224" s="76" t="s">
        <v>583</v>
      </c>
      <c r="AA224" s="76" t="s">
        <v>584</v>
      </c>
      <c r="AB224" s="1">
        <v>1</v>
      </c>
      <c r="AC224" s="73" t="b">
        <v>0</v>
      </c>
      <c r="AD224" s="40" t="b">
        <v>0</v>
      </c>
      <c r="AF224" s="74">
        <v>3</v>
      </c>
      <c r="AG224" s="75"/>
      <c r="AH224" s="75"/>
    </row>
    <row r="225" s="40" customFormat="1" spans="1:34">
      <c r="A225" s="1">
        <v>12101</v>
      </c>
      <c r="B225" s="1" t="s">
        <v>590</v>
      </c>
      <c r="C225" s="1" t="s">
        <v>591</v>
      </c>
      <c r="D225" s="1" t="s">
        <v>592</v>
      </c>
      <c r="E225" s="1" t="s">
        <v>593</v>
      </c>
      <c r="F225" s="1" t="s">
        <v>594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8" t="s">
        <v>595</v>
      </c>
      <c r="O225" s="72" t="s">
        <v>596</v>
      </c>
      <c r="P225" s="72" t="s">
        <v>597</v>
      </c>
      <c r="Q225" s="1">
        <v>1001001</v>
      </c>
      <c r="R225" s="1">
        <v>0</v>
      </c>
      <c r="S225" s="1" t="s">
        <v>207</v>
      </c>
      <c r="T225" s="1">
        <v>3</v>
      </c>
      <c r="U225" s="1" t="s">
        <v>598</v>
      </c>
      <c r="V225" s="1" t="s">
        <v>599</v>
      </c>
      <c r="W225" s="1" t="s">
        <v>600</v>
      </c>
      <c r="X225" s="1">
        <v>5</v>
      </c>
      <c r="Y225" s="1" t="s">
        <v>601</v>
      </c>
      <c r="Z225" s="1" t="s">
        <v>602</v>
      </c>
      <c r="AA225" s="1" t="s">
        <v>603</v>
      </c>
      <c r="AB225" s="1">
        <v>2</v>
      </c>
      <c r="AC225" s="73" t="b">
        <v>1</v>
      </c>
      <c r="AD225" s="40" t="b">
        <v>0</v>
      </c>
      <c r="AF225" s="74">
        <v>3</v>
      </c>
      <c r="AG225" s="75" t="s">
        <v>604</v>
      </c>
      <c r="AH225" s="75" t="s">
        <v>605</v>
      </c>
    </row>
    <row r="226" s="40" customFormat="1" spans="1:34">
      <c r="A226" s="1">
        <v>12102</v>
      </c>
      <c r="B226" s="1" t="s">
        <v>606</v>
      </c>
      <c r="C226" s="1" t="s">
        <v>591</v>
      </c>
      <c r="D226" s="1" t="s">
        <v>592</v>
      </c>
      <c r="E226" s="1" t="s">
        <v>593</v>
      </c>
      <c r="F226" s="1" t="s">
        <v>594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8" t="s">
        <v>595</v>
      </c>
      <c r="O226" s="72" t="s">
        <v>596</v>
      </c>
      <c r="P226" s="72" t="s">
        <v>607</v>
      </c>
      <c r="Q226" s="1">
        <v>1001002</v>
      </c>
      <c r="R226" s="1">
        <v>0</v>
      </c>
      <c r="S226" s="1" t="s">
        <v>207</v>
      </c>
      <c r="T226" s="1">
        <v>3</v>
      </c>
      <c r="U226" s="1" t="s">
        <v>598</v>
      </c>
      <c r="V226" s="1" t="s">
        <v>599</v>
      </c>
      <c r="W226" s="1" t="s">
        <v>600</v>
      </c>
      <c r="X226" s="1">
        <v>5</v>
      </c>
      <c r="Y226" s="1" t="s">
        <v>608</v>
      </c>
      <c r="Z226" s="1" t="s">
        <v>609</v>
      </c>
      <c r="AA226" s="1" t="s">
        <v>610</v>
      </c>
      <c r="AB226" s="1">
        <v>2</v>
      </c>
      <c r="AC226" s="73" t="b">
        <v>1</v>
      </c>
      <c r="AD226" s="40" t="b">
        <v>0</v>
      </c>
      <c r="AF226" s="74">
        <v>3</v>
      </c>
      <c r="AG226" s="75" t="s">
        <v>611</v>
      </c>
      <c r="AH226" s="75" t="s">
        <v>605</v>
      </c>
    </row>
    <row r="227" s="40" customFormat="1" spans="1:34">
      <c r="A227" s="1">
        <v>12103</v>
      </c>
      <c r="B227" s="1" t="s">
        <v>612</v>
      </c>
      <c r="C227" s="1" t="s">
        <v>591</v>
      </c>
      <c r="D227" s="1" t="s">
        <v>592</v>
      </c>
      <c r="E227" s="1" t="s">
        <v>593</v>
      </c>
      <c r="F227" s="1" t="s">
        <v>594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8" t="s">
        <v>595</v>
      </c>
      <c r="O227" s="72" t="s">
        <v>596</v>
      </c>
      <c r="P227" s="72" t="s">
        <v>613</v>
      </c>
      <c r="Q227" s="1">
        <v>1001003</v>
      </c>
      <c r="R227" s="1">
        <v>0</v>
      </c>
      <c r="S227" s="1" t="s">
        <v>207</v>
      </c>
      <c r="T227" s="1">
        <v>3</v>
      </c>
      <c r="U227" s="1" t="s">
        <v>598</v>
      </c>
      <c r="V227" s="1" t="s">
        <v>599</v>
      </c>
      <c r="W227" s="1" t="s">
        <v>600</v>
      </c>
      <c r="X227" s="1">
        <v>5</v>
      </c>
      <c r="Y227" s="1" t="s">
        <v>614</v>
      </c>
      <c r="Z227" s="1" t="s">
        <v>615</v>
      </c>
      <c r="AA227" s="1" t="s">
        <v>616</v>
      </c>
      <c r="AB227" s="1">
        <v>2</v>
      </c>
      <c r="AC227" s="73" t="b">
        <v>1</v>
      </c>
      <c r="AD227" s="40" t="b">
        <v>0</v>
      </c>
      <c r="AF227" s="74">
        <v>3</v>
      </c>
      <c r="AG227" s="75" t="s">
        <v>617</v>
      </c>
      <c r="AH227" s="75" t="s">
        <v>605</v>
      </c>
    </row>
    <row r="228" s="40" customFormat="1" spans="1:34">
      <c r="A228" s="1">
        <v>12104</v>
      </c>
      <c r="B228" s="1" t="s">
        <v>618</v>
      </c>
      <c r="C228" s="1" t="s">
        <v>591</v>
      </c>
      <c r="D228" s="1" t="s">
        <v>592</v>
      </c>
      <c r="E228" s="1" t="s">
        <v>593</v>
      </c>
      <c r="F228" s="1" t="s">
        <v>594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8" t="s">
        <v>595</v>
      </c>
      <c r="O228" s="72" t="s">
        <v>596</v>
      </c>
      <c r="P228" s="72" t="s">
        <v>619</v>
      </c>
      <c r="Q228" s="1">
        <v>1001004</v>
      </c>
      <c r="R228" s="1">
        <v>0</v>
      </c>
      <c r="S228" s="1" t="s">
        <v>207</v>
      </c>
      <c r="T228" s="1">
        <v>3</v>
      </c>
      <c r="U228" s="1" t="s">
        <v>598</v>
      </c>
      <c r="V228" s="1" t="s">
        <v>599</v>
      </c>
      <c r="W228" s="1" t="s">
        <v>600</v>
      </c>
      <c r="X228" s="1">
        <v>5</v>
      </c>
      <c r="Y228" s="1" t="s">
        <v>620</v>
      </c>
      <c r="Z228" s="1" t="s">
        <v>621</v>
      </c>
      <c r="AA228" s="1" t="s">
        <v>622</v>
      </c>
      <c r="AB228" s="1">
        <v>2</v>
      </c>
      <c r="AC228" s="73" t="b">
        <v>1</v>
      </c>
      <c r="AD228" s="40" t="b">
        <v>0</v>
      </c>
      <c r="AF228" s="74">
        <v>3</v>
      </c>
      <c r="AG228" s="75" t="s">
        <v>623</v>
      </c>
      <c r="AH228" s="75" t="s">
        <v>605</v>
      </c>
    </row>
    <row r="229" s="40" customFormat="1" spans="1:34">
      <c r="A229" s="1">
        <v>12105</v>
      </c>
      <c r="B229" s="1" t="s">
        <v>624</v>
      </c>
      <c r="C229" s="1" t="s">
        <v>591</v>
      </c>
      <c r="D229" s="1" t="s">
        <v>592</v>
      </c>
      <c r="E229" s="1" t="s">
        <v>593</v>
      </c>
      <c r="F229" s="1" t="s">
        <v>594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8" t="s">
        <v>595</v>
      </c>
      <c r="O229" s="72" t="s">
        <v>596</v>
      </c>
      <c r="P229" s="72" t="s">
        <v>625</v>
      </c>
      <c r="Q229" s="1">
        <v>1001005</v>
      </c>
      <c r="R229" s="1">
        <v>0</v>
      </c>
      <c r="S229" s="1" t="s">
        <v>207</v>
      </c>
      <c r="T229" s="1">
        <v>3</v>
      </c>
      <c r="U229" s="1" t="s">
        <v>598</v>
      </c>
      <c r="V229" s="1" t="s">
        <v>599</v>
      </c>
      <c r="W229" s="1" t="s">
        <v>600</v>
      </c>
      <c r="X229" s="1">
        <v>5</v>
      </c>
      <c r="Y229" s="1" t="s">
        <v>626</v>
      </c>
      <c r="Z229" s="1" t="s">
        <v>627</v>
      </c>
      <c r="AA229" s="1" t="s">
        <v>628</v>
      </c>
      <c r="AB229" s="1">
        <v>2</v>
      </c>
      <c r="AC229" s="73" t="b">
        <v>1</v>
      </c>
      <c r="AD229" s="40" t="b">
        <v>0</v>
      </c>
      <c r="AF229" s="74">
        <v>3</v>
      </c>
      <c r="AG229" s="75" t="s">
        <v>629</v>
      </c>
      <c r="AH229" s="75" t="s">
        <v>605</v>
      </c>
    </row>
    <row r="230" s="40" customFormat="1" spans="1:34">
      <c r="A230" s="1">
        <v>12106</v>
      </c>
      <c r="B230" s="1" t="s">
        <v>630</v>
      </c>
      <c r="C230" s="1" t="s">
        <v>591</v>
      </c>
      <c r="D230" s="1" t="s">
        <v>592</v>
      </c>
      <c r="E230" s="1" t="s">
        <v>593</v>
      </c>
      <c r="F230" s="1" t="s">
        <v>594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8" t="s">
        <v>595</v>
      </c>
      <c r="O230" s="72" t="s">
        <v>596</v>
      </c>
      <c r="P230" s="72" t="s">
        <v>631</v>
      </c>
      <c r="Q230" s="1">
        <v>1001006</v>
      </c>
      <c r="R230" s="1">
        <v>0</v>
      </c>
      <c r="S230" s="1" t="s">
        <v>207</v>
      </c>
      <c r="T230" s="1">
        <v>3</v>
      </c>
      <c r="U230" s="1" t="s">
        <v>598</v>
      </c>
      <c r="V230" s="1" t="s">
        <v>599</v>
      </c>
      <c r="W230" s="1" t="s">
        <v>600</v>
      </c>
      <c r="X230" s="1">
        <v>10</v>
      </c>
      <c r="Y230" s="1" t="s">
        <v>632</v>
      </c>
      <c r="Z230" s="1" t="s">
        <v>633</v>
      </c>
      <c r="AA230" s="1" t="s">
        <v>634</v>
      </c>
      <c r="AB230" s="1">
        <v>2</v>
      </c>
      <c r="AC230" s="73" t="b">
        <v>1</v>
      </c>
      <c r="AD230" s="40" t="b">
        <v>0</v>
      </c>
      <c r="AF230" s="74">
        <v>3</v>
      </c>
      <c r="AG230" s="75" t="s">
        <v>635</v>
      </c>
      <c r="AH230" s="75" t="s">
        <v>605</v>
      </c>
    </row>
    <row r="231" s="40" customFormat="1" spans="1:34">
      <c r="A231" s="1">
        <v>12107</v>
      </c>
      <c r="B231" s="1" t="s">
        <v>636</v>
      </c>
      <c r="C231" s="1" t="s">
        <v>591</v>
      </c>
      <c r="D231" s="1" t="s">
        <v>592</v>
      </c>
      <c r="E231" s="1" t="s">
        <v>593</v>
      </c>
      <c r="F231" s="1" t="s">
        <v>594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8" t="s">
        <v>595</v>
      </c>
      <c r="O231" s="72" t="s">
        <v>596</v>
      </c>
      <c r="P231" s="72" t="s">
        <v>637</v>
      </c>
      <c r="Q231" s="1">
        <v>1001007</v>
      </c>
      <c r="R231" s="1">
        <v>0</v>
      </c>
      <c r="S231" s="1" t="s">
        <v>207</v>
      </c>
      <c r="T231" s="1">
        <v>3</v>
      </c>
      <c r="U231" s="1" t="s">
        <v>598</v>
      </c>
      <c r="V231" s="1" t="s">
        <v>599</v>
      </c>
      <c r="W231" s="1" t="s">
        <v>600</v>
      </c>
      <c r="X231" s="1">
        <v>10</v>
      </c>
      <c r="Y231" s="1" t="s">
        <v>638</v>
      </c>
      <c r="Z231" s="1" t="s">
        <v>639</v>
      </c>
      <c r="AA231" s="1" t="s">
        <v>640</v>
      </c>
      <c r="AB231" s="1">
        <v>2</v>
      </c>
      <c r="AC231" s="73" t="b">
        <v>1</v>
      </c>
      <c r="AD231" s="40" t="b">
        <v>0</v>
      </c>
      <c r="AF231" s="74">
        <v>3</v>
      </c>
      <c r="AG231" s="75" t="s">
        <v>641</v>
      </c>
      <c r="AH231" s="75" t="s">
        <v>605</v>
      </c>
    </row>
    <row r="232" s="40" customFormat="1" spans="1:34">
      <c r="A232" s="1">
        <v>12108</v>
      </c>
      <c r="B232" s="1" t="s">
        <v>642</v>
      </c>
      <c r="C232" s="1" t="s">
        <v>591</v>
      </c>
      <c r="D232" s="1" t="s">
        <v>592</v>
      </c>
      <c r="E232" s="1" t="s">
        <v>593</v>
      </c>
      <c r="F232" s="1" t="s">
        <v>594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8" t="s">
        <v>595</v>
      </c>
      <c r="O232" s="72" t="s">
        <v>596</v>
      </c>
      <c r="P232" s="72" t="s">
        <v>643</v>
      </c>
      <c r="Q232" s="1">
        <v>1001008</v>
      </c>
      <c r="R232" s="1">
        <v>0</v>
      </c>
      <c r="S232" s="1" t="s">
        <v>207</v>
      </c>
      <c r="T232" s="1">
        <v>3</v>
      </c>
      <c r="U232" s="1" t="s">
        <v>598</v>
      </c>
      <c r="V232" s="1" t="s">
        <v>599</v>
      </c>
      <c r="W232" s="1" t="s">
        <v>600</v>
      </c>
      <c r="X232" s="1">
        <v>10</v>
      </c>
      <c r="Y232" s="1" t="s">
        <v>644</v>
      </c>
      <c r="Z232" s="1" t="s">
        <v>645</v>
      </c>
      <c r="AA232" s="1" t="s">
        <v>646</v>
      </c>
      <c r="AB232" s="1">
        <v>2</v>
      </c>
      <c r="AC232" s="73" t="b">
        <v>1</v>
      </c>
      <c r="AD232" s="40" t="b">
        <v>0</v>
      </c>
      <c r="AF232" s="74">
        <v>3</v>
      </c>
      <c r="AG232" s="75" t="s">
        <v>647</v>
      </c>
      <c r="AH232" s="75" t="s">
        <v>605</v>
      </c>
    </row>
    <row r="233" s="40" customFormat="1" spans="1:34">
      <c r="A233" s="1">
        <v>12109</v>
      </c>
      <c r="B233" s="1" t="s">
        <v>648</v>
      </c>
      <c r="C233" s="1" t="s">
        <v>591</v>
      </c>
      <c r="D233" s="1" t="s">
        <v>592</v>
      </c>
      <c r="E233" s="1" t="s">
        <v>593</v>
      </c>
      <c r="F233" s="1" t="s">
        <v>594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8" t="s">
        <v>595</v>
      </c>
      <c r="O233" s="72" t="s">
        <v>596</v>
      </c>
      <c r="P233" s="72" t="s">
        <v>649</v>
      </c>
      <c r="Q233" s="1">
        <v>1001009</v>
      </c>
      <c r="R233" s="1">
        <v>0</v>
      </c>
      <c r="S233" s="1" t="s">
        <v>207</v>
      </c>
      <c r="T233" s="1">
        <v>3</v>
      </c>
      <c r="U233" s="1" t="s">
        <v>598</v>
      </c>
      <c r="V233" s="1" t="s">
        <v>599</v>
      </c>
      <c r="W233" s="1" t="s">
        <v>600</v>
      </c>
      <c r="X233" s="1">
        <v>10</v>
      </c>
      <c r="Y233" s="1" t="s">
        <v>650</v>
      </c>
      <c r="Z233" s="1" t="s">
        <v>651</v>
      </c>
      <c r="AA233" s="1" t="s">
        <v>652</v>
      </c>
      <c r="AB233" s="1">
        <v>2</v>
      </c>
      <c r="AC233" s="73" t="b">
        <v>1</v>
      </c>
      <c r="AD233" s="40" t="b">
        <v>0</v>
      </c>
      <c r="AF233" s="74">
        <v>3</v>
      </c>
      <c r="AG233" s="75" t="s">
        <v>653</v>
      </c>
      <c r="AH233" s="75" t="s">
        <v>605</v>
      </c>
    </row>
    <row r="234" s="40" customFormat="1" spans="1:34">
      <c r="A234" s="1">
        <v>12110</v>
      </c>
      <c r="B234" s="1" t="s">
        <v>654</v>
      </c>
      <c r="C234" s="1" t="s">
        <v>591</v>
      </c>
      <c r="D234" s="1" t="s">
        <v>592</v>
      </c>
      <c r="E234" s="1" t="s">
        <v>593</v>
      </c>
      <c r="F234" s="1" t="s">
        <v>594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8" t="s">
        <v>595</v>
      </c>
      <c r="O234" s="72" t="s">
        <v>596</v>
      </c>
      <c r="P234" s="72" t="s">
        <v>655</v>
      </c>
      <c r="Q234" s="1">
        <v>1001010</v>
      </c>
      <c r="R234" s="1">
        <v>0</v>
      </c>
      <c r="S234" s="1" t="s">
        <v>207</v>
      </c>
      <c r="T234" s="1">
        <v>3</v>
      </c>
      <c r="U234" s="1" t="s">
        <v>598</v>
      </c>
      <c r="V234" s="1" t="s">
        <v>599</v>
      </c>
      <c r="W234" s="1" t="s">
        <v>600</v>
      </c>
      <c r="X234" s="1">
        <v>10</v>
      </c>
      <c r="Y234" s="1" t="s">
        <v>656</v>
      </c>
      <c r="Z234" s="1" t="s">
        <v>657</v>
      </c>
      <c r="AA234" s="1" t="s">
        <v>658</v>
      </c>
      <c r="AB234" s="1">
        <v>2</v>
      </c>
      <c r="AC234" s="73" t="b">
        <v>1</v>
      </c>
      <c r="AD234" s="40" t="b">
        <v>0</v>
      </c>
      <c r="AF234" s="74">
        <v>3</v>
      </c>
      <c r="AG234" s="75" t="s">
        <v>659</v>
      </c>
      <c r="AH234" s="75" t="s">
        <v>605</v>
      </c>
    </row>
    <row r="235" s="40" customFormat="1" spans="1:34">
      <c r="A235" s="1">
        <v>12111</v>
      </c>
      <c r="B235" s="1" t="s">
        <v>660</v>
      </c>
      <c r="C235" s="1" t="s">
        <v>591</v>
      </c>
      <c r="D235" s="1" t="s">
        <v>592</v>
      </c>
      <c r="E235" s="1" t="s">
        <v>593</v>
      </c>
      <c r="F235" s="1" t="s">
        <v>594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8" t="s">
        <v>595</v>
      </c>
      <c r="O235" s="72" t="s">
        <v>596</v>
      </c>
      <c r="P235" s="72" t="s">
        <v>661</v>
      </c>
      <c r="Q235" s="1">
        <v>1001011</v>
      </c>
      <c r="R235" s="1">
        <v>0</v>
      </c>
      <c r="S235" s="1" t="s">
        <v>207</v>
      </c>
      <c r="T235" s="1">
        <v>3</v>
      </c>
      <c r="U235" s="1" t="s">
        <v>598</v>
      </c>
      <c r="V235" s="1" t="s">
        <v>599</v>
      </c>
      <c r="W235" s="1" t="s">
        <v>600</v>
      </c>
      <c r="X235" s="1">
        <v>15</v>
      </c>
      <c r="Y235" s="1" t="s">
        <v>662</v>
      </c>
      <c r="Z235" s="1" t="s">
        <v>663</v>
      </c>
      <c r="AA235" s="1" t="s">
        <v>664</v>
      </c>
      <c r="AB235" s="1">
        <v>2</v>
      </c>
      <c r="AC235" s="73" t="b">
        <v>1</v>
      </c>
      <c r="AD235" s="40" t="b">
        <v>0</v>
      </c>
      <c r="AF235" s="74">
        <v>3</v>
      </c>
      <c r="AG235" s="75" t="s">
        <v>665</v>
      </c>
      <c r="AH235" s="75" t="s">
        <v>605</v>
      </c>
    </row>
    <row r="236" s="40" customFormat="1" spans="1:34">
      <c r="A236" s="1">
        <v>12112</v>
      </c>
      <c r="B236" s="1" t="s">
        <v>666</v>
      </c>
      <c r="C236" s="1" t="s">
        <v>591</v>
      </c>
      <c r="D236" s="1" t="s">
        <v>592</v>
      </c>
      <c r="E236" s="1" t="s">
        <v>593</v>
      </c>
      <c r="F236" s="1" t="s">
        <v>594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8" t="s">
        <v>595</v>
      </c>
      <c r="O236" s="72" t="s">
        <v>596</v>
      </c>
      <c r="P236" s="72" t="s">
        <v>667</v>
      </c>
      <c r="Q236" s="1">
        <v>1001012</v>
      </c>
      <c r="R236" s="1">
        <v>0</v>
      </c>
      <c r="S236" s="1" t="s">
        <v>207</v>
      </c>
      <c r="T236" s="1">
        <v>3</v>
      </c>
      <c r="U236" s="1" t="s">
        <v>598</v>
      </c>
      <c r="V236" s="1" t="s">
        <v>599</v>
      </c>
      <c r="W236" s="1" t="s">
        <v>600</v>
      </c>
      <c r="X236" s="1">
        <v>15</v>
      </c>
      <c r="Y236" s="1" t="s">
        <v>668</v>
      </c>
      <c r="Z236" s="1" t="s">
        <v>669</v>
      </c>
      <c r="AA236" s="1" t="s">
        <v>670</v>
      </c>
      <c r="AB236" s="1">
        <v>2</v>
      </c>
      <c r="AC236" s="73" t="b">
        <v>1</v>
      </c>
      <c r="AD236" s="40" t="b">
        <v>0</v>
      </c>
      <c r="AF236" s="74">
        <v>3</v>
      </c>
      <c r="AG236" s="75" t="s">
        <v>671</v>
      </c>
      <c r="AH236" s="75" t="s">
        <v>605</v>
      </c>
    </row>
    <row r="237" s="40" customFormat="1" spans="1:34">
      <c r="A237" s="1">
        <v>12113</v>
      </c>
      <c r="B237" s="1" t="s">
        <v>672</v>
      </c>
      <c r="C237" s="1" t="s">
        <v>591</v>
      </c>
      <c r="D237" s="1" t="s">
        <v>592</v>
      </c>
      <c r="E237" s="1" t="s">
        <v>593</v>
      </c>
      <c r="F237" s="1" t="s">
        <v>594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8" t="s">
        <v>595</v>
      </c>
      <c r="O237" s="72" t="s">
        <v>596</v>
      </c>
      <c r="P237" s="72" t="s">
        <v>673</v>
      </c>
      <c r="Q237" s="1">
        <v>1001013</v>
      </c>
      <c r="R237" s="1">
        <v>0</v>
      </c>
      <c r="S237" s="1" t="s">
        <v>207</v>
      </c>
      <c r="T237" s="1">
        <v>3</v>
      </c>
      <c r="U237" s="1" t="s">
        <v>598</v>
      </c>
      <c r="V237" s="1" t="s">
        <v>599</v>
      </c>
      <c r="W237" s="1" t="s">
        <v>600</v>
      </c>
      <c r="X237" s="1">
        <v>15</v>
      </c>
      <c r="Y237" s="1" t="s">
        <v>674</v>
      </c>
      <c r="Z237" s="1" t="s">
        <v>675</v>
      </c>
      <c r="AA237" s="1" t="s">
        <v>676</v>
      </c>
      <c r="AB237" s="1">
        <v>2</v>
      </c>
      <c r="AC237" s="73" t="b">
        <v>1</v>
      </c>
      <c r="AD237" s="40" t="b">
        <v>0</v>
      </c>
      <c r="AF237" s="74">
        <v>3</v>
      </c>
      <c r="AG237" s="75" t="s">
        <v>677</v>
      </c>
      <c r="AH237" s="75" t="s">
        <v>605</v>
      </c>
    </row>
    <row r="238" s="40" customFormat="1" spans="1:34">
      <c r="A238" s="1">
        <v>12114</v>
      </c>
      <c r="B238" s="1" t="s">
        <v>678</v>
      </c>
      <c r="C238" s="1" t="s">
        <v>591</v>
      </c>
      <c r="D238" s="1" t="s">
        <v>592</v>
      </c>
      <c r="E238" s="1" t="s">
        <v>593</v>
      </c>
      <c r="F238" s="1" t="s">
        <v>594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8" t="s">
        <v>595</v>
      </c>
      <c r="O238" s="72" t="s">
        <v>596</v>
      </c>
      <c r="P238" s="72" t="s">
        <v>679</v>
      </c>
      <c r="Q238" s="1">
        <v>1001014</v>
      </c>
      <c r="R238" s="1">
        <v>0</v>
      </c>
      <c r="S238" s="1" t="s">
        <v>207</v>
      </c>
      <c r="T238" s="1">
        <v>3</v>
      </c>
      <c r="U238" s="1" t="s">
        <v>598</v>
      </c>
      <c r="V238" s="1" t="s">
        <v>599</v>
      </c>
      <c r="W238" s="1" t="s">
        <v>600</v>
      </c>
      <c r="X238" s="1">
        <v>15</v>
      </c>
      <c r="Y238" s="1" t="s">
        <v>680</v>
      </c>
      <c r="Z238" s="1" t="s">
        <v>681</v>
      </c>
      <c r="AA238" s="1" t="s">
        <v>682</v>
      </c>
      <c r="AB238" s="1">
        <v>2</v>
      </c>
      <c r="AC238" s="73" t="b">
        <v>1</v>
      </c>
      <c r="AD238" s="40" t="b">
        <v>0</v>
      </c>
      <c r="AF238" s="74">
        <v>3</v>
      </c>
      <c r="AG238" s="75" t="s">
        <v>683</v>
      </c>
      <c r="AH238" s="75" t="s">
        <v>605</v>
      </c>
    </row>
    <row r="239" s="40" customFormat="1" spans="1:34">
      <c r="A239" s="1">
        <v>12115</v>
      </c>
      <c r="B239" s="1" t="s">
        <v>684</v>
      </c>
      <c r="C239" s="1" t="s">
        <v>591</v>
      </c>
      <c r="D239" s="1" t="s">
        <v>592</v>
      </c>
      <c r="E239" s="1" t="s">
        <v>593</v>
      </c>
      <c r="F239" s="1" t="s">
        <v>594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8" t="s">
        <v>595</v>
      </c>
      <c r="O239" s="72" t="s">
        <v>596</v>
      </c>
      <c r="P239" s="72" t="s">
        <v>685</v>
      </c>
      <c r="Q239" s="1">
        <v>1001015</v>
      </c>
      <c r="R239" s="1">
        <v>0</v>
      </c>
      <c r="S239" s="1" t="s">
        <v>207</v>
      </c>
      <c r="T239" s="1">
        <v>3</v>
      </c>
      <c r="U239" s="1" t="s">
        <v>598</v>
      </c>
      <c r="V239" s="1" t="s">
        <v>599</v>
      </c>
      <c r="W239" s="1" t="s">
        <v>600</v>
      </c>
      <c r="X239" s="1">
        <v>15</v>
      </c>
      <c r="Y239" s="1" t="s">
        <v>686</v>
      </c>
      <c r="Z239" s="1" t="s">
        <v>687</v>
      </c>
      <c r="AA239" s="1" t="s">
        <v>688</v>
      </c>
      <c r="AB239" s="1">
        <v>2</v>
      </c>
      <c r="AC239" s="73" t="b">
        <v>1</v>
      </c>
      <c r="AD239" s="40" t="b">
        <v>0</v>
      </c>
      <c r="AF239" s="74">
        <v>3</v>
      </c>
      <c r="AG239" s="75" t="s">
        <v>689</v>
      </c>
      <c r="AH239" s="75" t="s">
        <v>605</v>
      </c>
    </row>
    <row r="240" s="40" customFormat="1" spans="1:34">
      <c r="A240" s="1">
        <v>12116</v>
      </c>
      <c r="B240" s="1" t="s">
        <v>690</v>
      </c>
      <c r="C240" s="1" t="s">
        <v>591</v>
      </c>
      <c r="D240" s="1" t="s">
        <v>592</v>
      </c>
      <c r="E240" s="1" t="s">
        <v>593</v>
      </c>
      <c r="F240" s="1" t="s">
        <v>594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8" t="s">
        <v>595</v>
      </c>
      <c r="O240" s="72" t="s">
        <v>596</v>
      </c>
      <c r="P240" s="72" t="s">
        <v>691</v>
      </c>
      <c r="Q240" s="1">
        <v>1001016</v>
      </c>
      <c r="R240" s="1">
        <v>0</v>
      </c>
      <c r="S240" s="1" t="s">
        <v>207</v>
      </c>
      <c r="T240" s="1">
        <v>3</v>
      </c>
      <c r="U240" s="1" t="s">
        <v>598</v>
      </c>
      <c r="V240" s="1" t="s">
        <v>599</v>
      </c>
      <c r="W240" s="1" t="s">
        <v>692</v>
      </c>
      <c r="X240" s="1">
        <v>20</v>
      </c>
      <c r="Y240" s="1" t="s">
        <v>693</v>
      </c>
      <c r="Z240" s="1" t="s">
        <v>694</v>
      </c>
      <c r="AA240" s="1" t="s">
        <v>695</v>
      </c>
      <c r="AB240" s="1">
        <v>2</v>
      </c>
      <c r="AC240" s="73" t="b">
        <v>1</v>
      </c>
      <c r="AD240" s="40" t="b">
        <v>0</v>
      </c>
      <c r="AF240" s="74">
        <v>3</v>
      </c>
      <c r="AG240" s="75" t="s">
        <v>696</v>
      </c>
      <c r="AH240" s="75" t="s">
        <v>605</v>
      </c>
    </row>
    <row r="241" s="40" customFormat="1" spans="1:35">
      <c r="A241" s="1">
        <v>12117</v>
      </c>
      <c r="B241" s="1" t="s">
        <v>697</v>
      </c>
      <c r="C241" s="1" t="s">
        <v>591</v>
      </c>
      <c r="D241" s="1" t="s">
        <v>592</v>
      </c>
      <c r="E241" s="1" t="s">
        <v>593</v>
      </c>
      <c r="F241" s="1" t="s">
        <v>594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8" t="s">
        <v>595</v>
      </c>
      <c r="O241" s="72" t="s">
        <v>596</v>
      </c>
      <c r="P241" s="72" t="s">
        <v>698</v>
      </c>
      <c r="Q241" s="1">
        <v>1001017</v>
      </c>
      <c r="R241" s="1">
        <v>0</v>
      </c>
      <c r="S241" s="1" t="s">
        <v>207</v>
      </c>
      <c r="T241" s="1">
        <v>3</v>
      </c>
      <c r="U241" s="1" t="s">
        <v>598</v>
      </c>
      <c r="V241" s="1" t="s">
        <v>599</v>
      </c>
      <c r="W241" s="1" t="s">
        <v>692</v>
      </c>
      <c r="X241" s="1">
        <v>20</v>
      </c>
      <c r="Y241" s="1" t="s">
        <v>699</v>
      </c>
      <c r="Z241" s="1" t="s">
        <v>700</v>
      </c>
      <c r="AA241" s="1" t="s">
        <v>701</v>
      </c>
      <c r="AB241" s="1">
        <v>2</v>
      </c>
      <c r="AC241" s="73" t="b">
        <v>1</v>
      </c>
      <c r="AD241" s="40" t="b">
        <v>0</v>
      </c>
      <c r="AF241" s="74">
        <v>3</v>
      </c>
      <c r="AG241" s="75" t="s">
        <v>702</v>
      </c>
      <c r="AH241" s="75" t="s">
        <v>605</v>
      </c>
    </row>
    <row r="242" s="40" customFormat="1" spans="1:35">
      <c r="A242" s="1">
        <v>12118</v>
      </c>
      <c r="B242" s="1" t="s">
        <v>703</v>
      </c>
      <c r="C242" s="1" t="s">
        <v>591</v>
      </c>
      <c r="D242" s="1" t="s">
        <v>592</v>
      </c>
      <c r="E242" s="1" t="s">
        <v>593</v>
      </c>
      <c r="F242" s="1" t="s">
        <v>594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8" t="s">
        <v>595</v>
      </c>
      <c r="O242" s="72" t="s">
        <v>596</v>
      </c>
      <c r="P242" s="72" t="s">
        <v>704</v>
      </c>
      <c r="Q242" s="1">
        <v>1001018</v>
      </c>
      <c r="R242" s="1">
        <v>0</v>
      </c>
      <c r="S242" s="1" t="s">
        <v>207</v>
      </c>
      <c r="T242" s="1">
        <v>3</v>
      </c>
      <c r="U242" s="1" t="s">
        <v>598</v>
      </c>
      <c r="V242" s="1" t="s">
        <v>599</v>
      </c>
      <c r="W242" s="1" t="s">
        <v>692</v>
      </c>
      <c r="X242" s="1">
        <v>20</v>
      </c>
      <c r="Y242" s="1" t="s">
        <v>705</v>
      </c>
      <c r="Z242" s="1" t="s">
        <v>706</v>
      </c>
      <c r="AA242" s="1" t="s">
        <v>707</v>
      </c>
      <c r="AB242" s="1">
        <v>2</v>
      </c>
      <c r="AC242" s="73" t="b">
        <v>1</v>
      </c>
      <c r="AD242" s="40" t="b">
        <v>0</v>
      </c>
      <c r="AF242" s="74">
        <v>3</v>
      </c>
      <c r="AG242" s="75" t="s">
        <v>708</v>
      </c>
      <c r="AH242" s="75" t="s">
        <v>605</v>
      </c>
    </row>
    <row r="243" s="40" customFormat="1" spans="1:35">
      <c r="A243" s="1">
        <v>12119</v>
      </c>
      <c r="B243" s="1" t="s">
        <v>709</v>
      </c>
      <c r="C243" s="1" t="s">
        <v>591</v>
      </c>
      <c r="D243" s="1" t="s">
        <v>592</v>
      </c>
      <c r="E243" s="1" t="s">
        <v>593</v>
      </c>
      <c r="F243" s="1" t="s">
        <v>594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8" t="s">
        <v>595</v>
      </c>
      <c r="O243" s="72" t="s">
        <v>596</v>
      </c>
      <c r="P243" s="72" t="s">
        <v>710</v>
      </c>
      <c r="Q243" s="1">
        <v>1001019</v>
      </c>
      <c r="R243" s="1">
        <v>0</v>
      </c>
      <c r="S243" s="1" t="s">
        <v>207</v>
      </c>
      <c r="T243" s="1">
        <v>3</v>
      </c>
      <c r="U243" s="1" t="s">
        <v>598</v>
      </c>
      <c r="V243" s="1" t="s">
        <v>599</v>
      </c>
      <c r="W243" s="1" t="s">
        <v>692</v>
      </c>
      <c r="X243" s="1">
        <v>20</v>
      </c>
      <c r="Y243" s="1" t="s">
        <v>711</v>
      </c>
      <c r="Z243" s="1" t="s">
        <v>712</v>
      </c>
      <c r="AA243" s="1" t="s">
        <v>713</v>
      </c>
      <c r="AB243" s="1">
        <v>2</v>
      </c>
      <c r="AC243" s="73" t="b">
        <v>1</v>
      </c>
      <c r="AD243" s="40" t="b">
        <v>0</v>
      </c>
      <c r="AF243" s="74">
        <v>3</v>
      </c>
      <c r="AG243" s="75" t="s">
        <v>714</v>
      </c>
      <c r="AH243" s="75" t="s">
        <v>605</v>
      </c>
    </row>
    <row r="244" s="40" customFormat="1" spans="1:35">
      <c r="A244" s="1">
        <v>12120</v>
      </c>
      <c r="B244" s="1" t="s">
        <v>715</v>
      </c>
      <c r="C244" s="1" t="s">
        <v>591</v>
      </c>
      <c r="D244" s="1" t="s">
        <v>592</v>
      </c>
      <c r="E244" s="1" t="s">
        <v>593</v>
      </c>
      <c r="F244" s="1" t="s">
        <v>594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8" t="s">
        <v>595</v>
      </c>
      <c r="O244" s="72" t="s">
        <v>596</v>
      </c>
      <c r="P244" s="72" t="s">
        <v>716</v>
      </c>
      <c r="Q244" s="1">
        <v>1001020</v>
      </c>
      <c r="R244" s="1">
        <v>0</v>
      </c>
      <c r="S244" s="1" t="s">
        <v>207</v>
      </c>
      <c r="T244" s="1">
        <v>3</v>
      </c>
      <c r="U244" s="1" t="s">
        <v>598</v>
      </c>
      <c r="V244" s="1" t="s">
        <v>599</v>
      </c>
      <c r="W244" s="1" t="s">
        <v>692</v>
      </c>
      <c r="X244" s="1">
        <v>20</v>
      </c>
      <c r="Y244" s="1" t="s">
        <v>717</v>
      </c>
      <c r="Z244" s="1" t="s">
        <v>718</v>
      </c>
      <c r="AA244" s="1" t="s">
        <v>719</v>
      </c>
      <c r="AB244" s="1">
        <v>2</v>
      </c>
      <c r="AC244" s="73" t="b">
        <v>1</v>
      </c>
      <c r="AD244" s="40" t="b">
        <v>0</v>
      </c>
      <c r="AF244" s="74">
        <v>3</v>
      </c>
      <c r="AG244" s="75" t="s">
        <v>720</v>
      </c>
      <c r="AH244" s="75" t="s">
        <v>605</v>
      </c>
    </row>
    <row r="245" s="40" customFormat="1" spans="1:35">
      <c r="A245" s="1">
        <v>12121</v>
      </c>
      <c r="B245" s="1" t="s">
        <v>721</v>
      </c>
      <c r="C245" s="1" t="s">
        <v>591</v>
      </c>
      <c r="D245" s="1" t="s">
        <v>592</v>
      </c>
      <c r="E245" s="1" t="s">
        <v>593</v>
      </c>
      <c r="F245" s="1" t="s">
        <v>594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8" t="s">
        <v>595</v>
      </c>
      <c r="O245" s="72" t="s">
        <v>596</v>
      </c>
      <c r="P245" s="72" t="s">
        <v>722</v>
      </c>
      <c r="Q245" s="1">
        <v>1001021</v>
      </c>
      <c r="R245" s="1">
        <v>0</v>
      </c>
      <c r="S245" s="1" t="s">
        <v>207</v>
      </c>
      <c r="T245" s="1">
        <v>3</v>
      </c>
      <c r="U245" s="1" t="s">
        <v>598</v>
      </c>
      <c r="V245" s="1" t="s">
        <v>599</v>
      </c>
      <c r="W245" s="1" t="s">
        <v>692</v>
      </c>
      <c r="X245" s="1">
        <v>25</v>
      </c>
      <c r="Y245" s="1" t="s">
        <v>723</v>
      </c>
      <c r="Z245" s="1" t="s">
        <v>724</v>
      </c>
      <c r="AA245" s="1" t="s">
        <v>725</v>
      </c>
      <c r="AB245" s="1">
        <v>2</v>
      </c>
      <c r="AC245" s="73" t="b">
        <v>1</v>
      </c>
      <c r="AD245" s="40" t="b">
        <v>0</v>
      </c>
      <c r="AF245" s="74">
        <v>3</v>
      </c>
      <c r="AG245" s="75" t="s">
        <v>726</v>
      </c>
      <c r="AH245" s="75" t="s">
        <v>605</v>
      </c>
    </row>
    <row r="246" s="40" customFormat="1" spans="1:35">
      <c r="A246" s="1">
        <v>12122</v>
      </c>
      <c r="B246" s="1" t="s">
        <v>727</v>
      </c>
      <c r="C246" s="1" t="s">
        <v>591</v>
      </c>
      <c r="D246" s="1" t="s">
        <v>592</v>
      </c>
      <c r="E246" s="1" t="s">
        <v>593</v>
      </c>
      <c r="F246" s="1" t="s">
        <v>594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8" t="s">
        <v>595</v>
      </c>
      <c r="O246" s="72" t="s">
        <v>596</v>
      </c>
      <c r="P246" s="72" t="s">
        <v>728</v>
      </c>
      <c r="Q246" s="1">
        <v>1001022</v>
      </c>
      <c r="R246" s="1">
        <v>0</v>
      </c>
      <c r="S246" s="1" t="s">
        <v>207</v>
      </c>
      <c r="T246" s="1">
        <v>3</v>
      </c>
      <c r="U246" s="1" t="s">
        <v>598</v>
      </c>
      <c r="V246" s="1" t="s">
        <v>599</v>
      </c>
      <c r="W246" s="1" t="s">
        <v>692</v>
      </c>
      <c r="X246" s="1">
        <v>25</v>
      </c>
      <c r="Y246" s="1" t="s">
        <v>729</v>
      </c>
      <c r="Z246" s="1" t="s">
        <v>730</v>
      </c>
      <c r="AA246" s="1" t="s">
        <v>731</v>
      </c>
      <c r="AB246" s="1">
        <v>2</v>
      </c>
      <c r="AC246" s="73" t="b">
        <v>1</v>
      </c>
      <c r="AD246" s="40" t="b">
        <v>0</v>
      </c>
      <c r="AF246" s="74">
        <v>3</v>
      </c>
      <c r="AG246" s="75" t="s">
        <v>732</v>
      </c>
      <c r="AH246" s="75" t="s">
        <v>605</v>
      </c>
    </row>
    <row r="247" s="40" customFormat="1" spans="1:35">
      <c r="A247" s="1">
        <v>12123</v>
      </c>
      <c r="B247" s="1" t="s">
        <v>733</v>
      </c>
      <c r="C247" s="1" t="s">
        <v>591</v>
      </c>
      <c r="D247" s="1" t="s">
        <v>592</v>
      </c>
      <c r="E247" s="1" t="s">
        <v>593</v>
      </c>
      <c r="F247" s="1" t="s">
        <v>594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8" t="s">
        <v>595</v>
      </c>
      <c r="O247" s="72" t="s">
        <v>596</v>
      </c>
      <c r="P247" s="72" t="s">
        <v>734</v>
      </c>
      <c r="Q247" s="1">
        <v>1001023</v>
      </c>
      <c r="R247" s="1">
        <v>0</v>
      </c>
      <c r="S247" s="1" t="s">
        <v>207</v>
      </c>
      <c r="T247" s="1">
        <v>3</v>
      </c>
      <c r="U247" s="1" t="s">
        <v>598</v>
      </c>
      <c r="V247" s="1" t="s">
        <v>599</v>
      </c>
      <c r="W247" s="1" t="s">
        <v>692</v>
      </c>
      <c r="X247" s="1">
        <v>25</v>
      </c>
      <c r="Y247" s="1" t="s">
        <v>735</v>
      </c>
      <c r="Z247" s="1" t="s">
        <v>736</v>
      </c>
      <c r="AA247" s="1" t="s">
        <v>737</v>
      </c>
      <c r="AB247" s="1">
        <v>2</v>
      </c>
      <c r="AC247" s="73" t="b">
        <v>1</v>
      </c>
      <c r="AD247" s="40" t="b">
        <v>0</v>
      </c>
      <c r="AF247" s="74">
        <v>3</v>
      </c>
      <c r="AG247" s="75" t="s">
        <v>738</v>
      </c>
      <c r="AH247" s="75" t="s">
        <v>605</v>
      </c>
    </row>
    <row r="248" s="40" customFormat="1" spans="1:35">
      <c r="A248" s="1">
        <v>12124</v>
      </c>
      <c r="B248" s="1" t="s">
        <v>739</v>
      </c>
      <c r="C248" s="1" t="s">
        <v>591</v>
      </c>
      <c r="D248" s="1" t="s">
        <v>592</v>
      </c>
      <c r="E248" s="1" t="s">
        <v>593</v>
      </c>
      <c r="F248" s="1" t="s">
        <v>594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8" t="s">
        <v>595</v>
      </c>
      <c r="O248" s="72" t="s">
        <v>596</v>
      </c>
      <c r="P248" s="72" t="s">
        <v>740</v>
      </c>
      <c r="Q248" s="1">
        <v>1001024</v>
      </c>
      <c r="R248" s="1">
        <v>0</v>
      </c>
      <c r="S248" s="1" t="s">
        <v>207</v>
      </c>
      <c r="T248" s="1">
        <v>3</v>
      </c>
      <c r="U248" s="1" t="s">
        <v>598</v>
      </c>
      <c r="V248" s="1" t="s">
        <v>599</v>
      </c>
      <c r="W248" s="1" t="s">
        <v>692</v>
      </c>
      <c r="X248" s="1">
        <v>25</v>
      </c>
      <c r="Y248" s="1" t="s">
        <v>741</v>
      </c>
      <c r="Z248" s="1" t="s">
        <v>742</v>
      </c>
      <c r="AA248" s="1" t="s">
        <v>743</v>
      </c>
      <c r="AB248" s="1">
        <v>2</v>
      </c>
      <c r="AC248" s="73" t="b">
        <v>1</v>
      </c>
      <c r="AD248" s="40" t="b">
        <v>0</v>
      </c>
      <c r="AF248" s="74">
        <v>3</v>
      </c>
      <c r="AG248" s="75" t="s">
        <v>744</v>
      </c>
      <c r="AH248" s="75" t="s">
        <v>605</v>
      </c>
    </row>
    <row r="249" s="40" customFormat="1" spans="1:35">
      <c r="A249" s="1">
        <v>12125</v>
      </c>
      <c r="B249" s="1" t="s">
        <v>745</v>
      </c>
      <c r="C249" s="1" t="s">
        <v>591</v>
      </c>
      <c r="D249" s="1" t="s">
        <v>592</v>
      </c>
      <c r="E249" s="1" t="s">
        <v>593</v>
      </c>
      <c r="F249" s="1" t="s">
        <v>594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8" t="s">
        <v>595</v>
      </c>
      <c r="O249" s="72" t="s">
        <v>596</v>
      </c>
      <c r="P249" s="72" t="s">
        <v>746</v>
      </c>
      <c r="Q249" s="1">
        <v>1001025</v>
      </c>
      <c r="R249" s="1">
        <v>0</v>
      </c>
      <c r="S249" s="1" t="s">
        <v>207</v>
      </c>
      <c r="T249" s="1">
        <v>3</v>
      </c>
      <c r="U249" s="1" t="s">
        <v>598</v>
      </c>
      <c r="V249" s="1" t="s">
        <v>599</v>
      </c>
      <c r="W249" s="1" t="s">
        <v>692</v>
      </c>
      <c r="X249" s="1">
        <v>25</v>
      </c>
      <c r="Y249" s="1" t="s">
        <v>747</v>
      </c>
      <c r="Z249" s="1" t="s">
        <v>748</v>
      </c>
      <c r="AA249" s="1" t="s">
        <v>749</v>
      </c>
      <c r="AB249" s="1">
        <v>2</v>
      </c>
      <c r="AC249" s="73" t="b">
        <v>1</v>
      </c>
      <c r="AD249" s="40" t="b">
        <v>0</v>
      </c>
      <c r="AF249" s="74">
        <v>3</v>
      </c>
      <c r="AG249" s="75" t="s">
        <v>750</v>
      </c>
      <c r="AH249" s="75" t="s">
        <v>605</v>
      </c>
    </row>
    <row r="250" s="40" customFormat="1" spans="1:35">
      <c r="A250" s="1">
        <v>12126</v>
      </c>
      <c r="B250" s="1" t="s">
        <v>751</v>
      </c>
      <c r="C250" s="1" t="s">
        <v>591</v>
      </c>
      <c r="D250" s="1" t="s">
        <v>592</v>
      </c>
      <c r="E250" s="1" t="s">
        <v>593</v>
      </c>
      <c r="F250" s="1" t="s">
        <v>594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8" t="s">
        <v>595</v>
      </c>
      <c r="O250" s="72" t="s">
        <v>596</v>
      </c>
      <c r="P250" s="72" t="s">
        <v>752</v>
      </c>
      <c r="Q250" s="1">
        <v>1001026</v>
      </c>
      <c r="R250" s="1">
        <v>0</v>
      </c>
      <c r="S250" s="1" t="s">
        <v>207</v>
      </c>
      <c r="T250" s="1">
        <v>3</v>
      </c>
      <c r="U250" s="1" t="s">
        <v>598</v>
      </c>
      <c r="V250" s="1" t="s">
        <v>599</v>
      </c>
      <c r="W250" s="1" t="s">
        <v>692</v>
      </c>
      <c r="X250" s="1">
        <v>30</v>
      </c>
      <c r="Y250" s="1" t="s">
        <v>753</v>
      </c>
      <c r="Z250" s="1" t="s">
        <v>754</v>
      </c>
      <c r="AA250" s="1" t="s">
        <v>755</v>
      </c>
      <c r="AB250" s="1">
        <v>2</v>
      </c>
      <c r="AC250" s="73" t="b">
        <v>1</v>
      </c>
      <c r="AD250" s="40" t="b">
        <v>0</v>
      </c>
      <c r="AF250" s="74">
        <v>3</v>
      </c>
      <c r="AG250" s="75" t="s">
        <v>756</v>
      </c>
      <c r="AH250" s="75" t="s">
        <v>605</v>
      </c>
    </row>
    <row r="251" s="40" customFormat="1" spans="1:35">
      <c r="A251" s="1">
        <v>12127</v>
      </c>
      <c r="B251" s="1" t="s">
        <v>757</v>
      </c>
      <c r="C251" s="1" t="s">
        <v>591</v>
      </c>
      <c r="D251" s="1" t="s">
        <v>592</v>
      </c>
      <c r="E251" s="1" t="s">
        <v>593</v>
      </c>
      <c r="F251" s="1" t="s">
        <v>594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8" t="s">
        <v>595</v>
      </c>
      <c r="O251" s="72" t="s">
        <v>596</v>
      </c>
      <c r="P251" s="72" t="s">
        <v>758</v>
      </c>
      <c r="Q251" s="1">
        <v>1001027</v>
      </c>
      <c r="R251" s="1">
        <v>0</v>
      </c>
      <c r="S251" s="1" t="s">
        <v>207</v>
      </c>
      <c r="T251" s="1">
        <v>3</v>
      </c>
      <c r="U251" s="1" t="s">
        <v>598</v>
      </c>
      <c r="V251" s="1" t="s">
        <v>599</v>
      </c>
      <c r="W251" s="1" t="s">
        <v>692</v>
      </c>
      <c r="X251" s="1">
        <v>30</v>
      </c>
      <c r="Y251" s="1" t="s">
        <v>759</v>
      </c>
      <c r="Z251" s="1" t="s">
        <v>760</v>
      </c>
      <c r="AA251" s="1" t="s">
        <v>761</v>
      </c>
      <c r="AB251" s="1">
        <v>2</v>
      </c>
      <c r="AC251" s="73" t="b">
        <v>1</v>
      </c>
      <c r="AD251" s="40" t="b">
        <v>0</v>
      </c>
      <c r="AF251" s="74">
        <v>3</v>
      </c>
      <c r="AG251" s="75" t="s">
        <v>762</v>
      </c>
      <c r="AH251" s="75" t="s">
        <v>605</v>
      </c>
    </row>
    <row r="252" s="40" customFormat="1" spans="1:35">
      <c r="A252" s="1">
        <v>12128</v>
      </c>
      <c r="B252" s="1" t="s">
        <v>763</v>
      </c>
      <c r="C252" s="1" t="s">
        <v>591</v>
      </c>
      <c r="D252" s="1" t="s">
        <v>592</v>
      </c>
      <c r="E252" s="1" t="s">
        <v>593</v>
      </c>
      <c r="F252" s="1" t="s">
        <v>594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8" t="s">
        <v>595</v>
      </c>
      <c r="O252" s="72" t="s">
        <v>596</v>
      </c>
      <c r="P252" s="72" t="s">
        <v>764</v>
      </c>
      <c r="Q252" s="1">
        <v>1001028</v>
      </c>
      <c r="R252" s="1">
        <v>0</v>
      </c>
      <c r="S252" s="1" t="s">
        <v>207</v>
      </c>
      <c r="T252" s="1">
        <v>3</v>
      </c>
      <c r="U252" s="1" t="s">
        <v>598</v>
      </c>
      <c r="V252" s="1" t="s">
        <v>599</v>
      </c>
      <c r="W252" s="1" t="s">
        <v>692</v>
      </c>
      <c r="X252" s="1">
        <v>30</v>
      </c>
      <c r="Y252" s="1" t="s">
        <v>765</v>
      </c>
      <c r="Z252" s="1" t="s">
        <v>766</v>
      </c>
      <c r="AA252" s="1" t="s">
        <v>767</v>
      </c>
      <c r="AB252" s="1">
        <v>2</v>
      </c>
      <c r="AC252" s="73" t="b">
        <v>1</v>
      </c>
      <c r="AD252" s="40" t="b">
        <v>0</v>
      </c>
      <c r="AF252" s="74">
        <v>3</v>
      </c>
      <c r="AG252" s="75" t="s">
        <v>768</v>
      </c>
      <c r="AH252" s="75" t="s">
        <v>605</v>
      </c>
    </row>
    <row r="253" s="40" customFormat="1" spans="1:35">
      <c r="A253" s="1">
        <v>12129</v>
      </c>
      <c r="B253" s="1" t="s">
        <v>769</v>
      </c>
      <c r="C253" s="1" t="s">
        <v>591</v>
      </c>
      <c r="D253" s="1" t="s">
        <v>592</v>
      </c>
      <c r="E253" s="1" t="s">
        <v>593</v>
      </c>
      <c r="F253" s="1" t="s">
        <v>594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8" t="s">
        <v>595</v>
      </c>
      <c r="O253" s="72" t="s">
        <v>596</v>
      </c>
      <c r="P253" s="72" t="s">
        <v>770</v>
      </c>
      <c r="Q253" s="1">
        <v>1001029</v>
      </c>
      <c r="R253" s="1">
        <v>0</v>
      </c>
      <c r="S253" s="1" t="s">
        <v>207</v>
      </c>
      <c r="T253" s="1">
        <v>3</v>
      </c>
      <c r="U253" s="1" t="s">
        <v>598</v>
      </c>
      <c r="V253" s="1" t="s">
        <v>599</v>
      </c>
      <c r="W253" s="1" t="s">
        <v>692</v>
      </c>
      <c r="X253" s="1">
        <v>30</v>
      </c>
      <c r="Y253" s="1" t="s">
        <v>771</v>
      </c>
      <c r="Z253" s="1" t="s">
        <v>772</v>
      </c>
      <c r="AA253" s="1" t="s">
        <v>773</v>
      </c>
      <c r="AB253" s="1">
        <v>2</v>
      </c>
      <c r="AC253" s="73" t="b">
        <v>1</v>
      </c>
      <c r="AD253" s="40" t="b">
        <v>0</v>
      </c>
      <c r="AF253" s="74">
        <v>3</v>
      </c>
      <c r="AG253" s="75" t="s">
        <v>774</v>
      </c>
      <c r="AH253" s="75" t="s">
        <v>605</v>
      </c>
    </row>
    <row r="254" s="40" customFormat="1" spans="1:35">
      <c r="A254" s="1">
        <v>12130</v>
      </c>
      <c r="B254" s="1" t="s">
        <v>775</v>
      </c>
      <c r="C254" s="1" t="s">
        <v>591</v>
      </c>
      <c r="D254" s="1" t="s">
        <v>592</v>
      </c>
      <c r="E254" s="1" t="s">
        <v>593</v>
      </c>
      <c r="F254" s="1" t="s">
        <v>594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8" t="s">
        <v>595</v>
      </c>
      <c r="O254" s="72" t="s">
        <v>596</v>
      </c>
      <c r="P254" s="72" t="s">
        <v>776</v>
      </c>
      <c r="Q254" s="1">
        <v>1001030</v>
      </c>
      <c r="R254" s="1">
        <v>0</v>
      </c>
      <c r="S254" s="1" t="s">
        <v>207</v>
      </c>
      <c r="T254" s="1">
        <v>3</v>
      </c>
      <c r="U254" s="1" t="s">
        <v>598</v>
      </c>
      <c r="V254" s="1" t="s">
        <v>599</v>
      </c>
      <c r="W254" s="1" t="s">
        <v>692</v>
      </c>
      <c r="X254" s="1">
        <v>30</v>
      </c>
      <c r="Y254" s="1" t="s">
        <v>777</v>
      </c>
      <c r="Z254" s="1" t="s">
        <v>778</v>
      </c>
      <c r="AA254" s="1" t="s">
        <v>779</v>
      </c>
      <c r="AB254" s="1">
        <v>2</v>
      </c>
      <c r="AC254" s="73" t="b">
        <v>1</v>
      </c>
      <c r="AD254" s="40" t="b">
        <v>0</v>
      </c>
      <c r="AF254" s="74">
        <v>3</v>
      </c>
      <c r="AG254" s="75" t="s">
        <v>780</v>
      </c>
      <c r="AH254" s="75" t="s">
        <v>605</v>
      </c>
    </row>
    <row r="255" s="42" customFormat="1" spans="1:35">
      <c r="A255" s="79">
        <v>13101</v>
      </c>
      <c r="B255" s="79" t="s">
        <v>781</v>
      </c>
      <c r="C255" s="79" t="s">
        <v>782</v>
      </c>
      <c r="D255" s="79" t="s">
        <v>783</v>
      </c>
      <c r="E255" s="79" t="s">
        <v>782</v>
      </c>
      <c r="F255" s="79" t="s">
        <v>783</v>
      </c>
      <c r="G255" s="79">
        <v>3</v>
      </c>
      <c r="H255" s="79">
        <v>1</v>
      </c>
      <c r="I255" s="79">
        <v>1</v>
      </c>
      <c r="J255" s="79">
        <v>1</v>
      </c>
      <c r="K255" s="79">
        <v>1740375</v>
      </c>
      <c r="L255" s="79">
        <v>3600</v>
      </c>
      <c r="M255" s="79">
        <v>3001</v>
      </c>
      <c r="N255" s="79" t="s">
        <v>784</v>
      </c>
      <c r="O255" s="80"/>
      <c r="P255" s="80"/>
      <c r="Q255" s="79">
        <v>1000075</v>
      </c>
      <c r="R255" s="79">
        <v>0</v>
      </c>
      <c r="S255" s="79" t="s">
        <v>207</v>
      </c>
      <c r="T255" s="79">
        <v>4</v>
      </c>
      <c r="U255" s="79" t="s">
        <v>785</v>
      </c>
      <c r="V255" s="81" t="s">
        <v>786</v>
      </c>
      <c r="W255" s="79" t="s">
        <v>787</v>
      </c>
      <c r="X255" s="79">
        <v>0</v>
      </c>
      <c r="Y255" s="79" t="s">
        <v>788</v>
      </c>
      <c r="Z255" s="79" t="s">
        <v>789</v>
      </c>
      <c r="AA255" s="79" t="s">
        <v>790</v>
      </c>
      <c r="AB255" s="81">
        <v>1</v>
      </c>
      <c r="AC255" s="82" t="b">
        <v>0</v>
      </c>
      <c r="AD255" s="42" t="b">
        <v>1</v>
      </c>
      <c r="AE255" s="42">
        <v>1</v>
      </c>
      <c r="AF255" s="83">
        <v>5</v>
      </c>
      <c r="AG255" s="84" t="s">
        <v>647</v>
      </c>
      <c r="AH255" s="84" t="s">
        <v>791</v>
      </c>
      <c r="AI255" s="40"/>
    </row>
    <row r="256" s="40" customFormat="1" spans="1:35">
      <c r="A256" s="12">
        <v>12201</v>
      </c>
      <c r="B256" s="12" t="s">
        <v>792</v>
      </c>
      <c r="C256" s="12" t="s">
        <v>793</v>
      </c>
      <c r="D256" s="12" t="s">
        <v>794</v>
      </c>
      <c r="E256" s="12" t="s">
        <v>795</v>
      </c>
      <c r="F256" s="12" t="s">
        <v>796</v>
      </c>
      <c r="G256" s="85">
        <v>2</v>
      </c>
      <c r="H256" s="85">
        <v>2</v>
      </c>
      <c r="I256" s="85">
        <v>2</v>
      </c>
      <c r="J256" s="85">
        <v>1</v>
      </c>
      <c r="K256" s="1">
        <v>136734</v>
      </c>
      <c r="L256" s="85">
        <v>600</v>
      </c>
      <c r="M256" s="85">
        <v>2001</v>
      </c>
      <c r="N256" s="85" t="s">
        <v>595</v>
      </c>
      <c r="O256" s="86" t="s">
        <v>596</v>
      </c>
      <c r="P256" s="85" t="s">
        <v>797</v>
      </c>
      <c r="Q256" s="87">
        <v>1003001</v>
      </c>
      <c r="R256" s="85">
        <v>0</v>
      </c>
      <c r="S256" s="85" t="s">
        <v>207</v>
      </c>
      <c r="T256" s="85">
        <v>3</v>
      </c>
      <c r="U256" s="85" t="s">
        <v>798</v>
      </c>
      <c r="V256" s="1"/>
      <c r="W256" s="85" t="s">
        <v>799</v>
      </c>
      <c r="X256" s="1">
        <v>5</v>
      </c>
      <c r="Y256" s="1" t="s">
        <v>601</v>
      </c>
      <c r="Z256" s="1" t="s">
        <v>602</v>
      </c>
      <c r="AA256" s="1" t="s">
        <v>603</v>
      </c>
      <c r="AB256" s="1">
        <v>2</v>
      </c>
      <c r="AC256" s="73" t="b">
        <v>1</v>
      </c>
      <c r="AD256" s="40" t="b">
        <v>0</v>
      </c>
      <c r="AF256" s="74">
        <v>4</v>
      </c>
      <c r="AG256" s="75" t="s">
        <v>604</v>
      </c>
      <c r="AH256" s="75" t="s">
        <v>605</v>
      </c>
    </row>
    <row r="257" s="40" customFormat="1" spans="1:34">
      <c r="A257" s="12">
        <v>12202</v>
      </c>
      <c r="B257" s="12" t="s">
        <v>800</v>
      </c>
      <c r="C257" s="12" t="s">
        <v>793</v>
      </c>
      <c r="D257" s="12" t="s">
        <v>794</v>
      </c>
      <c r="E257" s="12" t="s">
        <v>795</v>
      </c>
      <c r="F257" s="12" t="s">
        <v>796</v>
      </c>
      <c r="G257" s="85">
        <v>2</v>
      </c>
      <c r="H257" s="85">
        <v>2</v>
      </c>
      <c r="I257" s="85">
        <v>2</v>
      </c>
      <c r="J257" s="85">
        <v>2</v>
      </c>
      <c r="K257" s="1">
        <v>189545</v>
      </c>
      <c r="L257" s="85">
        <v>600</v>
      </c>
      <c r="M257" s="85">
        <v>2002</v>
      </c>
      <c r="N257" s="85" t="s">
        <v>595</v>
      </c>
      <c r="O257" s="86" t="s">
        <v>596</v>
      </c>
      <c r="P257" s="85" t="s">
        <v>801</v>
      </c>
      <c r="Q257" s="87">
        <v>1003002</v>
      </c>
      <c r="R257" s="85">
        <v>0</v>
      </c>
      <c r="S257" s="85" t="s">
        <v>207</v>
      </c>
      <c r="T257" s="85">
        <v>3</v>
      </c>
      <c r="U257" s="85" t="s">
        <v>798</v>
      </c>
      <c r="V257" s="1"/>
      <c r="W257" s="85" t="s">
        <v>799</v>
      </c>
      <c r="X257" s="1">
        <v>5</v>
      </c>
      <c r="Y257" s="1" t="s">
        <v>608</v>
      </c>
      <c r="Z257" s="1" t="s">
        <v>609</v>
      </c>
      <c r="AA257" s="1" t="s">
        <v>610</v>
      </c>
      <c r="AB257" s="1">
        <v>2</v>
      </c>
      <c r="AC257" s="73" t="b">
        <v>1</v>
      </c>
      <c r="AD257" s="40" t="b">
        <v>0</v>
      </c>
      <c r="AF257" s="74">
        <v>4</v>
      </c>
      <c r="AG257" s="75" t="s">
        <v>611</v>
      </c>
      <c r="AH257" s="75" t="s">
        <v>605</v>
      </c>
    </row>
    <row r="258" s="40" customFormat="1" spans="1:34">
      <c r="A258" s="12">
        <v>12203</v>
      </c>
      <c r="B258" s="12" t="s">
        <v>802</v>
      </c>
      <c r="C258" s="12" t="s">
        <v>793</v>
      </c>
      <c r="D258" s="12" t="s">
        <v>794</v>
      </c>
      <c r="E258" s="12" t="s">
        <v>795</v>
      </c>
      <c r="F258" s="12" t="s">
        <v>796</v>
      </c>
      <c r="G258" s="85">
        <v>2</v>
      </c>
      <c r="H258" s="85">
        <v>2</v>
      </c>
      <c r="I258" s="85">
        <v>2</v>
      </c>
      <c r="J258" s="85">
        <v>3</v>
      </c>
      <c r="K258" s="1">
        <v>256027</v>
      </c>
      <c r="L258" s="85">
        <v>600</v>
      </c>
      <c r="M258" s="85">
        <v>2003</v>
      </c>
      <c r="N258" s="85" t="s">
        <v>595</v>
      </c>
      <c r="O258" s="86" t="s">
        <v>596</v>
      </c>
      <c r="P258" s="85" t="s">
        <v>803</v>
      </c>
      <c r="Q258" s="87">
        <v>1003003</v>
      </c>
      <c r="R258" s="85">
        <v>0</v>
      </c>
      <c r="S258" s="85" t="s">
        <v>207</v>
      </c>
      <c r="T258" s="85">
        <v>3</v>
      </c>
      <c r="U258" s="85" t="s">
        <v>798</v>
      </c>
      <c r="V258" s="1"/>
      <c r="W258" s="85" t="s">
        <v>799</v>
      </c>
      <c r="X258" s="1">
        <v>5</v>
      </c>
      <c r="Y258" s="1" t="s">
        <v>614</v>
      </c>
      <c r="Z258" s="1" t="s">
        <v>615</v>
      </c>
      <c r="AA258" s="1" t="s">
        <v>616</v>
      </c>
      <c r="AB258" s="1">
        <v>2</v>
      </c>
      <c r="AC258" s="73" t="b">
        <v>1</v>
      </c>
      <c r="AD258" s="40" t="b">
        <v>0</v>
      </c>
      <c r="AF258" s="74">
        <v>4</v>
      </c>
      <c r="AG258" s="75" t="s">
        <v>617</v>
      </c>
      <c r="AH258" s="75" t="s">
        <v>605</v>
      </c>
    </row>
    <row r="259" s="40" customFormat="1" spans="1:34">
      <c r="A259" s="12">
        <v>12204</v>
      </c>
      <c r="B259" s="12" t="s">
        <v>804</v>
      </c>
      <c r="C259" s="12" t="s">
        <v>793</v>
      </c>
      <c r="D259" s="12" t="s">
        <v>794</v>
      </c>
      <c r="E259" s="12" t="s">
        <v>795</v>
      </c>
      <c r="F259" s="12" t="s">
        <v>796</v>
      </c>
      <c r="G259" s="85">
        <v>2</v>
      </c>
      <c r="H259" s="85">
        <v>2</v>
      </c>
      <c r="I259" s="85">
        <v>2</v>
      </c>
      <c r="J259" s="85">
        <v>4</v>
      </c>
      <c r="K259" s="1">
        <v>322773</v>
      </c>
      <c r="L259" s="85">
        <v>600</v>
      </c>
      <c r="M259" s="85">
        <v>2004</v>
      </c>
      <c r="N259" s="85" t="s">
        <v>595</v>
      </c>
      <c r="O259" s="86" t="s">
        <v>596</v>
      </c>
      <c r="P259" s="85" t="s">
        <v>805</v>
      </c>
      <c r="Q259" s="87">
        <v>1003004</v>
      </c>
      <c r="R259" s="85">
        <v>0</v>
      </c>
      <c r="S259" s="85" t="s">
        <v>207</v>
      </c>
      <c r="T259" s="85">
        <v>3</v>
      </c>
      <c r="U259" s="85" t="s">
        <v>798</v>
      </c>
      <c r="V259" s="1"/>
      <c r="W259" s="85" t="s">
        <v>799</v>
      </c>
      <c r="X259" s="1">
        <v>5</v>
      </c>
      <c r="Y259" s="1" t="s">
        <v>620</v>
      </c>
      <c r="Z259" s="1" t="s">
        <v>621</v>
      </c>
      <c r="AA259" s="1" t="s">
        <v>622</v>
      </c>
      <c r="AB259" s="1">
        <v>2</v>
      </c>
      <c r="AC259" s="73" t="b">
        <v>1</v>
      </c>
      <c r="AD259" s="40" t="b">
        <v>0</v>
      </c>
      <c r="AF259" s="74">
        <v>4</v>
      </c>
      <c r="AG259" s="75" t="s">
        <v>623</v>
      </c>
      <c r="AH259" s="75" t="s">
        <v>605</v>
      </c>
    </row>
    <row r="260" s="40" customFormat="1" spans="1:34">
      <c r="A260" s="12">
        <v>12205</v>
      </c>
      <c r="B260" s="12" t="s">
        <v>806</v>
      </c>
      <c r="C260" s="12" t="s">
        <v>793</v>
      </c>
      <c r="D260" s="12" t="s">
        <v>794</v>
      </c>
      <c r="E260" s="12" t="s">
        <v>795</v>
      </c>
      <c r="F260" s="12" t="s">
        <v>796</v>
      </c>
      <c r="G260" s="85">
        <v>2</v>
      </c>
      <c r="H260" s="85">
        <v>2</v>
      </c>
      <c r="I260" s="85">
        <v>2</v>
      </c>
      <c r="J260" s="85">
        <v>5</v>
      </c>
      <c r="K260" s="1">
        <v>425920</v>
      </c>
      <c r="L260" s="85">
        <v>600</v>
      </c>
      <c r="M260" s="85">
        <v>2005</v>
      </c>
      <c r="N260" s="85" t="s">
        <v>595</v>
      </c>
      <c r="O260" s="86" t="s">
        <v>596</v>
      </c>
      <c r="P260" s="85" t="s">
        <v>807</v>
      </c>
      <c r="Q260" s="87">
        <v>1003005</v>
      </c>
      <c r="R260" s="85">
        <v>0</v>
      </c>
      <c r="S260" s="85" t="s">
        <v>207</v>
      </c>
      <c r="T260" s="85">
        <v>3</v>
      </c>
      <c r="U260" s="85" t="s">
        <v>798</v>
      </c>
      <c r="V260" s="1"/>
      <c r="W260" s="85" t="s">
        <v>799</v>
      </c>
      <c r="X260" s="1">
        <v>5</v>
      </c>
      <c r="Y260" s="1" t="s">
        <v>626</v>
      </c>
      <c r="Z260" s="1" t="s">
        <v>627</v>
      </c>
      <c r="AA260" s="1" t="s">
        <v>628</v>
      </c>
      <c r="AB260" s="1">
        <v>2</v>
      </c>
      <c r="AC260" s="73" t="b">
        <v>1</v>
      </c>
      <c r="AD260" s="40" t="b">
        <v>0</v>
      </c>
      <c r="AF260" s="74">
        <v>4</v>
      </c>
      <c r="AG260" s="75" t="s">
        <v>629</v>
      </c>
      <c r="AH260" s="75" t="s">
        <v>605</v>
      </c>
    </row>
    <row r="261" s="40" customFormat="1" spans="1:34">
      <c r="A261" s="12">
        <v>12206</v>
      </c>
      <c r="B261" s="12" t="s">
        <v>808</v>
      </c>
      <c r="C261" s="12" t="s">
        <v>793</v>
      </c>
      <c r="D261" s="12" t="s">
        <v>794</v>
      </c>
      <c r="E261" s="12" t="s">
        <v>795</v>
      </c>
      <c r="F261" s="12" t="s">
        <v>796</v>
      </c>
      <c r="G261" s="85">
        <v>2</v>
      </c>
      <c r="H261" s="85">
        <v>2</v>
      </c>
      <c r="I261" s="85">
        <v>2</v>
      </c>
      <c r="J261" s="85">
        <v>6</v>
      </c>
      <c r="K261" s="1">
        <v>554320</v>
      </c>
      <c r="L261" s="85">
        <v>600</v>
      </c>
      <c r="M261" s="85">
        <v>2006</v>
      </c>
      <c r="N261" s="85" t="s">
        <v>595</v>
      </c>
      <c r="O261" s="86" t="s">
        <v>596</v>
      </c>
      <c r="P261" s="85" t="s">
        <v>809</v>
      </c>
      <c r="Q261" s="87">
        <v>1003006</v>
      </c>
      <c r="R261" s="85">
        <v>0</v>
      </c>
      <c r="S261" s="85" t="s">
        <v>207</v>
      </c>
      <c r="T261" s="85">
        <v>3</v>
      </c>
      <c r="U261" s="85" t="s">
        <v>798</v>
      </c>
      <c r="V261" s="1"/>
      <c r="W261" s="85" t="s">
        <v>799</v>
      </c>
      <c r="X261" s="1">
        <v>10</v>
      </c>
      <c r="Y261" s="1" t="s">
        <v>632</v>
      </c>
      <c r="Z261" s="1" t="s">
        <v>633</v>
      </c>
      <c r="AA261" s="1" t="s">
        <v>634</v>
      </c>
      <c r="AB261" s="1">
        <v>2</v>
      </c>
      <c r="AC261" s="73" t="b">
        <v>1</v>
      </c>
      <c r="AD261" s="40" t="b">
        <v>0</v>
      </c>
      <c r="AF261" s="74">
        <v>4</v>
      </c>
      <c r="AG261" s="75" t="s">
        <v>635</v>
      </c>
      <c r="AH261" s="75" t="s">
        <v>605</v>
      </c>
    </row>
    <row r="262" s="40" customFormat="1" spans="1:34">
      <c r="A262" s="12">
        <v>12207</v>
      </c>
      <c r="B262" s="12" t="s">
        <v>810</v>
      </c>
      <c r="C262" s="12" t="s">
        <v>793</v>
      </c>
      <c r="D262" s="12" t="s">
        <v>794</v>
      </c>
      <c r="E262" s="12" t="s">
        <v>795</v>
      </c>
      <c r="F262" s="12" t="s">
        <v>796</v>
      </c>
      <c r="G262" s="85">
        <v>2</v>
      </c>
      <c r="H262" s="85">
        <v>2</v>
      </c>
      <c r="I262" s="85">
        <v>2</v>
      </c>
      <c r="J262" s="85">
        <v>7</v>
      </c>
      <c r="K262" s="1">
        <v>662362</v>
      </c>
      <c r="L262" s="85">
        <v>600</v>
      </c>
      <c r="M262" s="85">
        <v>2007</v>
      </c>
      <c r="N262" s="85" t="s">
        <v>595</v>
      </c>
      <c r="O262" s="86" t="s">
        <v>596</v>
      </c>
      <c r="P262" s="85" t="s">
        <v>811</v>
      </c>
      <c r="Q262" s="87">
        <v>1003007</v>
      </c>
      <c r="R262" s="85">
        <v>0</v>
      </c>
      <c r="S262" s="85" t="s">
        <v>207</v>
      </c>
      <c r="T262" s="85">
        <v>3</v>
      </c>
      <c r="U262" s="85" t="s">
        <v>798</v>
      </c>
      <c r="V262" s="1"/>
      <c r="W262" s="85" t="s">
        <v>799</v>
      </c>
      <c r="X262" s="1">
        <v>10</v>
      </c>
      <c r="Y262" s="1" t="s">
        <v>638</v>
      </c>
      <c r="Z262" s="1" t="s">
        <v>639</v>
      </c>
      <c r="AA262" s="1" t="s">
        <v>640</v>
      </c>
      <c r="AB262" s="1">
        <v>2</v>
      </c>
      <c r="AC262" s="73" t="b">
        <v>1</v>
      </c>
      <c r="AD262" s="40" t="b">
        <v>0</v>
      </c>
      <c r="AF262" s="74">
        <v>4</v>
      </c>
      <c r="AG262" s="75" t="s">
        <v>641</v>
      </c>
      <c r="AH262" s="75" t="s">
        <v>605</v>
      </c>
    </row>
    <row r="263" s="40" customFormat="1" spans="1:34">
      <c r="A263" s="12">
        <v>12208</v>
      </c>
      <c r="B263" s="12" t="s">
        <v>812</v>
      </c>
      <c r="C263" s="12" t="s">
        <v>793</v>
      </c>
      <c r="D263" s="12" t="s">
        <v>794</v>
      </c>
      <c r="E263" s="12" t="s">
        <v>795</v>
      </c>
      <c r="F263" s="12" t="s">
        <v>796</v>
      </c>
      <c r="G263" s="85">
        <v>2</v>
      </c>
      <c r="H263" s="85">
        <v>2</v>
      </c>
      <c r="I263" s="85">
        <v>2</v>
      </c>
      <c r="J263" s="85">
        <v>8</v>
      </c>
      <c r="K263" s="1">
        <v>862125</v>
      </c>
      <c r="L263" s="85">
        <v>600</v>
      </c>
      <c r="M263" s="85">
        <v>2008</v>
      </c>
      <c r="N263" s="85" t="s">
        <v>595</v>
      </c>
      <c r="O263" s="86" t="s">
        <v>596</v>
      </c>
      <c r="P263" s="85" t="s">
        <v>813</v>
      </c>
      <c r="Q263" s="87">
        <v>1003008</v>
      </c>
      <c r="R263" s="85">
        <v>0</v>
      </c>
      <c r="S263" s="85" t="s">
        <v>207</v>
      </c>
      <c r="T263" s="85">
        <v>3</v>
      </c>
      <c r="U263" s="85" t="s">
        <v>798</v>
      </c>
      <c r="V263" s="1"/>
      <c r="W263" s="85" t="s">
        <v>799</v>
      </c>
      <c r="X263" s="1">
        <v>10</v>
      </c>
      <c r="Y263" s="1" t="s">
        <v>644</v>
      </c>
      <c r="Z263" s="1" t="s">
        <v>645</v>
      </c>
      <c r="AA263" s="1" t="s">
        <v>646</v>
      </c>
      <c r="AB263" s="1">
        <v>2</v>
      </c>
      <c r="AC263" s="73" t="b">
        <v>1</v>
      </c>
      <c r="AD263" s="40" t="b">
        <v>0</v>
      </c>
      <c r="AF263" s="74">
        <v>4</v>
      </c>
      <c r="AG263" s="75" t="s">
        <v>647</v>
      </c>
      <c r="AH263" s="75" t="s">
        <v>605</v>
      </c>
    </row>
    <row r="264" s="40" customFormat="1" spans="1:34">
      <c r="A264" s="12">
        <v>12209</v>
      </c>
      <c r="B264" s="12" t="s">
        <v>814</v>
      </c>
      <c r="C264" s="12" t="s">
        <v>793</v>
      </c>
      <c r="D264" s="12" t="s">
        <v>794</v>
      </c>
      <c r="E264" s="12" t="s">
        <v>795</v>
      </c>
      <c r="F264" s="12" t="s">
        <v>796</v>
      </c>
      <c r="G264" s="85">
        <v>2</v>
      </c>
      <c r="H264" s="85">
        <v>2</v>
      </c>
      <c r="I264" s="85">
        <v>2</v>
      </c>
      <c r="J264" s="85">
        <v>9</v>
      </c>
      <c r="K264" s="1">
        <v>996081</v>
      </c>
      <c r="L264" s="85">
        <v>600</v>
      </c>
      <c r="M264" s="85">
        <v>2009</v>
      </c>
      <c r="N264" s="85" t="s">
        <v>595</v>
      </c>
      <c r="O264" s="86" t="s">
        <v>596</v>
      </c>
      <c r="P264" s="85" t="s">
        <v>815</v>
      </c>
      <c r="Q264" s="87">
        <v>1003009</v>
      </c>
      <c r="R264" s="85">
        <v>0</v>
      </c>
      <c r="S264" s="85" t="s">
        <v>207</v>
      </c>
      <c r="T264" s="85">
        <v>3</v>
      </c>
      <c r="U264" s="85" t="s">
        <v>798</v>
      </c>
      <c r="V264" s="1"/>
      <c r="W264" s="85" t="s">
        <v>799</v>
      </c>
      <c r="X264" s="1">
        <v>10</v>
      </c>
      <c r="Y264" s="1" t="s">
        <v>650</v>
      </c>
      <c r="Z264" s="1" t="s">
        <v>651</v>
      </c>
      <c r="AA264" s="1" t="s">
        <v>652</v>
      </c>
      <c r="AB264" s="1">
        <v>2</v>
      </c>
      <c r="AC264" s="73" t="b">
        <v>1</v>
      </c>
      <c r="AD264" s="40" t="b">
        <v>0</v>
      </c>
      <c r="AF264" s="74">
        <v>4</v>
      </c>
      <c r="AG264" s="75" t="s">
        <v>653</v>
      </c>
      <c r="AH264" s="75" t="s">
        <v>605</v>
      </c>
    </row>
    <row r="265" s="40" customFormat="1" spans="1:34">
      <c r="A265" s="12">
        <v>12210</v>
      </c>
      <c r="B265" s="12" t="s">
        <v>816</v>
      </c>
      <c r="C265" s="12" t="s">
        <v>793</v>
      </c>
      <c r="D265" s="12" t="s">
        <v>794</v>
      </c>
      <c r="E265" s="12" t="s">
        <v>795</v>
      </c>
      <c r="F265" s="12" t="s">
        <v>796</v>
      </c>
      <c r="G265" s="85">
        <v>2</v>
      </c>
      <c r="H265" s="85">
        <v>2</v>
      </c>
      <c r="I265" s="85">
        <v>2</v>
      </c>
      <c r="J265" s="85">
        <v>10</v>
      </c>
      <c r="K265" s="1">
        <v>1132640</v>
      </c>
      <c r="L265" s="85">
        <v>600</v>
      </c>
      <c r="M265" s="85">
        <v>2010</v>
      </c>
      <c r="N265" s="85" t="s">
        <v>595</v>
      </c>
      <c r="O265" s="86" t="s">
        <v>596</v>
      </c>
      <c r="P265" s="85" t="s">
        <v>817</v>
      </c>
      <c r="Q265" s="87">
        <v>1003010</v>
      </c>
      <c r="R265" s="85">
        <v>0</v>
      </c>
      <c r="S265" s="85" t="s">
        <v>207</v>
      </c>
      <c r="T265" s="85">
        <v>3</v>
      </c>
      <c r="U265" s="85" t="s">
        <v>798</v>
      </c>
      <c r="V265" s="85"/>
      <c r="W265" s="85" t="s">
        <v>799</v>
      </c>
      <c r="X265" s="1">
        <v>10</v>
      </c>
      <c r="Y265" s="1" t="s">
        <v>656</v>
      </c>
      <c r="Z265" s="1" t="s">
        <v>657</v>
      </c>
      <c r="AA265" s="1" t="s">
        <v>658</v>
      </c>
      <c r="AB265" s="1">
        <v>2</v>
      </c>
      <c r="AC265" s="73" t="b">
        <v>1</v>
      </c>
      <c r="AD265" s="40" t="b">
        <v>0</v>
      </c>
      <c r="AF265" s="74">
        <v>4</v>
      </c>
      <c r="AG265" s="75" t="s">
        <v>659</v>
      </c>
      <c r="AH265" s="75" t="s">
        <v>605</v>
      </c>
    </row>
    <row r="266" s="40" customFormat="1" spans="1:34">
      <c r="A266" s="12">
        <v>12211</v>
      </c>
      <c r="B266" s="12" t="s">
        <v>818</v>
      </c>
      <c r="C266" s="12" t="s">
        <v>793</v>
      </c>
      <c r="D266" s="12" t="s">
        <v>794</v>
      </c>
      <c r="E266" s="12" t="s">
        <v>795</v>
      </c>
      <c r="F266" s="12" t="s">
        <v>796</v>
      </c>
      <c r="G266" s="85">
        <v>2</v>
      </c>
      <c r="H266" s="85">
        <v>2</v>
      </c>
      <c r="I266" s="85">
        <v>2</v>
      </c>
      <c r="J266" s="85">
        <v>11</v>
      </c>
      <c r="K266" s="1">
        <v>1307753</v>
      </c>
      <c r="L266" s="85">
        <v>600</v>
      </c>
      <c r="M266" s="85">
        <v>2011</v>
      </c>
      <c r="N266" s="85" t="s">
        <v>595</v>
      </c>
      <c r="O266" s="86" t="s">
        <v>596</v>
      </c>
      <c r="P266" s="85" t="s">
        <v>819</v>
      </c>
      <c r="Q266" s="87">
        <v>1003011</v>
      </c>
      <c r="R266" s="85">
        <v>0</v>
      </c>
      <c r="S266" s="85" t="s">
        <v>207</v>
      </c>
      <c r="T266" s="85">
        <v>3</v>
      </c>
      <c r="U266" s="85" t="s">
        <v>798</v>
      </c>
      <c r="V266" s="1"/>
      <c r="W266" s="85" t="s">
        <v>799</v>
      </c>
      <c r="X266" s="1">
        <v>15</v>
      </c>
      <c r="Y266" s="1" t="s">
        <v>662</v>
      </c>
      <c r="Z266" s="1" t="s">
        <v>663</v>
      </c>
      <c r="AA266" s="1" t="s">
        <v>664</v>
      </c>
      <c r="AB266" s="1">
        <v>2</v>
      </c>
      <c r="AC266" s="73" t="b">
        <v>1</v>
      </c>
      <c r="AD266" s="40" t="b">
        <v>0</v>
      </c>
      <c r="AF266" s="74">
        <v>4</v>
      </c>
      <c r="AG266" s="75" t="s">
        <v>665</v>
      </c>
      <c r="AH266" s="75" t="s">
        <v>605</v>
      </c>
    </row>
    <row r="267" s="40" customFormat="1" spans="1:34">
      <c r="A267" s="12">
        <v>12212</v>
      </c>
      <c r="B267" s="12" t="s">
        <v>820</v>
      </c>
      <c r="C267" s="12" t="s">
        <v>793</v>
      </c>
      <c r="D267" s="12" t="s">
        <v>794</v>
      </c>
      <c r="E267" s="12" t="s">
        <v>795</v>
      </c>
      <c r="F267" s="12" t="s">
        <v>796</v>
      </c>
      <c r="G267" s="85">
        <v>2</v>
      </c>
      <c r="H267" s="85">
        <v>2</v>
      </c>
      <c r="I267" s="85">
        <v>2</v>
      </c>
      <c r="J267" s="85">
        <v>12</v>
      </c>
      <c r="K267" s="1">
        <v>1586378</v>
      </c>
      <c r="L267" s="85">
        <v>600</v>
      </c>
      <c r="M267" s="85">
        <v>2012</v>
      </c>
      <c r="N267" s="85" t="s">
        <v>595</v>
      </c>
      <c r="O267" s="86" t="s">
        <v>596</v>
      </c>
      <c r="P267" s="85" t="s">
        <v>821</v>
      </c>
      <c r="Q267" s="87">
        <v>1003012</v>
      </c>
      <c r="R267" s="85">
        <v>0</v>
      </c>
      <c r="S267" s="85" t="s">
        <v>207</v>
      </c>
      <c r="T267" s="85">
        <v>3</v>
      </c>
      <c r="U267" s="85" t="s">
        <v>798</v>
      </c>
      <c r="V267" s="1"/>
      <c r="W267" s="85" t="s">
        <v>799</v>
      </c>
      <c r="X267" s="1">
        <v>15</v>
      </c>
      <c r="Y267" s="1" t="s">
        <v>668</v>
      </c>
      <c r="Z267" s="1" t="s">
        <v>669</v>
      </c>
      <c r="AA267" s="1" t="s">
        <v>670</v>
      </c>
      <c r="AB267" s="1">
        <v>2</v>
      </c>
      <c r="AC267" s="73" t="b">
        <v>1</v>
      </c>
      <c r="AD267" s="40" t="b">
        <v>0</v>
      </c>
      <c r="AF267" s="74">
        <v>4</v>
      </c>
      <c r="AG267" s="75" t="s">
        <v>671</v>
      </c>
      <c r="AH267" s="75" t="s">
        <v>605</v>
      </c>
    </row>
    <row r="268" s="40" customFormat="1" spans="1:34">
      <c r="A268" s="12">
        <v>12213</v>
      </c>
      <c r="B268" s="12" t="s">
        <v>822</v>
      </c>
      <c r="C268" s="12" t="s">
        <v>793</v>
      </c>
      <c r="D268" s="12" t="s">
        <v>794</v>
      </c>
      <c r="E268" s="12" t="s">
        <v>795</v>
      </c>
      <c r="F268" s="12" t="s">
        <v>796</v>
      </c>
      <c r="G268" s="85">
        <v>2</v>
      </c>
      <c r="H268" s="85">
        <v>2</v>
      </c>
      <c r="I268" s="85">
        <v>2</v>
      </c>
      <c r="J268" s="85">
        <v>13</v>
      </c>
      <c r="K268" s="1">
        <v>2008046</v>
      </c>
      <c r="L268" s="85">
        <v>600</v>
      </c>
      <c r="M268" s="85">
        <v>2013</v>
      </c>
      <c r="N268" s="85" t="s">
        <v>595</v>
      </c>
      <c r="O268" s="86" t="s">
        <v>596</v>
      </c>
      <c r="P268" s="85" t="s">
        <v>823</v>
      </c>
      <c r="Q268" s="87">
        <v>1003013</v>
      </c>
      <c r="R268" s="85">
        <v>0</v>
      </c>
      <c r="S268" s="85" t="s">
        <v>207</v>
      </c>
      <c r="T268" s="85">
        <v>3</v>
      </c>
      <c r="U268" s="85" t="s">
        <v>798</v>
      </c>
      <c r="V268" s="1"/>
      <c r="W268" s="85" t="s">
        <v>799</v>
      </c>
      <c r="X268" s="1">
        <v>15</v>
      </c>
      <c r="Y268" s="1" t="s">
        <v>674</v>
      </c>
      <c r="Z268" s="1" t="s">
        <v>675</v>
      </c>
      <c r="AA268" s="1" t="s">
        <v>676</v>
      </c>
      <c r="AB268" s="1">
        <v>2</v>
      </c>
      <c r="AC268" s="73" t="b">
        <v>1</v>
      </c>
      <c r="AD268" s="40" t="b">
        <v>0</v>
      </c>
      <c r="AF268" s="74">
        <v>4</v>
      </c>
      <c r="AG268" s="75" t="s">
        <v>677</v>
      </c>
      <c r="AH268" s="75" t="s">
        <v>605</v>
      </c>
    </row>
    <row r="269" s="40" customFormat="1" spans="1:34">
      <c r="A269" s="12">
        <v>12214</v>
      </c>
      <c r="B269" s="12" t="s">
        <v>824</v>
      </c>
      <c r="C269" s="12" t="s">
        <v>793</v>
      </c>
      <c r="D269" s="12" t="s">
        <v>794</v>
      </c>
      <c r="E269" s="12" t="s">
        <v>795</v>
      </c>
      <c r="F269" s="12" t="s">
        <v>796</v>
      </c>
      <c r="G269" s="85">
        <v>2</v>
      </c>
      <c r="H269" s="85">
        <v>2</v>
      </c>
      <c r="I269" s="85">
        <v>2</v>
      </c>
      <c r="J269" s="85">
        <v>14</v>
      </c>
      <c r="K269" s="1">
        <v>2378005</v>
      </c>
      <c r="L269" s="85">
        <v>600</v>
      </c>
      <c r="M269" s="85">
        <v>2014</v>
      </c>
      <c r="N269" s="85" t="s">
        <v>595</v>
      </c>
      <c r="O269" s="86" t="s">
        <v>596</v>
      </c>
      <c r="P269" s="85" t="s">
        <v>825</v>
      </c>
      <c r="Q269" s="87">
        <v>1003014</v>
      </c>
      <c r="R269" s="85">
        <v>0</v>
      </c>
      <c r="S269" s="85" t="s">
        <v>207</v>
      </c>
      <c r="T269" s="85">
        <v>3</v>
      </c>
      <c r="U269" s="85" t="s">
        <v>798</v>
      </c>
      <c r="V269" s="1"/>
      <c r="W269" s="85" t="s">
        <v>799</v>
      </c>
      <c r="X269" s="1">
        <v>15</v>
      </c>
      <c r="Y269" s="1" t="s">
        <v>680</v>
      </c>
      <c r="Z269" s="1" t="s">
        <v>681</v>
      </c>
      <c r="AA269" s="1" t="s">
        <v>682</v>
      </c>
      <c r="AB269" s="1">
        <v>2</v>
      </c>
      <c r="AC269" s="73" t="b">
        <v>1</v>
      </c>
      <c r="AD269" s="40" t="b">
        <v>0</v>
      </c>
      <c r="AF269" s="74">
        <v>4</v>
      </c>
      <c r="AG269" s="75" t="s">
        <v>683</v>
      </c>
      <c r="AH269" s="75" t="s">
        <v>605</v>
      </c>
    </row>
    <row r="270" s="40" customFormat="1" spans="1:34">
      <c r="A270" s="12">
        <v>12215</v>
      </c>
      <c r="B270" s="12" t="s">
        <v>826</v>
      </c>
      <c r="C270" s="12" t="s">
        <v>793</v>
      </c>
      <c r="D270" s="12" t="s">
        <v>794</v>
      </c>
      <c r="E270" s="12" t="s">
        <v>795</v>
      </c>
      <c r="F270" s="12" t="s">
        <v>796</v>
      </c>
      <c r="G270" s="85">
        <v>2</v>
      </c>
      <c r="H270" s="85">
        <v>2</v>
      </c>
      <c r="I270" s="85">
        <v>2</v>
      </c>
      <c r="J270" s="85">
        <v>15</v>
      </c>
      <c r="K270" s="1">
        <v>2844706</v>
      </c>
      <c r="L270" s="85">
        <v>600</v>
      </c>
      <c r="M270" s="85">
        <v>2015</v>
      </c>
      <c r="N270" s="85" t="s">
        <v>595</v>
      </c>
      <c r="O270" s="86" t="s">
        <v>596</v>
      </c>
      <c r="P270" s="85" t="s">
        <v>827</v>
      </c>
      <c r="Q270" s="87">
        <v>1003015</v>
      </c>
      <c r="R270" s="85">
        <v>0</v>
      </c>
      <c r="S270" s="85" t="s">
        <v>207</v>
      </c>
      <c r="T270" s="85">
        <v>3</v>
      </c>
      <c r="U270" s="85" t="s">
        <v>798</v>
      </c>
      <c r="V270" s="1"/>
      <c r="W270" s="85" t="s">
        <v>799</v>
      </c>
      <c r="X270" s="1">
        <v>15</v>
      </c>
      <c r="Y270" s="1" t="s">
        <v>686</v>
      </c>
      <c r="Z270" s="1" t="s">
        <v>687</v>
      </c>
      <c r="AA270" s="1" t="s">
        <v>688</v>
      </c>
      <c r="AB270" s="1">
        <v>2</v>
      </c>
      <c r="AC270" s="73" t="b">
        <v>1</v>
      </c>
      <c r="AD270" s="40" t="b">
        <v>0</v>
      </c>
      <c r="AF270" s="74">
        <v>4</v>
      </c>
      <c r="AG270" s="75" t="s">
        <v>689</v>
      </c>
      <c r="AH270" s="75" t="s">
        <v>605</v>
      </c>
    </row>
    <row r="271" s="40" customFormat="1" spans="1:34">
      <c r="A271" s="12">
        <v>12216</v>
      </c>
      <c r="B271" s="12" t="s">
        <v>828</v>
      </c>
      <c r="C271" s="12" t="s">
        <v>793</v>
      </c>
      <c r="D271" s="12" t="s">
        <v>794</v>
      </c>
      <c r="E271" s="12" t="s">
        <v>795</v>
      </c>
      <c r="F271" s="12" t="s">
        <v>796</v>
      </c>
      <c r="G271" s="85">
        <v>2</v>
      </c>
      <c r="H271" s="85">
        <v>2</v>
      </c>
      <c r="I271" s="85">
        <v>2</v>
      </c>
      <c r="J271" s="85">
        <v>16</v>
      </c>
      <c r="K271" s="1">
        <v>3460325</v>
      </c>
      <c r="L271" s="85">
        <v>600</v>
      </c>
      <c r="M271" s="85">
        <v>2016</v>
      </c>
      <c r="N271" s="85" t="s">
        <v>595</v>
      </c>
      <c r="O271" s="86" t="s">
        <v>596</v>
      </c>
      <c r="P271" s="85" t="s">
        <v>829</v>
      </c>
      <c r="Q271" s="87">
        <v>1003016</v>
      </c>
      <c r="R271" s="85">
        <v>0</v>
      </c>
      <c r="S271" s="85" t="s">
        <v>207</v>
      </c>
      <c r="T271" s="85">
        <v>3</v>
      </c>
      <c r="U271" s="85" t="s">
        <v>798</v>
      </c>
      <c r="V271" s="1"/>
      <c r="W271" s="85" t="s">
        <v>830</v>
      </c>
      <c r="X271" s="1">
        <v>20</v>
      </c>
      <c r="Y271" s="1" t="s">
        <v>693</v>
      </c>
      <c r="Z271" s="1" t="s">
        <v>694</v>
      </c>
      <c r="AA271" s="1" t="s">
        <v>695</v>
      </c>
      <c r="AB271" s="1">
        <v>2</v>
      </c>
      <c r="AC271" s="73" t="b">
        <v>1</v>
      </c>
      <c r="AD271" s="40" t="b">
        <v>0</v>
      </c>
      <c r="AF271" s="74">
        <v>4</v>
      </c>
      <c r="AG271" s="75" t="s">
        <v>696</v>
      </c>
      <c r="AH271" s="75" t="s">
        <v>605</v>
      </c>
    </row>
    <row r="272" s="40" customFormat="1" spans="1:34">
      <c r="A272" s="12">
        <v>12217</v>
      </c>
      <c r="B272" s="12" t="s">
        <v>831</v>
      </c>
      <c r="C272" s="12" t="s">
        <v>793</v>
      </c>
      <c r="D272" s="12" t="s">
        <v>794</v>
      </c>
      <c r="E272" s="12" t="s">
        <v>795</v>
      </c>
      <c r="F272" s="12" t="s">
        <v>796</v>
      </c>
      <c r="G272" s="85">
        <v>2</v>
      </c>
      <c r="H272" s="85">
        <v>2</v>
      </c>
      <c r="I272" s="85">
        <v>2</v>
      </c>
      <c r="J272" s="85">
        <v>17</v>
      </c>
      <c r="K272" s="1">
        <v>4200949</v>
      </c>
      <c r="L272" s="85">
        <v>600</v>
      </c>
      <c r="M272" s="85">
        <v>2017</v>
      </c>
      <c r="N272" s="85" t="s">
        <v>595</v>
      </c>
      <c r="O272" s="86" t="s">
        <v>596</v>
      </c>
      <c r="P272" s="85" t="s">
        <v>832</v>
      </c>
      <c r="Q272" s="87">
        <v>1003017</v>
      </c>
      <c r="R272" s="85">
        <v>0</v>
      </c>
      <c r="S272" s="85" t="s">
        <v>207</v>
      </c>
      <c r="T272" s="85">
        <v>3</v>
      </c>
      <c r="U272" s="85" t="s">
        <v>798</v>
      </c>
      <c r="V272" s="1"/>
      <c r="W272" s="85" t="s">
        <v>830</v>
      </c>
      <c r="X272" s="1">
        <v>20</v>
      </c>
      <c r="Y272" s="1" t="s">
        <v>699</v>
      </c>
      <c r="Z272" s="1" t="s">
        <v>700</v>
      </c>
      <c r="AA272" s="1" t="s">
        <v>701</v>
      </c>
      <c r="AB272" s="1">
        <v>2</v>
      </c>
      <c r="AC272" s="73" t="b">
        <v>1</v>
      </c>
      <c r="AD272" s="40" t="b">
        <v>0</v>
      </c>
      <c r="AF272" s="74">
        <v>4</v>
      </c>
      <c r="AG272" s="75" t="s">
        <v>702</v>
      </c>
      <c r="AH272" s="75" t="s">
        <v>605</v>
      </c>
    </row>
    <row r="273" s="40" customFormat="1" spans="1:35">
      <c r="A273" s="12">
        <v>12218</v>
      </c>
      <c r="B273" s="12" t="s">
        <v>833</v>
      </c>
      <c r="C273" s="12" t="s">
        <v>793</v>
      </c>
      <c r="D273" s="12" t="s">
        <v>794</v>
      </c>
      <c r="E273" s="12" t="s">
        <v>795</v>
      </c>
      <c r="F273" s="12" t="s">
        <v>796</v>
      </c>
      <c r="G273" s="85">
        <v>2</v>
      </c>
      <c r="H273" s="85">
        <v>2</v>
      </c>
      <c r="I273" s="85">
        <v>2</v>
      </c>
      <c r="J273" s="85">
        <v>18</v>
      </c>
      <c r="K273" s="1">
        <v>5000516</v>
      </c>
      <c r="L273" s="85">
        <v>600</v>
      </c>
      <c r="M273" s="85">
        <v>2018</v>
      </c>
      <c r="N273" s="85" t="s">
        <v>595</v>
      </c>
      <c r="O273" s="86" t="s">
        <v>596</v>
      </c>
      <c r="P273" s="85" t="s">
        <v>834</v>
      </c>
      <c r="Q273" s="87">
        <v>1003018</v>
      </c>
      <c r="R273" s="85">
        <v>0</v>
      </c>
      <c r="S273" s="85" t="s">
        <v>207</v>
      </c>
      <c r="T273" s="85">
        <v>3</v>
      </c>
      <c r="U273" s="85" t="s">
        <v>798</v>
      </c>
      <c r="V273" s="1"/>
      <c r="W273" s="85" t="s">
        <v>830</v>
      </c>
      <c r="X273" s="1">
        <v>20</v>
      </c>
      <c r="Y273" s="1" t="s">
        <v>705</v>
      </c>
      <c r="Z273" s="1" t="s">
        <v>706</v>
      </c>
      <c r="AA273" s="1" t="s">
        <v>707</v>
      </c>
      <c r="AB273" s="1">
        <v>2</v>
      </c>
      <c r="AC273" s="73" t="b">
        <v>1</v>
      </c>
      <c r="AD273" s="40" t="b">
        <v>0</v>
      </c>
      <c r="AF273" s="74">
        <v>4</v>
      </c>
      <c r="AG273" s="75" t="s">
        <v>708</v>
      </c>
      <c r="AH273" s="75" t="s">
        <v>605</v>
      </c>
    </row>
    <row r="274" s="40" customFormat="1" spans="1:35">
      <c r="A274" s="12">
        <v>12219</v>
      </c>
      <c r="B274" s="12" t="s">
        <v>835</v>
      </c>
      <c r="C274" s="12" t="s">
        <v>793</v>
      </c>
      <c r="D274" s="12" t="s">
        <v>794</v>
      </c>
      <c r="E274" s="12" t="s">
        <v>795</v>
      </c>
      <c r="F274" s="12" t="s">
        <v>796</v>
      </c>
      <c r="G274" s="85">
        <v>2</v>
      </c>
      <c r="H274" s="85">
        <v>2</v>
      </c>
      <c r="I274" s="85">
        <v>2</v>
      </c>
      <c r="J274" s="85">
        <v>19</v>
      </c>
      <c r="K274" s="1">
        <v>5920655</v>
      </c>
      <c r="L274" s="85">
        <v>600</v>
      </c>
      <c r="M274" s="85">
        <v>2019</v>
      </c>
      <c r="N274" s="85" t="s">
        <v>595</v>
      </c>
      <c r="O274" s="86" t="s">
        <v>596</v>
      </c>
      <c r="P274" s="85" t="s">
        <v>836</v>
      </c>
      <c r="Q274" s="87">
        <v>1003019</v>
      </c>
      <c r="R274" s="85">
        <v>0</v>
      </c>
      <c r="S274" s="85" t="s">
        <v>207</v>
      </c>
      <c r="T274" s="85">
        <v>3</v>
      </c>
      <c r="U274" s="85" t="s">
        <v>798</v>
      </c>
      <c r="V274" s="1"/>
      <c r="W274" s="85" t="s">
        <v>830</v>
      </c>
      <c r="X274" s="1">
        <v>20</v>
      </c>
      <c r="Y274" s="1" t="s">
        <v>711</v>
      </c>
      <c r="Z274" s="1" t="s">
        <v>712</v>
      </c>
      <c r="AA274" s="1" t="s">
        <v>713</v>
      </c>
      <c r="AB274" s="1">
        <v>2</v>
      </c>
      <c r="AC274" s="73" t="b">
        <v>1</v>
      </c>
      <c r="AD274" s="40" t="b">
        <v>0</v>
      </c>
      <c r="AF274" s="74">
        <v>4</v>
      </c>
      <c r="AG274" s="75" t="s">
        <v>714</v>
      </c>
      <c r="AH274" s="75" t="s">
        <v>605</v>
      </c>
    </row>
    <row r="275" s="40" customFormat="1" spans="1:35">
      <c r="A275" s="12">
        <v>12220</v>
      </c>
      <c r="B275" s="12" t="s">
        <v>837</v>
      </c>
      <c r="C275" s="12" t="s">
        <v>793</v>
      </c>
      <c r="D275" s="12" t="s">
        <v>794</v>
      </c>
      <c r="E275" s="12" t="s">
        <v>795</v>
      </c>
      <c r="F275" s="12" t="s">
        <v>796</v>
      </c>
      <c r="G275" s="85">
        <v>2</v>
      </c>
      <c r="H275" s="85">
        <v>2</v>
      </c>
      <c r="I275" s="85">
        <v>2</v>
      </c>
      <c r="J275" s="85">
        <v>20</v>
      </c>
      <c r="K275" s="1">
        <v>7272415</v>
      </c>
      <c r="L275" s="85">
        <v>600</v>
      </c>
      <c r="M275" s="85">
        <v>2020</v>
      </c>
      <c r="N275" s="85" t="s">
        <v>595</v>
      </c>
      <c r="O275" s="86" t="s">
        <v>596</v>
      </c>
      <c r="P275" s="85" t="s">
        <v>838</v>
      </c>
      <c r="Q275" s="87">
        <v>1003020</v>
      </c>
      <c r="R275" s="85">
        <v>0</v>
      </c>
      <c r="S275" s="85" t="s">
        <v>207</v>
      </c>
      <c r="T275" s="85">
        <v>3</v>
      </c>
      <c r="U275" s="85" t="s">
        <v>798</v>
      </c>
      <c r="V275" s="85"/>
      <c r="W275" s="85" t="s">
        <v>830</v>
      </c>
      <c r="X275" s="1">
        <v>20</v>
      </c>
      <c r="Y275" s="1" t="s">
        <v>717</v>
      </c>
      <c r="Z275" s="1" t="s">
        <v>718</v>
      </c>
      <c r="AA275" s="1" t="s">
        <v>719</v>
      </c>
      <c r="AB275" s="1">
        <v>2</v>
      </c>
      <c r="AC275" s="73" t="b">
        <v>1</v>
      </c>
      <c r="AD275" s="40" t="b">
        <v>0</v>
      </c>
      <c r="AF275" s="74">
        <v>4</v>
      </c>
      <c r="AG275" s="75" t="s">
        <v>720</v>
      </c>
      <c r="AH275" s="75" t="s">
        <v>605</v>
      </c>
    </row>
    <row r="276" s="40" customFormat="1" spans="1:35">
      <c r="A276" s="12">
        <v>12221</v>
      </c>
      <c r="B276" s="12" t="s">
        <v>839</v>
      </c>
      <c r="C276" s="12" t="s">
        <v>793</v>
      </c>
      <c r="D276" s="12" t="s">
        <v>794</v>
      </c>
      <c r="E276" s="12" t="s">
        <v>795</v>
      </c>
      <c r="F276" s="12" t="s">
        <v>796</v>
      </c>
      <c r="G276" s="85">
        <v>2</v>
      </c>
      <c r="H276" s="85">
        <v>2</v>
      </c>
      <c r="I276" s="85">
        <v>2</v>
      </c>
      <c r="J276" s="85">
        <v>21</v>
      </c>
      <c r="K276" s="1">
        <v>8627463</v>
      </c>
      <c r="L276" s="85">
        <v>600</v>
      </c>
      <c r="M276" s="85">
        <v>2021</v>
      </c>
      <c r="N276" s="85" t="s">
        <v>595</v>
      </c>
      <c r="O276" s="86" t="s">
        <v>596</v>
      </c>
      <c r="P276" s="85" t="s">
        <v>840</v>
      </c>
      <c r="Q276" s="87">
        <v>1003021</v>
      </c>
      <c r="R276" s="85">
        <v>0</v>
      </c>
      <c r="S276" s="85" t="s">
        <v>207</v>
      </c>
      <c r="T276" s="85">
        <v>3</v>
      </c>
      <c r="U276" s="85" t="s">
        <v>798</v>
      </c>
      <c r="V276" s="1"/>
      <c r="W276" s="85" t="s">
        <v>830</v>
      </c>
      <c r="X276" s="1">
        <v>25</v>
      </c>
      <c r="Y276" s="1" t="s">
        <v>723</v>
      </c>
      <c r="Z276" s="1" t="s">
        <v>724</v>
      </c>
      <c r="AA276" s="1" t="s">
        <v>725</v>
      </c>
      <c r="AB276" s="1">
        <v>2</v>
      </c>
      <c r="AC276" s="73" t="b">
        <v>1</v>
      </c>
      <c r="AD276" s="40" t="b">
        <v>0</v>
      </c>
      <c r="AF276" s="74">
        <v>4</v>
      </c>
      <c r="AG276" s="75" t="s">
        <v>726</v>
      </c>
      <c r="AH276" s="75" t="s">
        <v>605</v>
      </c>
    </row>
    <row r="277" s="40" customFormat="1" spans="1:35">
      <c r="A277" s="12">
        <v>12222</v>
      </c>
      <c r="B277" s="12" t="s">
        <v>841</v>
      </c>
      <c r="C277" s="12" t="s">
        <v>793</v>
      </c>
      <c r="D277" s="12" t="s">
        <v>794</v>
      </c>
      <c r="E277" s="12" t="s">
        <v>795</v>
      </c>
      <c r="F277" s="12" t="s">
        <v>796</v>
      </c>
      <c r="G277" s="85">
        <v>2</v>
      </c>
      <c r="H277" s="85">
        <v>2</v>
      </c>
      <c r="I277" s="85">
        <v>2</v>
      </c>
      <c r="J277" s="85">
        <v>22</v>
      </c>
      <c r="K277" s="1">
        <v>9536690</v>
      </c>
      <c r="L277" s="85">
        <v>600</v>
      </c>
      <c r="M277" s="85">
        <v>2022</v>
      </c>
      <c r="N277" s="85" t="s">
        <v>595</v>
      </c>
      <c r="O277" s="86" t="s">
        <v>596</v>
      </c>
      <c r="P277" s="85" t="s">
        <v>842</v>
      </c>
      <c r="Q277" s="87">
        <v>1003022</v>
      </c>
      <c r="R277" s="85">
        <v>0</v>
      </c>
      <c r="S277" s="85" t="s">
        <v>207</v>
      </c>
      <c r="T277" s="85">
        <v>3</v>
      </c>
      <c r="U277" s="85" t="s">
        <v>798</v>
      </c>
      <c r="V277" s="1"/>
      <c r="W277" s="85" t="s">
        <v>830</v>
      </c>
      <c r="X277" s="1">
        <v>25</v>
      </c>
      <c r="Y277" s="1" t="s">
        <v>729</v>
      </c>
      <c r="Z277" s="1" t="s">
        <v>730</v>
      </c>
      <c r="AA277" s="1" t="s">
        <v>731</v>
      </c>
      <c r="AB277" s="1">
        <v>2</v>
      </c>
      <c r="AC277" s="73" t="b">
        <v>1</v>
      </c>
      <c r="AD277" s="40" t="b">
        <v>0</v>
      </c>
      <c r="AF277" s="74">
        <v>4</v>
      </c>
      <c r="AG277" s="75" t="s">
        <v>732</v>
      </c>
      <c r="AH277" s="75" t="s">
        <v>605</v>
      </c>
    </row>
    <row r="278" s="40" customFormat="1" spans="1:35">
      <c r="A278" s="12">
        <v>12223</v>
      </c>
      <c r="B278" s="12" t="s">
        <v>843</v>
      </c>
      <c r="C278" s="12" t="s">
        <v>793</v>
      </c>
      <c r="D278" s="12" t="s">
        <v>794</v>
      </c>
      <c r="E278" s="12" t="s">
        <v>795</v>
      </c>
      <c r="F278" s="12" t="s">
        <v>796</v>
      </c>
      <c r="G278" s="85">
        <v>2</v>
      </c>
      <c r="H278" s="85">
        <v>2</v>
      </c>
      <c r="I278" s="85">
        <v>2</v>
      </c>
      <c r="J278" s="85">
        <v>23</v>
      </c>
      <c r="K278" s="1">
        <v>10381146</v>
      </c>
      <c r="L278" s="85">
        <v>600</v>
      </c>
      <c r="M278" s="85">
        <v>2023</v>
      </c>
      <c r="N278" s="85" t="s">
        <v>595</v>
      </c>
      <c r="O278" s="86" t="s">
        <v>596</v>
      </c>
      <c r="P278" s="85" t="s">
        <v>844</v>
      </c>
      <c r="Q278" s="87">
        <v>1003023</v>
      </c>
      <c r="R278" s="85">
        <v>0</v>
      </c>
      <c r="S278" s="85" t="s">
        <v>207</v>
      </c>
      <c r="T278" s="85">
        <v>3</v>
      </c>
      <c r="U278" s="85" t="s">
        <v>798</v>
      </c>
      <c r="V278" s="1"/>
      <c r="W278" s="85" t="s">
        <v>830</v>
      </c>
      <c r="X278" s="1">
        <v>25</v>
      </c>
      <c r="Y278" s="1" t="s">
        <v>735</v>
      </c>
      <c r="Z278" s="1" t="s">
        <v>736</v>
      </c>
      <c r="AA278" s="1" t="s">
        <v>737</v>
      </c>
      <c r="AB278" s="1">
        <v>2</v>
      </c>
      <c r="AC278" s="73" t="b">
        <v>1</v>
      </c>
      <c r="AD278" s="40" t="b">
        <v>0</v>
      </c>
      <c r="AF278" s="74">
        <v>4</v>
      </c>
      <c r="AG278" s="75" t="s">
        <v>738</v>
      </c>
      <c r="AH278" s="75" t="s">
        <v>605</v>
      </c>
    </row>
    <row r="279" s="40" customFormat="1" spans="1:35">
      <c r="A279" s="12">
        <v>12224</v>
      </c>
      <c r="B279" s="12" t="s">
        <v>845</v>
      </c>
      <c r="C279" s="12" t="s">
        <v>793</v>
      </c>
      <c r="D279" s="12" t="s">
        <v>794</v>
      </c>
      <c r="E279" s="12" t="s">
        <v>795</v>
      </c>
      <c r="F279" s="12" t="s">
        <v>796</v>
      </c>
      <c r="G279" s="85">
        <v>2</v>
      </c>
      <c r="H279" s="85">
        <v>2</v>
      </c>
      <c r="I279" s="85">
        <v>2</v>
      </c>
      <c r="J279" s="85">
        <v>24</v>
      </c>
      <c r="K279" s="1">
        <v>11244542</v>
      </c>
      <c r="L279" s="85">
        <v>600</v>
      </c>
      <c r="M279" s="85">
        <v>2024</v>
      </c>
      <c r="N279" s="85" t="s">
        <v>595</v>
      </c>
      <c r="O279" s="86" t="s">
        <v>596</v>
      </c>
      <c r="P279" s="85" t="s">
        <v>846</v>
      </c>
      <c r="Q279" s="87">
        <v>1003024</v>
      </c>
      <c r="R279" s="85">
        <v>0</v>
      </c>
      <c r="S279" s="85" t="s">
        <v>207</v>
      </c>
      <c r="T279" s="85">
        <v>3</v>
      </c>
      <c r="U279" s="85" t="s">
        <v>798</v>
      </c>
      <c r="V279" s="1"/>
      <c r="W279" s="85" t="s">
        <v>830</v>
      </c>
      <c r="X279" s="1">
        <v>25</v>
      </c>
      <c r="Y279" s="1" t="s">
        <v>741</v>
      </c>
      <c r="Z279" s="1" t="s">
        <v>742</v>
      </c>
      <c r="AA279" s="1" t="s">
        <v>743</v>
      </c>
      <c r="AB279" s="1">
        <v>2</v>
      </c>
      <c r="AC279" s="73" t="b">
        <v>1</v>
      </c>
      <c r="AD279" s="40" t="b">
        <v>0</v>
      </c>
      <c r="AF279" s="74">
        <v>4</v>
      </c>
      <c r="AG279" s="75" t="s">
        <v>744</v>
      </c>
      <c r="AH279" s="75" t="s">
        <v>605</v>
      </c>
    </row>
    <row r="280" s="40" customFormat="1" spans="1:35">
      <c r="A280" s="12">
        <v>12225</v>
      </c>
      <c r="B280" s="12" t="s">
        <v>847</v>
      </c>
      <c r="C280" s="12" t="s">
        <v>793</v>
      </c>
      <c r="D280" s="12" t="s">
        <v>794</v>
      </c>
      <c r="E280" s="12" t="s">
        <v>795</v>
      </c>
      <c r="F280" s="12" t="s">
        <v>796</v>
      </c>
      <c r="G280" s="85">
        <v>2</v>
      </c>
      <c r="H280" s="85">
        <v>2</v>
      </c>
      <c r="I280" s="85">
        <v>2</v>
      </c>
      <c r="J280" s="85">
        <v>25</v>
      </c>
      <c r="K280" s="1">
        <v>12560506</v>
      </c>
      <c r="L280" s="85">
        <v>600</v>
      </c>
      <c r="M280" s="85">
        <v>2025</v>
      </c>
      <c r="N280" s="85" t="s">
        <v>595</v>
      </c>
      <c r="O280" s="86" t="s">
        <v>596</v>
      </c>
      <c r="P280" s="85" t="s">
        <v>848</v>
      </c>
      <c r="Q280" s="87">
        <v>1003025</v>
      </c>
      <c r="R280" s="85">
        <v>0</v>
      </c>
      <c r="S280" s="85" t="s">
        <v>207</v>
      </c>
      <c r="T280" s="85">
        <v>3</v>
      </c>
      <c r="U280" s="85" t="s">
        <v>798</v>
      </c>
      <c r="V280" s="1"/>
      <c r="W280" s="85" t="s">
        <v>830</v>
      </c>
      <c r="X280" s="1">
        <v>25</v>
      </c>
      <c r="Y280" s="1" t="s">
        <v>747</v>
      </c>
      <c r="Z280" s="1" t="s">
        <v>748</v>
      </c>
      <c r="AA280" s="1" t="s">
        <v>749</v>
      </c>
      <c r="AB280" s="1">
        <v>2</v>
      </c>
      <c r="AC280" s="73" t="b">
        <v>1</v>
      </c>
      <c r="AD280" s="40" t="b">
        <v>0</v>
      </c>
      <c r="AF280" s="74">
        <v>4</v>
      </c>
      <c r="AG280" s="75" t="s">
        <v>750</v>
      </c>
      <c r="AH280" s="75" t="s">
        <v>605</v>
      </c>
    </row>
    <row r="281" s="40" customFormat="1" spans="1:35">
      <c r="A281" s="12">
        <v>12226</v>
      </c>
      <c r="B281" s="12" t="s">
        <v>849</v>
      </c>
      <c r="C281" s="12" t="s">
        <v>793</v>
      </c>
      <c r="D281" s="12" t="s">
        <v>794</v>
      </c>
      <c r="E281" s="12" t="s">
        <v>795</v>
      </c>
      <c r="F281" s="12" t="s">
        <v>796</v>
      </c>
      <c r="G281" s="85">
        <v>2</v>
      </c>
      <c r="H281" s="85">
        <v>2</v>
      </c>
      <c r="I281" s="85">
        <v>2</v>
      </c>
      <c r="J281" s="85">
        <v>26</v>
      </c>
      <c r="K281" s="1">
        <v>13734998</v>
      </c>
      <c r="L281" s="85">
        <v>600</v>
      </c>
      <c r="M281" s="85">
        <v>2026</v>
      </c>
      <c r="N281" s="85" t="s">
        <v>595</v>
      </c>
      <c r="O281" s="86" t="s">
        <v>596</v>
      </c>
      <c r="P281" s="85" t="s">
        <v>850</v>
      </c>
      <c r="Q281" s="87">
        <v>1003026</v>
      </c>
      <c r="R281" s="85">
        <v>0</v>
      </c>
      <c r="S281" s="85" t="s">
        <v>207</v>
      </c>
      <c r="T281" s="85">
        <v>3</v>
      </c>
      <c r="U281" s="85" t="s">
        <v>798</v>
      </c>
      <c r="V281" s="1"/>
      <c r="W281" s="85" t="s">
        <v>830</v>
      </c>
      <c r="X281" s="1">
        <v>30</v>
      </c>
      <c r="Y281" s="1" t="s">
        <v>753</v>
      </c>
      <c r="Z281" s="1" t="s">
        <v>754</v>
      </c>
      <c r="AA281" s="1" t="s">
        <v>755</v>
      </c>
      <c r="AB281" s="1">
        <v>2</v>
      </c>
      <c r="AC281" s="73" t="b">
        <v>1</v>
      </c>
      <c r="AD281" s="40" t="b">
        <v>0</v>
      </c>
      <c r="AF281" s="74">
        <v>4</v>
      </c>
      <c r="AG281" s="75" t="s">
        <v>756</v>
      </c>
      <c r="AH281" s="75" t="s">
        <v>605</v>
      </c>
    </row>
    <row r="282" s="40" customFormat="1" spans="1:35">
      <c r="A282" s="12">
        <v>12227</v>
      </c>
      <c r="B282" s="12" t="s">
        <v>851</v>
      </c>
      <c r="C282" s="12" t="s">
        <v>793</v>
      </c>
      <c r="D282" s="12" t="s">
        <v>794</v>
      </c>
      <c r="E282" s="12" t="s">
        <v>795</v>
      </c>
      <c r="F282" s="12" t="s">
        <v>796</v>
      </c>
      <c r="G282" s="85">
        <v>2</v>
      </c>
      <c r="H282" s="85">
        <v>2</v>
      </c>
      <c r="I282" s="85">
        <v>2</v>
      </c>
      <c r="J282" s="85">
        <v>27</v>
      </c>
      <c r="K282" s="1">
        <v>14733195</v>
      </c>
      <c r="L282" s="85">
        <v>600</v>
      </c>
      <c r="M282" s="85">
        <v>2027</v>
      </c>
      <c r="N282" s="85" t="s">
        <v>595</v>
      </c>
      <c r="O282" s="86" t="s">
        <v>596</v>
      </c>
      <c r="P282" s="85" t="s">
        <v>852</v>
      </c>
      <c r="Q282" s="87">
        <v>1003027</v>
      </c>
      <c r="R282" s="85">
        <v>0</v>
      </c>
      <c r="S282" s="85" t="s">
        <v>207</v>
      </c>
      <c r="T282" s="85">
        <v>3</v>
      </c>
      <c r="U282" s="85" t="s">
        <v>798</v>
      </c>
      <c r="V282" s="1"/>
      <c r="W282" s="85" t="s">
        <v>830</v>
      </c>
      <c r="X282" s="1">
        <v>30</v>
      </c>
      <c r="Y282" s="1" t="s">
        <v>759</v>
      </c>
      <c r="Z282" s="1" t="s">
        <v>760</v>
      </c>
      <c r="AA282" s="1" t="s">
        <v>761</v>
      </c>
      <c r="AB282" s="1">
        <v>2</v>
      </c>
      <c r="AC282" s="73" t="b">
        <v>1</v>
      </c>
      <c r="AD282" s="40" t="b">
        <v>0</v>
      </c>
      <c r="AF282" s="74">
        <v>4</v>
      </c>
      <c r="AG282" s="75" t="s">
        <v>762</v>
      </c>
      <c r="AH282" s="75" t="s">
        <v>605</v>
      </c>
    </row>
    <row r="283" s="40" customFormat="1" spans="1:35">
      <c r="A283" s="12">
        <v>12228</v>
      </c>
      <c r="B283" s="12" t="s">
        <v>853</v>
      </c>
      <c r="C283" s="12" t="s">
        <v>793</v>
      </c>
      <c r="D283" s="12" t="s">
        <v>794</v>
      </c>
      <c r="E283" s="12" t="s">
        <v>795</v>
      </c>
      <c r="F283" s="12" t="s">
        <v>796</v>
      </c>
      <c r="G283" s="85">
        <v>2</v>
      </c>
      <c r="H283" s="85">
        <v>2</v>
      </c>
      <c r="I283" s="85">
        <v>2</v>
      </c>
      <c r="J283" s="85">
        <v>28</v>
      </c>
      <c r="K283" s="1">
        <v>15616920</v>
      </c>
      <c r="L283" s="85">
        <v>600</v>
      </c>
      <c r="M283" s="85">
        <v>2028</v>
      </c>
      <c r="N283" s="85" t="s">
        <v>595</v>
      </c>
      <c r="O283" s="86" t="s">
        <v>596</v>
      </c>
      <c r="P283" s="85" t="s">
        <v>854</v>
      </c>
      <c r="Q283" s="87">
        <v>1003028</v>
      </c>
      <c r="R283" s="85">
        <v>0</v>
      </c>
      <c r="S283" s="85" t="s">
        <v>207</v>
      </c>
      <c r="T283" s="85">
        <v>3</v>
      </c>
      <c r="U283" s="85" t="s">
        <v>798</v>
      </c>
      <c r="V283" s="1"/>
      <c r="W283" s="85" t="s">
        <v>830</v>
      </c>
      <c r="X283" s="1">
        <v>30</v>
      </c>
      <c r="Y283" s="1" t="s">
        <v>765</v>
      </c>
      <c r="Z283" s="1" t="s">
        <v>766</v>
      </c>
      <c r="AA283" s="1" t="s">
        <v>767</v>
      </c>
      <c r="AB283" s="1">
        <v>2</v>
      </c>
      <c r="AC283" s="73" t="b">
        <v>1</v>
      </c>
      <c r="AD283" s="40" t="b">
        <v>0</v>
      </c>
      <c r="AF283" s="74">
        <v>4</v>
      </c>
      <c r="AG283" s="75" t="s">
        <v>768</v>
      </c>
      <c r="AH283" s="75" t="s">
        <v>605</v>
      </c>
    </row>
    <row r="284" s="40" customFormat="1" spans="1:35">
      <c r="A284" s="12">
        <v>12229</v>
      </c>
      <c r="B284" s="12" t="s">
        <v>855</v>
      </c>
      <c r="C284" s="12" t="s">
        <v>793</v>
      </c>
      <c r="D284" s="12" t="s">
        <v>794</v>
      </c>
      <c r="E284" s="12" t="s">
        <v>795</v>
      </c>
      <c r="F284" s="12" t="s">
        <v>796</v>
      </c>
      <c r="G284" s="85">
        <v>2</v>
      </c>
      <c r="H284" s="85">
        <v>2</v>
      </c>
      <c r="I284" s="85">
        <v>2</v>
      </c>
      <c r="J284" s="85">
        <v>29</v>
      </c>
      <c r="K284" s="1">
        <v>17229411</v>
      </c>
      <c r="L284" s="85">
        <v>600</v>
      </c>
      <c r="M284" s="85">
        <v>2029</v>
      </c>
      <c r="N284" s="85" t="s">
        <v>595</v>
      </c>
      <c r="O284" s="86" t="s">
        <v>596</v>
      </c>
      <c r="P284" s="85" t="s">
        <v>856</v>
      </c>
      <c r="Q284" s="87">
        <v>1003029</v>
      </c>
      <c r="R284" s="85">
        <v>0</v>
      </c>
      <c r="S284" s="85" t="s">
        <v>207</v>
      </c>
      <c r="T284" s="85">
        <v>3</v>
      </c>
      <c r="U284" s="85" t="s">
        <v>798</v>
      </c>
      <c r="V284" s="1"/>
      <c r="W284" s="85" t="s">
        <v>830</v>
      </c>
      <c r="X284" s="1">
        <v>30</v>
      </c>
      <c r="Y284" s="1" t="s">
        <v>771</v>
      </c>
      <c r="Z284" s="1" t="s">
        <v>772</v>
      </c>
      <c r="AA284" s="1" t="s">
        <v>773</v>
      </c>
      <c r="AB284" s="1">
        <v>2</v>
      </c>
      <c r="AC284" s="73" t="b">
        <v>1</v>
      </c>
      <c r="AD284" s="40" t="b">
        <v>0</v>
      </c>
      <c r="AF284" s="74">
        <v>4</v>
      </c>
      <c r="AG284" s="75" t="s">
        <v>774</v>
      </c>
      <c r="AH284" s="75" t="s">
        <v>605</v>
      </c>
    </row>
    <row r="285" s="40" customFormat="1" spans="1:35">
      <c r="A285" s="12">
        <v>12230</v>
      </c>
      <c r="B285" s="12" t="s">
        <v>857</v>
      </c>
      <c r="C285" s="12" t="s">
        <v>793</v>
      </c>
      <c r="D285" s="12" t="s">
        <v>794</v>
      </c>
      <c r="E285" s="12" t="s">
        <v>795</v>
      </c>
      <c r="F285" s="12" t="s">
        <v>796</v>
      </c>
      <c r="G285" s="85">
        <v>2</v>
      </c>
      <c r="H285" s="85">
        <v>2</v>
      </c>
      <c r="I285" s="85">
        <v>2</v>
      </c>
      <c r="J285" s="85">
        <v>30</v>
      </c>
      <c r="K285" s="1">
        <v>18159314</v>
      </c>
      <c r="L285" s="85">
        <v>600</v>
      </c>
      <c r="M285" s="85">
        <v>2030</v>
      </c>
      <c r="N285" s="85" t="s">
        <v>595</v>
      </c>
      <c r="O285" s="86" t="s">
        <v>596</v>
      </c>
      <c r="P285" s="85" t="s">
        <v>858</v>
      </c>
      <c r="Q285" s="87">
        <v>1003030</v>
      </c>
      <c r="R285" s="85">
        <v>0</v>
      </c>
      <c r="S285" s="85" t="s">
        <v>207</v>
      </c>
      <c r="T285" s="85">
        <v>3</v>
      </c>
      <c r="U285" s="85" t="s">
        <v>798</v>
      </c>
      <c r="V285" s="85"/>
      <c r="W285" s="85" t="s">
        <v>830</v>
      </c>
      <c r="X285" s="1">
        <v>30</v>
      </c>
      <c r="Y285" s="1" t="s">
        <v>777</v>
      </c>
      <c r="Z285" s="1" t="s">
        <v>778</v>
      </c>
      <c r="AA285" s="1" t="s">
        <v>779</v>
      </c>
      <c r="AB285" s="1">
        <v>2</v>
      </c>
      <c r="AC285" s="73" t="b">
        <v>1</v>
      </c>
      <c r="AD285" s="40" t="b">
        <v>0</v>
      </c>
      <c r="AF285" s="74">
        <v>4</v>
      </c>
      <c r="AG285" s="75" t="s">
        <v>780</v>
      </c>
      <c r="AH285" s="75" t="s">
        <v>605</v>
      </c>
    </row>
    <row r="286" s="40" customFormat="1" spans="1:35">
      <c r="A286" s="12">
        <v>13301</v>
      </c>
      <c r="B286" s="12" t="s">
        <v>859</v>
      </c>
      <c r="C286" s="12" t="s">
        <v>860</v>
      </c>
      <c r="D286" s="12" t="s">
        <v>861</v>
      </c>
      <c r="E286" s="12" t="s">
        <v>860</v>
      </c>
      <c r="F286" s="12" t="s">
        <v>861</v>
      </c>
      <c r="G286" s="85">
        <v>3</v>
      </c>
      <c r="H286" s="85">
        <v>3</v>
      </c>
      <c r="I286" s="85">
        <v>2</v>
      </c>
      <c r="J286" s="85">
        <v>1</v>
      </c>
      <c r="K286" s="85">
        <v>20000000</v>
      </c>
      <c r="L286" s="85">
        <v>3600</v>
      </c>
      <c r="M286" s="85">
        <v>4001</v>
      </c>
      <c r="N286" s="85" t="s">
        <v>784</v>
      </c>
      <c r="O286" s="86"/>
      <c r="P286" s="85"/>
      <c r="Q286" s="87">
        <v>1000075</v>
      </c>
      <c r="R286" s="85">
        <v>0</v>
      </c>
      <c r="S286" s="85" t="s">
        <v>207</v>
      </c>
      <c r="T286" s="85">
        <v>4</v>
      </c>
      <c r="U286" s="85" t="s">
        <v>862</v>
      </c>
      <c r="V286" s="1" t="s">
        <v>786</v>
      </c>
      <c r="W286" s="85" t="s">
        <v>863</v>
      </c>
      <c r="X286" s="12">
        <v>5</v>
      </c>
      <c r="Y286" s="1" t="s">
        <v>788</v>
      </c>
      <c r="Z286" s="1" t="s">
        <v>864</v>
      </c>
      <c r="AA286" s="1" t="s">
        <v>865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I286" s="40">
        <v>40</v>
      </c>
    </row>
    <row r="287" s="40" customFormat="1" spans="1:35">
      <c r="A287" s="12">
        <v>13302</v>
      </c>
      <c r="B287" s="12" t="s">
        <v>866</v>
      </c>
      <c r="C287" s="12" t="s">
        <v>860</v>
      </c>
      <c r="D287" s="12" t="s">
        <v>861</v>
      </c>
      <c r="E287" s="12" t="s">
        <v>860</v>
      </c>
      <c r="F287" s="12" t="s">
        <v>861</v>
      </c>
      <c r="G287" s="85">
        <v>3</v>
      </c>
      <c r="H287" s="85">
        <v>3</v>
      </c>
      <c r="I287" s="85">
        <v>2</v>
      </c>
      <c r="J287" s="85">
        <v>1</v>
      </c>
      <c r="K287" s="85">
        <v>20000000</v>
      </c>
      <c r="L287" s="85">
        <v>3600</v>
      </c>
      <c r="M287" s="85">
        <v>4002</v>
      </c>
      <c r="N287" s="85" t="s">
        <v>784</v>
      </c>
      <c r="O287" s="86"/>
      <c r="P287" s="85"/>
      <c r="Q287" s="87">
        <v>1000075</v>
      </c>
      <c r="R287" s="85">
        <v>0</v>
      </c>
      <c r="S287" s="85" t="s">
        <v>207</v>
      </c>
      <c r="T287" s="85">
        <v>4</v>
      </c>
      <c r="U287" s="85" t="s">
        <v>862</v>
      </c>
      <c r="V287" s="1" t="s">
        <v>786</v>
      </c>
      <c r="W287" s="85" t="s">
        <v>863</v>
      </c>
      <c r="X287" s="12">
        <v>5</v>
      </c>
      <c r="Y287" s="1" t="s">
        <v>788</v>
      </c>
      <c r="Z287" s="1" t="s">
        <v>864</v>
      </c>
      <c r="AA287" s="1" t="s">
        <v>865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I287" s="40">
        <v>40</v>
      </c>
    </row>
    <row r="288" s="40" customFormat="1" spans="1:35">
      <c r="A288" s="12">
        <v>13303</v>
      </c>
      <c r="B288" s="12" t="s">
        <v>867</v>
      </c>
      <c r="C288" s="12" t="s">
        <v>860</v>
      </c>
      <c r="D288" s="12" t="s">
        <v>861</v>
      </c>
      <c r="E288" s="12" t="s">
        <v>860</v>
      </c>
      <c r="F288" s="12" t="s">
        <v>861</v>
      </c>
      <c r="G288" s="85">
        <v>3</v>
      </c>
      <c r="H288" s="85">
        <v>3</v>
      </c>
      <c r="I288" s="85">
        <v>2</v>
      </c>
      <c r="J288" s="85">
        <v>1</v>
      </c>
      <c r="K288" s="85">
        <v>20000000</v>
      </c>
      <c r="L288" s="85">
        <v>3600</v>
      </c>
      <c r="M288" s="85">
        <v>4003</v>
      </c>
      <c r="N288" s="85" t="s">
        <v>784</v>
      </c>
      <c r="O288" s="86"/>
      <c r="P288" s="85"/>
      <c r="Q288" s="87">
        <v>1000075</v>
      </c>
      <c r="R288" s="85">
        <v>0</v>
      </c>
      <c r="S288" s="85" t="s">
        <v>207</v>
      </c>
      <c r="T288" s="85">
        <v>4</v>
      </c>
      <c r="U288" s="85" t="s">
        <v>862</v>
      </c>
      <c r="V288" s="1" t="s">
        <v>786</v>
      </c>
      <c r="W288" s="85" t="s">
        <v>863</v>
      </c>
      <c r="X288" s="12">
        <v>5</v>
      </c>
      <c r="Y288" s="1" t="s">
        <v>788</v>
      </c>
      <c r="Z288" s="1" t="s">
        <v>864</v>
      </c>
      <c r="AA288" s="1" t="s">
        <v>865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I288" s="40">
        <v>40</v>
      </c>
    </row>
    <row r="289" s="40" customFormat="1" spans="1:35">
      <c r="A289" s="12">
        <v>13304</v>
      </c>
      <c r="B289" s="12" t="s">
        <v>868</v>
      </c>
      <c r="C289" s="12" t="s">
        <v>860</v>
      </c>
      <c r="D289" s="12" t="s">
        <v>861</v>
      </c>
      <c r="E289" s="12" t="s">
        <v>860</v>
      </c>
      <c r="F289" s="12" t="s">
        <v>861</v>
      </c>
      <c r="G289" s="85">
        <v>3</v>
      </c>
      <c r="H289" s="85">
        <v>3</v>
      </c>
      <c r="I289" s="85">
        <v>2</v>
      </c>
      <c r="J289" s="85">
        <v>1</v>
      </c>
      <c r="K289" s="85">
        <v>20000000</v>
      </c>
      <c r="L289" s="85">
        <v>3600</v>
      </c>
      <c r="M289" s="85">
        <v>4004</v>
      </c>
      <c r="N289" s="85" t="s">
        <v>784</v>
      </c>
      <c r="O289" s="86"/>
      <c r="P289" s="85"/>
      <c r="Q289" s="87">
        <v>1000075</v>
      </c>
      <c r="R289" s="85">
        <v>0</v>
      </c>
      <c r="S289" s="85" t="s">
        <v>207</v>
      </c>
      <c r="T289" s="85">
        <v>4</v>
      </c>
      <c r="U289" s="85" t="s">
        <v>862</v>
      </c>
      <c r="V289" s="1" t="s">
        <v>786</v>
      </c>
      <c r="W289" s="85" t="s">
        <v>863</v>
      </c>
      <c r="X289" s="12">
        <v>5</v>
      </c>
      <c r="Y289" s="1" t="s">
        <v>788</v>
      </c>
      <c r="Z289" s="1" t="s">
        <v>864</v>
      </c>
      <c r="AA289" s="1" t="s">
        <v>865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I289" s="40">
        <v>40</v>
      </c>
    </row>
    <row r="290" s="40" customFormat="1" spans="1:35">
      <c r="A290" s="12">
        <v>13305</v>
      </c>
      <c r="B290" s="12" t="s">
        <v>869</v>
      </c>
      <c r="C290" s="12" t="s">
        <v>860</v>
      </c>
      <c r="D290" s="12" t="s">
        <v>861</v>
      </c>
      <c r="E290" s="12" t="s">
        <v>860</v>
      </c>
      <c r="F290" s="12" t="s">
        <v>861</v>
      </c>
      <c r="G290" s="85">
        <v>3</v>
      </c>
      <c r="H290" s="85">
        <v>3</v>
      </c>
      <c r="I290" s="85">
        <v>2</v>
      </c>
      <c r="J290" s="85">
        <v>1</v>
      </c>
      <c r="K290" s="85">
        <v>20000000</v>
      </c>
      <c r="L290" s="85">
        <v>3600</v>
      </c>
      <c r="M290" s="85">
        <v>4005</v>
      </c>
      <c r="N290" s="85" t="s">
        <v>784</v>
      </c>
      <c r="O290" s="86"/>
      <c r="P290" s="85"/>
      <c r="Q290" s="87">
        <v>1000075</v>
      </c>
      <c r="R290" s="85">
        <v>0</v>
      </c>
      <c r="S290" s="85" t="s">
        <v>207</v>
      </c>
      <c r="T290" s="85">
        <v>4</v>
      </c>
      <c r="U290" s="85" t="s">
        <v>862</v>
      </c>
      <c r="V290" s="1" t="s">
        <v>786</v>
      </c>
      <c r="W290" s="85" t="s">
        <v>863</v>
      </c>
      <c r="X290" s="12">
        <v>5</v>
      </c>
      <c r="Y290" s="1" t="s">
        <v>788</v>
      </c>
      <c r="Z290" s="1" t="s">
        <v>864</v>
      </c>
      <c r="AA290" s="1" t="s">
        <v>865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I290" s="40">
        <v>40</v>
      </c>
    </row>
    <row r="291" s="40" customFormat="1" spans="1:35">
      <c r="A291" s="12">
        <v>130401</v>
      </c>
      <c r="B291" s="12" t="s">
        <v>870</v>
      </c>
      <c r="C291" s="12" t="s">
        <v>871</v>
      </c>
      <c r="D291" s="12" t="s">
        <v>872</v>
      </c>
      <c r="E291" s="12" t="s">
        <v>873</v>
      </c>
      <c r="F291" s="12" t="s">
        <v>874</v>
      </c>
      <c r="G291" s="85">
        <v>3</v>
      </c>
      <c r="H291" s="85">
        <v>4</v>
      </c>
      <c r="I291" s="85">
        <v>3</v>
      </c>
      <c r="J291" s="85">
        <v>1</v>
      </c>
      <c r="K291" s="85">
        <v>317844</v>
      </c>
      <c r="L291" s="85">
        <v>600</v>
      </c>
      <c r="M291" s="85">
        <v>6001</v>
      </c>
      <c r="N291" s="85" t="s">
        <v>875</v>
      </c>
      <c r="O291" s="86" t="s">
        <v>876</v>
      </c>
      <c r="P291" s="85" t="s">
        <v>877</v>
      </c>
      <c r="Q291" s="88">
        <v>1100001</v>
      </c>
      <c r="R291" s="85">
        <v>0</v>
      </c>
      <c r="S291" s="85" t="s">
        <v>207</v>
      </c>
      <c r="T291" s="85">
        <v>1</v>
      </c>
      <c r="U291" s="85" t="s">
        <v>878</v>
      </c>
      <c r="V291" s="1" t="s">
        <v>786</v>
      </c>
      <c r="W291" s="85" t="s">
        <v>879</v>
      </c>
      <c r="X291" s="12">
        <v>15</v>
      </c>
      <c r="Y291" s="1" t="s">
        <v>880</v>
      </c>
      <c r="Z291" s="1" t="s">
        <v>881</v>
      </c>
      <c r="AA291" s="1" t="s">
        <v>882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647</v>
      </c>
      <c r="AH291" s="75" t="s">
        <v>605</v>
      </c>
      <c r="AI291" s="74"/>
    </row>
    <row r="292" s="40" customFormat="1" spans="1:35">
      <c r="A292" s="12">
        <v>130402</v>
      </c>
      <c r="B292" s="12" t="s">
        <v>883</v>
      </c>
      <c r="C292" s="12" t="s">
        <v>871</v>
      </c>
      <c r="D292" s="12" t="s">
        <v>872</v>
      </c>
      <c r="E292" s="12" t="s">
        <v>873</v>
      </c>
      <c r="F292" s="12" t="s">
        <v>874</v>
      </c>
      <c r="G292" s="85">
        <v>3</v>
      </c>
      <c r="H292" s="85">
        <v>4</v>
      </c>
      <c r="I292" s="85">
        <v>3</v>
      </c>
      <c r="J292" s="85">
        <v>2</v>
      </c>
      <c r="K292" s="85">
        <v>333788</v>
      </c>
      <c r="L292" s="85">
        <v>600</v>
      </c>
      <c r="M292" s="85">
        <v>6002</v>
      </c>
      <c r="N292" s="85" t="s">
        <v>875</v>
      </c>
      <c r="O292" s="86" t="s">
        <v>876</v>
      </c>
      <c r="P292" s="85" t="s">
        <v>877</v>
      </c>
      <c r="Q292" s="88">
        <v>1100001</v>
      </c>
      <c r="R292" s="85">
        <v>0</v>
      </c>
      <c r="S292" s="85" t="s">
        <v>207</v>
      </c>
      <c r="T292" s="85">
        <v>1</v>
      </c>
      <c r="U292" s="85" t="s">
        <v>878</v>
      </c>
      <c r="V292" s="1" t="s">
        <v>786</v>
      </c>
      <c r="W292" s="85" t="s">
        <v>879</v>
      </c>
      <c r="X292" s="12">
        <v>15</v>
      </c>
      <c r="Y292" s="1" t="s">
        <v>884</v>
      </c>
      <c r="Z292" s="1" t="s">
        <v>885</v>
      </c>
      <c r="AA292" s="1" t="s">
        <v>886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647</v>
      </c>
      <c r="AH292" s="75" t="s">
        <v>605</v>
      </c>
      <c r="AI292" s="74"/>
    </row>
    <row r="293" s="40" customFormat="1" spans="1:35">
      <c r="A293" s="12">
        <v>130403</v>
      </c>
      <c r="B293" s="12" t="s">
        <v>887</v>
      </c>
      <c r="C293" s="12" t="s">
        <v>871</v>
      </c>
      <c r="D293" s="12" t="s">
        <v>872</v>
      </c>
      <c r="E293" s="12" t="s">
        <v>873</v>
      </c>
      <c r="F293" s="12" t="s">
        <v>874</v>
      </c>
      <c r="G293" s="85">
        <v>3</v>
      </c>
      <c r="H293" s="85">
        <v>4</v>
      </c>
      <c r="I293" s="85">
        <v>3</v>
      </c>
      <c r="J293" s="85">
        <v>3</v>
      </c>
      <c r="K293" s="85">
        <v>349638</v>
      </c>
      <c r="L293" s="85">
        <v>600</v>
      </c>
      <c r="M293" s="85">
        <v>6003</v>
      </c>
      <c r="N293" s="85" t="s">
        <v>875</v>
      </c>
      <c r="O293" s="86" t="s">
        <v>876</v>
      </c>
      <c r="P293" s="85" t="s">
        <v>877</v>
      </c>
      <c r="Q293" s="88">
        <v>1100001</v>
      </c>
      <c r="R293" s="85">
        <v>0</v>
      </c>
      <c r="S293" s="85" t="s">
        <v>207</v>
      </c>
      <c r="T293" s="85">
        <v>1</v>
      </c>
      <c r="U293" s="85" t="s">
        <v>878</v>
      </c>
      <c r="V293" s="1" t="s">
        <v>786</v>
      </c>
      <c r="W293" s="85" t="s">
        <v>879</v>
      </c>
      <c r="X293" s="12">
        <v>15</v>
      </c>
      <c r="Y293" s="1" t="s">
        <v>888</v>
      </c>
      <c r="Z293" s="1" t="s">
        <v>889</v>
      </c>
      <c r="AA293" s="1" t="s">
        <v>890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647</v>
      </c>
      <c r="AH293" s="75" t="s">
        <v>605</v>
      </c>
      <c r="AI293" s="74"/>
    </row>
    <row r="294" s="40" customFormat="1" spans="1:35">
      <c r="A294" s="12">
        <v>130404</v>
      </c>
      <c r="B294" s="12" t="s">
        <v>891</v>
      </c>
      <c r="C294" s="12" t="s">
        <v>871</v>
      </c>
      <c r="D294" s="12" t="s">
        <v>872</v>
      </c>
      <c r="E294" s="12" t="s">
        <v>873</v>
      </c>
      <c r="F294" s="12" t="s">
        <v>874</v>
      </c>
      <c r="G294" s="85">
        <v>3</v>
      </c>
      <c r="H294" s="85">
        <v>4</v>
      </c>
      <c r="I294" s="85">
        <v>3</v>
      </c>
      <c r="J294" s="85">
        <v>4</v>
      </c>
      <c r="K294" s="85">
        <v>365524</v>
      </c>
      <c r="L294" s="85">
        <v>600</v>
      </c>
      <c r="M294" s="85">
        <v>6004</v>
      </c>
      <c r="N294" s="85" t="s">
        <v>875</v>
      </c>
      <c r="O294" s="86" t="s">
        <v>876</v>
      </c>
      <c r="P294" s="85" t="s">
        <v>877</v>
      </c>
      <c r="Q294" s="88">
        <v>1100001</v>
      </c>
      <c r="R294" s="85">
        <v>0</v>
      </c>
      <c r="S294" s="85" t="s">
        <v>207</v>
      </c>
      <c r="T294" s="85">
        <v>1</v>
      </c>
      <c r="U294" s="85" t="s">
        <v>878</v>
      </c>
      <c r="V294" s="1" t="s">
        <v>786</v>
      </c>
      <c r="W294" s="85" t="s">
        <v>879</v>
      </c>
      <c r="X294" s="12">
        <v>15</v>
      </c>
      <c r="Y294" s="1" t="s">
        <v>892</v>
      </c>
      <c r="Z294" s="1" t="s">
        <v>893</v>
      </c>
      <c r="AA294" s="1" t="s">
        <v>894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647</v>
      </c>
      <c r="AH294" s="75" t="s">
        <v>605</v>
      </c>
      <c r="AI294" s="74"/>
    </row>
    <row r="295" s="40" customFormat="1" spans="1:35">
      <c r="A295" s="12">
        <v>130405</v>
      </c>
      <c r="B295" s="12" t="s">
        <v>895</v>
      </c>
      <c r="C295" s="12" t="s">
        <v>871</v>
      </c>
      <c r="D295" s="12" t="s">
        <v>872</v>
      </c>
      <c r="E295" s="12" t="s">
        <v>873</v>
      </c>
      <c r="F295" s="12" t="s">
        <v>874</v>
      </c>
      <c r="G295" s="85">
        <v>3</v>
      </c>
      <c r="H295" s="85">
        <v>4</v>
      </c>
      <c r="I295" s="85">
        <v>3</v>
      </c>
      <c r="J295" s="85">
        <v>5</v>
      </c>
      <c r="K295" s="85">
        <v>381357</v>
      </c>
      <c r="L295" s="85">
        <v>600</v>
      </c>
      <c r="M295" s="85">
        <v>6005</v>
      </c>
      <c r="N295" s="85" t="s">
        <v>875</v>
      </c>
      <c r="O295" s="86" t="s">
        <v>876</v>
      </c>
      <c r="P295" s="85" t="s">
        <v>877</v>
      </c>
      <c r="Q295" s="88">
        <v>1100001</v>
      </c>
      <c r="R295" s="85">
        <v>0</v>
      </c>
      <c r="S295" s="85" t="s">
        <v>207</v>
      </c>
      <c r="T295" s="85">
        <v>1</v>
      </c>
      <c r="U295" s="85" t="s">
        <v>878</v>
      </c>
      <c r="V295" s="1" t="s">
        <v>786</v>
      </c>
      <c r="W295" s="85" t="s">
        <v>879</v>
      </c>
      <c r="X295" s="12">
        <v>15</v>
      </c>
      <c r="Y295" s="1" t="s">
        <v>896</v>
      </c>
      <c r="Z295" s="1" t="s">
        <v>897</v>
      </c>
      <c r="AA295" s="1" t="s">
        <v>898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647</v>
      </c>
      <c r="AH295" s="75" t="s">
        <v>605</v>
      </c>
      <c r="AI295" s="74"/>
    </row>
    <row r="296" s="40" customFormat="1" spans="1:35">
      <c r="A296" s="12">
        <v>130406</v>
      </c>
      <c r="B296" s="12" t="s">
        <v>899</v>
      </c>
      <c r="C296" s="12" t="s">
        <v>871</v>
      </c>
      <c r="D296" s="12" t="s">
        <v>872</v>
      </c>
      <c r="E296" s="12" t="s">
        <v>873</v>
      </c>
      <c r="F296" s="12" t="s">
        <v>874</v>
      </c>
      <c r="G296" s="85">
        <v>3</v>
      </c>
      <c r="H296" s="85">
        <v>4</v>
      </c>
      <c r="I296" s="85">
        <v>3</v>
      </c>
      <c r="J296" s="85">
        <v>6</v>
      </c>
      <c r="K296" s="85">
        <v>397388</v>
      </c>
      <c r="L296" s="85">
        <v>600</v>
      </c>
      <c r="M296" s="85">
        <v>6006</v>
      </c>
      <c r="N296" s="85" t="s">
        <v>875</v>
      </c>
      <c r="O296" s="86" t="s">
        <v>876</v>
      </c>
      <c r="P296" s="85" t="s">
        <v>877</v>
      </c>
      <c r="Q296" s="88">
        <v>1100001</v>
      </c>
      <c r="R296" s="85">
        <v>0</v>
      </c>
      <c r="S296" s="85" t="s">
        <v>207</v>
      </c>
      <c r="T296" s="85">
        <v>1</v>
      </c>
      <c r="U296" s="85" t="s">
        <v>878</v>
      </c>
      <c r="V296" s="1" t="s">
        <v>786</v>
      </c>
      <c r="W296" s="85" t="s">
        <v>879</v>
      </c>
      <c r="X296" s="12">
        <v>15</v>
      </c>
      <c r="Y296" s="1" t="s">
        <v>900</v>
      </c>
      <c r="Z296" s="1" t="s">
        <v>901</v>
      </c>
      <c r="AA296" s="1" t="s">
        <v>902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647</v>
      </c>
      <c r="AH296" s="75" t="s">
        <v>605</v>
      </c>
      <c r="AI296" s="74"/>
    </row>
    <row r="297" s="40" customFormat="1" spans="1:35">
      <c r="A297" s="12">
        <v>130407</v>
      </c>
      <c r="B297" s="12" t="s">
        <v>903</v>
      </c>
      <c r="C297" s="12" t="s">
        <v>871</v>
      </c>
      <c r="D297" s="12" t="s">
        <v>872</v>
      </c>
      <c r="E297" s="12" t="s">
        <v>873</v>
      </c>
      <c r="F297" s="12" t="s">
        <v>874</v>
      </c>
      <c r="G297" s="85">
        <v>3</v>
      </c>
      <c r="H297" s="85">
        <v>4</v>
      </c>
      <c r="I297" s="85">
        <v>3</v>
      </c>
      <c r="J297" s="85">
        <v>7</v>
      </c>
      <c r="K297" s="85">
        <v>413157</v>
      </c>
      <c r="L297" s="85">
        <v>600</v>
      </c>
      <c r="M297" s="85">
        <v>6007</v>
      </c>
      <c r="N297" s="85" t="s">
        <v>875</v>
      </c>
      <c r="O297" s="86" t="s">
        <v>876</v>
      </c>
      <c r="P297" s="85" t="s">
        <v>877</v>
      </c>
      <c r="Q297" s="88">
        <v>1100001</v>
      </c>
      <c r="R297" s="85">
        <v>0</v>
      </c>
      <c r="S297" s="85" t="s">
        <v>207</v>
      </c>
      <c r="T297" s="85">
        <v>1</v>
      </c>
      <c r="U297" s="85" t="s">
        <v>878</v>
      </c>
      <c r="V297" s="1" t="s">
        <v>786</v>
      </c>
      <c r="W297" s="85" t="s">
        <v>879</v>
      </c>
      <c r="X297" s="12">
        <v>15</v>
      </c>
      <c r="Y297" s="1" t="s">
        <v>904</v>
      </c>
      <c r="Z297" s="1" t="s">
        <v>905</v>
      </c>
      <c r="AA297" s="1" t="s">
        <v>906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647</v>
      </c>
      <c r="AH297" s="75" t="s">
        <v>605</v>
      </c>
      <c r="AI297" s="74"/>
    </row>
    <row r="298" s="40" customFormat="1" spans="1:35">
      <c r="A298" s="12">
        <v>130408</v>
      </c>
      <c r="B298" s="12" t="s">
        <v>907</v>
      </c>
      <c r="C298" s="12" t="s">
        <v>871</v>
      </c>
      <c r="D298" s="12" t="s">
        <v>872</v>
      </c>
      <c r="E298" s="12" t="s">
        <v>873</v>
      </c>
      <c r="F298" s="12" t="s">
        <v>874</v>
      </c>
      <c r="G298" s="85">
        <v>3</v>
      </c>
      <c r="H298" s="85">
        <v>4</v>
      </c>
      <c r="I298" s="85">
        <v>3</v>
      </c>
      <c r="J298" s="85">
        <v>8</v>
      </c>
      <c r="K298" s="85">
        <v>429095</v>
      </c>
      <c r="L298" s="85">
        <v>600</v>
      </c>
      <c r="M298" s="85">
        <v>6008</v>
      </c>
      <c r="N298" s="85" t="s">
        <v>875</v>
      </c>
      <c r="O298" s="86" t="s">
        <v>876</v>
      </c>
      <c r="P298" s="85" t="s">
        <v>877</v>
      </c>
      <c r="Q298" s="88">
        <v>1100001</v>
      </c>
      <c r="R298" s="85">
        <v>0</v>
      </c>
      <c r="S298" s="85" t="s">
        <v>207</v>
      </c>
      <c r="T298" s="85">
        <v>1</v>
      </c>
      <c r="U298" s="85" t="s">
        <v>878</v>
      </c>
      <c r="V298" s="1" t="s">
        <v>786</v>
      </c>
      <c r="W298" s="85" t="s">
        <v>879</v>
      </c>
      <c r="X298" s="12">
        <v>15</v>
      </c>
      <c r="Y298" s="1" t="s">
        <v>908</v>
      </c>
      <c r="Z298" s="1" t="s">
        <v>909</v>
      </c>
      <c r="AA298" s="1" t="s">
        <v>910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647</v>
      </c>
      <c r="AH298" s="75" t="s">
        <v>605</v>
      </c>
      <c r="AI298" s="74"/>
    </row>
    <row r="299" s="40" customFormat="1" spans="1:35">
      <c r="A299" s="12">
        <v>130409</v>
      </c>
      <c r="B299" s="12" t="s">
        <v>911</v>
      </c>
      <c r="C299" s="12" t="s">
        <v>871</v>
      </c>
      <c r="D299" s="12" t="s">
        <v>872</v>
      </c>
      <c r="E299" s="12" t="s">
        <v>873</v>
      </c>
      <c r="F299" s="12" t="s">
        <v>874</v>
      </c>
      <c r="G299" s="85">
        <v>3</v>
      </c>
      <c r="H299" s="85">
        <v>4</v>
      </c>
      <c r="I299" s="85">
        <v>3</v>
      </c>
      <c r="J299" s="85">
        <v>9</v>
      </c>
      <c r="K299" s="85">
        <v>444963</v>
      </c>
      <c r="L299" s="85">
        <v>600</v>
      </c>
      <c r="M299" s="85">
        <v>6009</v>
      </c>
      <c r="N299" s="85" t="s">
        <v>875</v>
      </c>
      <c r="O299" s="86" t="s">
        <v>876</v>
      </c>
      <c r="P299" s="85" t="s">
        <v>877</v>
      </c>
      <c r="Q299" s="88">
        <v>1100001</v>
      </c>
      <c r="R299" s="85">
        <v>0</v>
      </c>
      <c r="S299" s="85" t="s">
        <v>207</v>
      </c>
      <c r="T299" s="85">
        <v>1</v>
      </c>
      <c r="U299" s="85" t="s">
        <v>878</v>
      </c>
      <c r="V299" s="1" t="s">
        <v>786</v>
      </c>
      <c r="W299" s="85" t="s">
        <v>879</v>
      </c>
      <c r="X299" s="12">
        <v>15</v>
      </c>
      <c r="Y299" s="1" t="s">
        <v>912</v>
      </c>
      <c r="Z299" s="1" t="s">
        <v>913</v>
      </c>
      <c r="AA299" s="1" t="s">
        <v>914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647</v>
      </c>
      <c r="AH299" s="75" t="s">
        <v>605</v>
      </c>
      <c r="AI299" s="74"/>
    </row>
    <row r="300" s="40" customFormat="1" spans="1:35">
      <c r="A300" s="12">
        <v>130410</v>
      </c>
      <c r="B300" s="12" t="s">
        <v>915</v>
      </c>
      <c r="C300" s="12" t="s">
        <v>871</v>
      </c>
      <c r="D300" s="12" t="s">
        <v>872</v>
      </c>
      <c r="E300" s="12" t="s">
        <v>873</v>
      </c>
      <c r="F300" s="12" t="s">
        <v>874</v>
      </c>
      <c r="G300" s="85">
        <v>3</v>
      </c>
      <c r="H300" s="85">
        <v>4</v>
      </c>
      <c r="I300" s="85">
        <v>3</v>
      </c>
      <c r="J300" s="85">
        <v>10</v>
      </c>
      <c r="K300" s="85">
        <v>460831</v>
      </c>
      <c r="L300" s="85">
        <v>600</v>
      </c>
      <c r="M300" s="85">
        <v>6010</v>
      </c>
      <c r="N300" s="85" t="s">
        <v>875</v>
      </c>
      <c r="O300" s="86" t="s">
        <v>876</v>
      </c>
      <c r="P300" s="85" t="s">
        <v>877</v>
      </c>
      <c r="Q300" s="88">
        <v>1100001</v>
      </c>
      <c r="R300" s="85">
        <v>0</v>
      </c>
      <c r="S300" s="85" t="s">
        <v>207</v>
      </c>
      <c r="T300" s="85">
        <v>1</v>
      </c>
      <c r="U300" s="85" t="s">
        <v>878</v>
      </c>
      <c r="V300" s="1" t="s">
        <v>786</v>
      </c>
      <c r="W300" s="85" t="s">
        <v>879</v>
      </c>
      <c r="X300" s="12">
        <v>15</v>
      </c>
      <c r="Y300" s="1" t="s">
        <v>916</v>
      </c>
      <c r="Z300" s="1" t="s">
        <v>917</v>
      </c>
      <c r="AA300" s="1" t="s">
        <v>918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647</v>
      </c>
      <c r="AH300" s="75" t="s">
        <v>605</v>
      </c>
      <c r="AI300" s="74"/>
    </row>
    <row r="301" s="40" customFormat="1" spans="1:35">
      <c r="A301" s="12">
        <v>130411</v>
      </c>
      <c r="B301" s="12" t="s">
        <v>919</v>
      </c>
      <c r="C301" s="12" t="s">
        <v>871</v>
      </c>
      <c r="D301" s="12" t="s">
        <v>872</v>
      </c>
      <c r="E301" s="12" t="s">
        <v>873</v>
      </c>
      <c r="F301" s="12" t="s">
        <v>874</v>
      </c>
      <c r="G301" s="85">
        <v>3</v>
      </c>
      <c r="H301" s="85">
        <v>4</v>
      </c>
      <c r="I301" s="85">
        <v>3</v>
      </c>
      <c r="J301" s="85">
        <v>11</v>
      </c>
      <c r="K301" s="85">
        <v>476862</v>
      </c>
      <c r="L301" s="85">
        <v>600</v>
      </c>
      <c r="M301" s="85">
        <v>6011</v>
      </c>
      <c r="N301" s="85" t="s">
        <v>875</v>
      </c>
      <c r="O301" s="86" t="s">
        <v>876</v>
      </c>
      <c r="P301" s="85" t="s">
        <v>877</v>
      </c>
      <c r="Q301" s="88">
        <v>1100001</v>
      </c>
      <c r="R301" s="85">
        <v>0</v>
      </c>
      <c r="S301" s="85" t="s">
        <v>207</v>
      </c>
      <c r="T301" s="85">
        <v>1</v>
      </c>
      <c r="U301" s="85" t="s">
        <v>878</v>
      </c>
      <c r="V301" s="1" t="s">
        <v>786</v>
      </c>
      <c r="W301" s="85" t="s">
        <v>879</v>
      </c>
      <c r="X301" s="12">
        <v>15</v>
      </c>
      <c r="Y301" s="1" t="s">
        <v>920</v>
      </c>
      <c r="Z301" s="1" t="s">
        <v>921</v>
      </c>
      <c r="AA301" s="1" t="s">
        <v>922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647</v>
      </c>
      <c r="AH301" s="75" t="s">
        <v>605</v>
      </c>
      <c r="AI301" s="74"/>
    </row>
    <row r="302" s="40" customFormat="1" spans="1:35">
      <c r="A302" s="12">
        <v>130412</v>
      </c>
      <c r="B302" s="12" t="s">
        <v>923</v>
      </c>
      <c r="C302" s="12" t="s">
        <v>871</v>
      </c>
      <c r="D302" s="12" t="s">
        <v>872</v>
      </c>
      <c r="E302" s="12" t="s">
        <v>873</v>
      </c>
      <c r="F302" s="12" t="s">
        <v>874</v>
      </c>
      <c r="G302" s="85">
        <v>3</v>
      </c>
      <c r="H302" s="85">
        <v>4</v>
      </c>
      <c r="I302" s="85">
        <v>3</v>
      </c>
      <c r="J302" s="85">
        <v>12</v>
      </c>
      <c r="K302" s="85">
        <v>492701</v>
      </c>
      <c r="L302" s="85">
        <v>600</v>
      </c>
      <c r="M302" s="85">
        <v>6012</v>
      </c>
      <c r="N302" s="85" t="s">
        <v>875</v>
      </c>
      <c r="O302" s="86" t="s">
        <v>876</v>
      </c>
      <c r="P302" s="85" t="s">
        <v>877</v>
      </c>
      <c r="Q302" s="88">
        <v>1100001</v>
      </c>
      <c r="R302" s="85">
        <v>0</v>
      </c>
      <c r="S302" s="85" t="s">
        <v>207</v>
      </c>
      <c r="T302" s="85">
        <v>1</v>
      </c>
      <c r="U302" s="85" t="s">
        <v>878</v>
      </c>
      <c r="V302" s="1" t="s">
        <v>786</v>
      </c>
      <c r="W302" s="85" t="s">
        <v>879</v>
      </c>
      <c r="X302" s="12">
        <v>15</v>
      </c>
      <c r="Y302" s="1" t="s">
        <v>924</v>
      </c>
      <c r="Z302" s="1" t="s">
        <v>925</v>
      </c>
      <c r="AA302" s="1" t="s">
        <v>926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647</v>
      </c>
      <c r="AH302" s="75" t="s">
        <v>605</v>
      </c>
      <c r="AI302" s="74"/>
    </row>
    <row r="303" s="40" customFormat="1" spans="1:35">
      <c r="A303" s="12">
        <v>130413</v>
      </c>
      <c r="B303" s="12" t="s">
        <v>927</v>
      </c>
      <c r="C303" s="12" t="s">
        <v>871</v>
      </c>
      <c r="D303" s="12" t="s">
        <v>872</v>
      </c>
      <c r="E303" s="12" t="s">
        <v>873</v>
      </c>
      <c r="F303" s="12" t="s">
        <v>874</v>
      </c>
      <c r="G303" s="85">
        <v>3</v>
      </c>
      <c r="H303" s="85">
        <v>4</v>
      </c>
      <c r="I303" s="85">
        <v>3</v>
      </c>
      <c r="J303" s="85">
        <v>13</v>
      </c>
      <c r="K303" s="85">
        <v>508569</v>
      </c>
      <c r="L303" s="85">
        <v>600</v>
      </c>
      <c r="M303" s="85">
        <v>6013</v>
      </c>
      <c r="N303" s="85" t="s">
        <v>875</v>
      </c>
      <c r="O303" s="86" t="s">
        <v>876</v>
      </c>
      <c r="P303" s="85" t="s">
        <v>877</v>
      </c>
      <c r="Q303" s="88">
        <v>1100001</v>
      </c>
      <c r="R303" s="85">
        <v>0</v>
      </c>
      <c r="S303" s="85" t="s">
        <v>207</v>
      </c>
      <c r="T303" s="85">
        <v>1</v>
      </c>
      <c r="U303" s="85" t="s">
        <v>878</v>
      </c>
      <c r="V303" s="1" t="s">
        <v>786</v>
      </c>
      <c r="W303" s="85" t="s">
        <v>879</v>
      </c>
      <c r="X303" s="12">
        <v>15</v>
      </c>
      <c r="Y303" s="1" t="s">
        <v>928</v>
      </c>
      <c r="Z303" s="1" t="s">
        <v>929</v>
      </c>
      <c r="AA303" s="1" t="s">
        <v>930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647</v>
      </c>
      <c r="AH303" s="75" t="s">
        <v>605</v>
      </c>
      <c r="AI303" s="74"/>
    </row>
    <row r="304" s="40" customFormat="1" spans="1:35">
      <c r="A304" s="12">
        <v>130414</v>
      </c>
      <c r="B304" s="12" t="s">
        <v>931</v>
      </c>
      <c r="C304" s="12" t="s">
        <v>871</v>
      </c>
      <c r="D304" s="12" t="s">
        <v>872</v>
      </c>
      <c r="E304" s="12" t="s">
        <v>873</v>
      </c>
      <c r="F304" s="12" t="s">
        <v>874</v>
      </c>
      <c r="G304" s="85">
        <v>3</v>
      </c>
      <c r="H304" s="85">
        <v>4</v>
      </c>
      <c r="I304" s="85">
        <v>3</v>
      </c>
      <c r="J304" s="85">
        <v>14</v>
      </c>
      <c r="K304" s="85">
        <v>524437</v>
      </c>
      <c r="L304" s="85">
        <v>600</v>
      </c>
      <c r="M304" s="85">
        <v>6014</v>
      </c>
      <c r="N304" s="85" t="s">
        <v>875</v>
      </c>
      <c r="O304" s="86" t="s">
        <v>876</v>
      </c>
      <c r="P304" s="85" t="s">
        <v>877</v>
      </c>
      <c r="Q304" s="88">
        <v>1100001</v>
      </c>
      <c r="R304" s="85">
        <v>0</v>
      </c>
      <c r="S304" s="85" t="s">
        <v>207</v>
      </c>
      <c r="T304" s="85">
        <v>1</v>
      </c>
      <c r="U304" s="85" t="s">
        <v>878</v>
      </c>
      <c r="V304" s="1" t="s">
        <v>786</v>
      </c>
      <c r="W304" s="85" t="s">
        <v>879</v>
      </c>
      <c r="X304" s="12">
        <v>15</v>
      </c>
      <c r="Y304" s="1" t="s">
        <v>932</v>
      </c>
      <c r="Z304" s="1" t="s">
        <v>933</v>
      </c>
      <c r="AA304" s="1" t="s">
        <v>934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647</v>
      </c>
      <c r="AH304" s="75" t="s">
        <v>605</v>
      </c>
      <c r="AI304" s="74"/>
    </row>
    <row r="305" s="40" customFormat="1" spans="1:35">
      <c r="A305" s="12">
        <v>130415</v>
      </c>
      <c r="B305" s="12" t="s">
        <v>935</v>
      </c>
      <c r="C305" s="12" t="s">
        <v>871</v>
      </c>
      <c r="D305" s="12" t="s">
        <v>872</v>
      </c>
      <c r="E305" s="12" t="s">
        <v>873</v>
      </c>
      <c r="F305" s="12" t="s">
        <v>874</v>
      </c>
      <c r="G305" s="85">
        <v>3</v>
      </c>
      <c r="H305" s="85">
        <v>4</v>
      </c>
      <c r="I305" s="85">
        <v>3</v>
      </c>
      <c r="J305" s="85">
        <v>15</v>
      </c>
      <c r="K305" s="85">
        <v>540375</v>
      </c>
      <c r="L305" s="85">
        <v>600</v>
      </c>
      <c r="M305" s="85">
        <v>6015</v>
      </c>
      <c r="N305" s="85" t="s">
        <v>875</v>
      </c>
      <c r="O305" s="86" t="s">
        <v>876</v>
      </c>
      <c r="P305" s="85" t="s">
        <v>877</v>
      </c>
      <c r="Q305" s="88">
        <v>1100001</v>
      </c>
      <c r="R305" s="85">
        <v>0</v>
      </c>
      <c r="S305" s="85" t="s">
        <v>207</v>
      </c>
      <c r="T305" s="85">
        <v>1</v>
      </c>
      <c r="U305" s="85" t="s">
        <v>878</v>
      </c>
      <c r="V305" s="1" t="s">
        <v>786</v>
      </c>
      <c r="W305" s="85" t="s">
        <v>879</v>
      </c>
      <c r="X305" s="12">
        <v>15</v>
      </c>
      <c r="Y305" s="1" t="s">
        <v>936</v>
      </c>
      <c r="Z305" s="1" t="s">
        <v>937</v>
      </c>
      <c r="AA305" s="1" t="s">
        <v>938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647</v>
      </c>
      <c r="AH305" s="75" t="s">
        <v>605</v>
      </c>
      <c r="AI305" s="74"/>
    </row>
    <row r="306" s="40" customFormat="1" spans="1:35">
      <c r="A306" s="12">
        <v>130416</v>
      </c>
      <c r="B306" s="12" t="s">
        <v>939</v>
      </c>
      <c r="C306" s="12" t="s">
        <v>871</v>
      </c>
      <c r="D306" s="12" t="s">
        <v>872</v>
      </c>
      <c r="E306" s="12" t="s">
        <v>873</v>
      </c>
      <c r="F306" s="12" t="s">
        <v>874</v>
      </c>
      <c r="G306" s="85">
        <v>3</v>
      </c>
      <c r="H306" s="85">
        <v>4</v>
      </c>
      <c r="I306" s="85">
        <v>3</v>
      </c>
      <c r="J306" s="85">
        <v>16</v>
      </c>
      <c r="K306" s="85">
        <v>556214</v>
      </c>
      <c r="L306" s="85">
        <v>600</v>
      </c>
      <c r="M306" s="85">
        <v>6016</v>
      </c>
      <c r="N306" s="85" t="s">
        <v>875</v>
      </c>
      <c r="O306" s="86" t="s">
        <v>876</v>
      </c>
      <c r="P306" s="85" t="s">
        <v>877</v>
      </c>
      <c r="Q306" s="88">
        <v>1100001</v>
      </c>
      <c r="R306" s="85">
        <v>0</v>
      </c>
      <c r="S306" s="85" t="s">
        <v>207</v>
      </c>
      <c r="T306" s="85">
        <v>1</v>
      </c>
      <c r="U306" s="85" t="s">
        <v>878</v>
      </c>
      <c r="V306" s="1" t="s">
        <v>786</v>
      </c>
      <c r="W306" s="85" t="s">
        <v>879</v>
      </c>
      <c r="X306" s="12">
        <v>15</v>
      </c>
      <c r="Y306" s="1" t="s">
        <v>940</v>
      </c>
      <c r="Z306" s="1" t="s">
        <v>941</v>
      </c>
      <c r="AA306" s="1" t="s">
        <v>942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647</v>
      </c>
      <c r="AH306" s="75" t="s">
        <v>605</v>
      </c>
      <c r="AI306" s="74"/>
    </row>
    <row r="307" s="40" customFormat="1" spans="1:35">
      <c r="A307" s="12">
        <v>130417</v>
      </c>
      <c r="B307" s="12" t="s">
        <v>943</v>
      </c>
      <c r="C307" s="12" t="s">
        <v>871</v>
      </c>
      <c r="D307" s="12" t="s">
        <v>872</v>
      </c>
      <c r="E307" s="12" t="s">
        <v>873</v>
      </c>
      <c r="F307" s="12" t="s">
        <v>874</v>
      </c>
      <c r="G307" s="85">
        <v>3</v>
      </c>
      <c r="H307" s="85">
        <v>4</v>
      </c>
      <c r="I307" s="85">
        <v>3</v>
      </c>
      <c r="J307" s="85">
        <v>17</v>
      </c>
      <c r="K307" s="85">
        <v>572175</v>
      </c>
      <c r="L307" s="85">
        <v>600</v>
      </c>
      <c r="M307" s="85">
        <v>6017</v>
      </c>
      <c r="N307" s="85" t="s">
        <v>875</v>
      </c>
      <c r="O307" s="86" t="s">
        <v>876</v>
      </c>
      <c r="P307" s="85" t="s">
        <v>877</v>
      </c>
      <c r="Q307" s="88">
        <v>1100001</v>
      </c>
      <c r="R307" s="85">
        <v>0</v>
      </c>
      <c r="S307" s="85" t="s">
        <v>207</v>
      </c>
      <c r="T307" s="85">
        <v>1</v>
      </c>
      <c r="U307" s="85" t="s">
        <v>878</v>
      </c>
      <c r="V307" s="1" t="s">
        <v>786</v>
      </c>
      <c r="W307" s="85" t="s">
        <v>879</v>
      </c>
      <c r="X307" s="12">
        <v>15</v>
      </c>
      <c r="Y307" s="1" t="s">
        <v>944</v>
      </c>
      <c r="Z307" s="1" t="s">
        <v>945</v>
      </c>
      <c r="AA307" s="1" t="s">
        <v>946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647</v>
      </c>
      <c r="AH307" s="75" t="s">
        <v>605</v>
      </c>
      <c r="AI307" s="74"/>
    </row>
    <row r="308" s="40" customFormat="1" spans="1:35">
      <c r="A308" s="12">
        <v>130418</v>
      </c>
      <c r="B308" s="12" t="s">
        <v>947</v>
      </c>
      <c r="C308" s="12" t="s">
        <v>871</v>
      </c>
      <c r="D308" s="12" t="s">
        <v>872</v>
      </c>
      <c r="E308" s="12" t="s">
        <v>873</v>
      </c>
      <c r="F308" s="12" t="s">
        <v>874</v>
      </c>
      <c r="G308" s="85">
        <v>3</v>
      </c>
      <c r="H308" s="85">
        <v>4</v>
      </c>
      <c r="I308" s="85">
        <v>3</v>
      </c>
      <c r="J308" s="85">
        <v>18</v>
      </c>
      <c r="K308" s="85">
        <v>588008</v>
      </c>
      <c r="L308" s="85">
        <v>600</v>
      </c>
      <c r="M308" s="85">
        <v>6018</v>
      </c>
      <c r="N308" s="85" t="s">
        <v>875</v>
      </c>
      <c r="O308" s="86" t="s">
        <v>876</v>
      </c>
      <c r="P308" s="85" t="s">
        <v>877</v>
      </c>
      <c r="Q308" s="88">
        <v>1100001</v>
      </c>
      <c r="R308" s="85">
        <v>0</v>
      </c>
      <c r="S308" s="85" t="s">
        <v>207</v>
      </c>
      <c r="T308" s="85">
        <v>1</v>
      </c>
      <c r="U308" s="85" t="s">
        <v>878</v>
      </c>
      <c r="V308" s="1" t="s">
        <v>786</v>
      </c>
      <c r="W308" s="85" t="s">
        <v>879</v>
      </c>
      <c r="X308" s="12">
        <v>15</v>
      </c>
      <c r="Y308" s="1" t="s">
        <v>948</v>
      </c>
      <c r="Z308" s="1" t="s">
        <v>949</v>
      </c>
      <c r="AA308" s="1" t="s">
        <v>950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647</v>
      </c>
      <c r="AH308" s="75" t="s">
        <v>605</v>
      </c>
      <c r="AI308" s="74"/>
    </row>
    <row r="309" s="40" customFormat="1" spans="1:35">
      <c r="A309" s="12">
        <v>130419</v>
      </c>
      <c r="B309" s="12" t="s">
        <v>951</v>
      </c>
      <c r="C309" s="12" t="s">
        <v>871</v>
      </c>
      <c r="D309" s="12" t="s">
        <v>872</v>
      </c>
      <c r="E309" s="12" t="s">
        <v>873</v>
      </c>
      <c r="F309" s="12" t="s">
        <v>874</v>
      </c>
      <c r="G309" s="85">
        <v>3</v>
      </c>
      <c r="H309" s="85">
        <v>4</v>
      </c>
      <c r="I309" s="85">
        <v>3</v>
      </c>
      <c r="J309" s="85">
        <v>19</v>
      </c>
      <c r="K309" s="85">
        <v>603894</v>
      </c>
      <c r="L309" s="85">
        <v>600</v>
      </c>
      <c r="M309" s="85">
        <v>6019</v>
      </c>
      <c r="N309" s="85" t="s">
        <v>875</v>
      </c>
      <c r="O309" s="86" t="s">
        <v>876</v>
      </c>
      <c r="P309" s="85" t="s">
        <v>877</v>
      </c>
      <c r="Q309" s="88">
        <v>1100001</v>
      </c>
      <c r="R309" s="85">
        <v>0</v>
      </c>
      <c r="S309" s="85" t="s">
        <v>207</v>
      </c>
      <c r="T309" s="85">
        <v>1</v>
      </c>
      <c r="U309" s="85" t="s">
        <v>878</v>
      </c>
      <c r="V309" s="1" t="s">
        <v>786</v>
      </c>
      <c r="W309" s="85" t="s">
        <v>879</v>
      </c>
      <c r="X309" s="12">
        <v>15</v>
      </c>
      <c r="Y309" s="1" t="s">
        <v>952</v>
      </c>
      <c r="Z309" s="1" t="s">
        <v>953</v>
      </c>
      <c r="AA309" s="1" t="s">
        <v>954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647</v>
      </c>
      <c r="AH309" s="75" t="s">
        <v>605</v>
      </c>
      <c r="AI309" s="74"/>
    </row>
    <row r="310" s="40" customFormat="1" spans="1:35">
      <c r="A310" s="12">
        <v>130420</v>
      </c>
      <c r="B310" s="12" t="s">
        <v>955</v>
      </c>
      <c r="C310" s="12" t="s">
        <v>871</v>
      </c>
      <c r="D310" s="12" t="s">
        <v>872</v>
      </c>
      <c r="E310" s="12" t="s">
        <v>873</v>
      </c>
      <c r="F310" s="12" t="s">
        <v>874</v>
      </c>
      <c r="G310" s="85">
        <v>3</v>
      </c>
      <c r="H310" s="85">
        <v>4</v>
      </c>
      <c r="I310" s="85">
        <v>3</v>
      </c>
      <c r="J310" s="85">
        <v>20</v>
      </c>
      <c r="K310" s="85">
        <v>619744</v>
      </c>
      <c r="L310" s="85">
        <v>600</v>
      </c>
      <c r="M310" s="85">
        <v>6020</v>
      </c>
      <c r="N310" s="85" t="s">
        <v>875</v>
      </c>
      <c r="O310" s="86" t="s">
        <v>876</v>
      </c>
      <c r="P310" s="85" t="s">
        <v>877</v>
      </c>
      <c r="Q310" s="88">
        <v>1100001</v>
      </c>
      <c r="R310" s="85">
        <v>0</v>
      </c>
      <c r="S310" s="85" t="s">
        <v>207</v>
      </c>
      <c r="T310" s="85">
        <v>1</v>
      </c>
      <c r="U310" s="85" t="s">
        <v>878</v>
      </c>
      <c r="V310" s="1" t="s">
        <v>786</v>
      </c>
      <c r="W310" s="85" t="s">
        <v>879</v>
      </c>
      <c r="X310" s="12">
        <v>15</v>
      </c>
      <c r="Y310" s="1" t="s">
        <v>956</v>
      </c>
      <c r="Z310" s="1" t="s">
        <v>957</v>
      </c>
      <c r="AA310" s="1" t="s">
        <v>958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647</v>
      </c>
      <c r="AH310" s="75" t="s">
        <v>605</v>
      </c>
      <c r="AI310" s="74"/>
    </row>
    <row r="311" s="40" customFormat="1" spans="1:35">
      <c r="A311" s="12">
        <v>130421</v>
      </c>
      <c r="B311" s="12" t="s">
        <v>959</v>
      </c>
      <c r="C311" s="12" t="s">
        <v>871</v>
      </c>
      <c r="D311" s="12" t="s">
        <v>872</v>
      </c>
      <c r="E311" s="12" t="s">
        <v>873</v>
      </c>
      <c r="F311" s="12" t="s">
        <v>874</v>
      </c>
      <c r="G311" s="85">
        <v>3</v>
      </c>
      <c r="H311" s="85">
        <v>4</v>
      </c>
      <c r="I311" s="85">
        <v>3</v>
      </c>
      <c r="J311" s="85">
        <v>21</v>
      </c>
      <c r="K311" s="85">
        <v>635688</v>
      </c>
      <c r="L311" s="85">
        <v>600</v>
      </c>
      <c r="M311" s="85">
        <v>6021</v>
      </c>
      <c r="N311" s="85" t="s">
        <v>875</v>
      </c>
      <c r="O311" s="86" t="s">
        <v>876</v>
      </c>
      <c r="P311" s="85" t="s">
        <v>877</v>
      </c>
      <c r="Q311" s="88">
        <v>1100001</v>
      </c>
      <c r="R311" s="85">
        <v>0</v>
      </c>
      <c r="S311" s="85" t="s">
        <v>207</v>
      </c>
      <c r="T311" s="85">
        <v>1</v>
      </c>
      <c r="U311" s="85" t="s">
        <v>878</v>
      </c>
      <c r="V311" s="1" t="s">
        <v>786</v>
      </c>
      <c r="W311" s="85" t="s">
        <v>879</v>
      </c>
      <c r="X311" s="12">
        <v>15</v>
      </c>
      <c r="Y311" s="1" t="s">
        <v>960</v>
      </c>
      <c r="Z311" s="1" t="s">
        <v>961</v>
      </c>
      <c r="AA311" s="1" t="s">
        <v>962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647</v>
      </c>
      <c r="AH311" s="75" t="s">
        <v>605</v>
      </c>
      <c r="AI311" s="74"/>
    </row>
    <row r="312" s="40" customFormat="1" spans="1:35">
      <c r="A312" s="12">
        <v>130422</v>
      </c>
      <c r="B312" s="12" t="s">
        <v>963</v>
      </c>
      <c r="C312" s="12" t="s">
        <v>871</v>
      </c>
      <c r="D312" s="12" t="s">
        <v>872</v>
      </c>
      <c r="E312" s="12" t="s">
        <v>873</v>
      </c>
      <c r="F312" s="12" t="s">
        <v>874</v>
      </c>
      <c r="G312" s="85">
        <v>3</v>
      </c>
      <c r="H312" s="85">
        <v>4</v>
      </c>
      <c r="I312" s="85">
        <v>3</v>
      </c>
      <c r="J312" s="85">
        <v>22</v>
      </c>
      <c r="K312" s="85">
        <v>756553</v>
      </c>
      <c r="L312" s="85">
        <v>600</v>
      </c>
      <c r="M312" s="85">
        <v>6022</v>
      </c>
      <c r="N312" s="85" t="s">
        <v>875</v>
      </c>
      <c r="O312" s="86" t="s">
        <v>876</v>
      </c>
      <c r="P312" s="85" t="s">
        <v>877</v>
      </c>
      <c r="Q312" s="88">
        <v>1100001</v>
      </c>
      <c r="R312" s="85">
        <v>0</v>
      </c>
      <c r="S312" s="85" t="s">
        <v>207</v>
      </c>
      <c r="T312" s="85">
        <v>1</v>
      </c>
      <c r="U312" s="85" t="s">
        <v>878</v>
      </c>
      <c r="V312" s="1" t="s">
        <v>786</v>
      </c>
      <c r="W312" s="85" t="s">
        <v>879</v>
      </c>
      <c r="X312" s="12">
        <v>15</v>
      </c>
      <c r="Y312" s="1" t="s">
        <v>964</v>
      </c>
      <c r="Z312" s="1" t="s">
        <v>965</v>
      </c>
      <c r="AA312" s="1" t="s">
        <v>966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647</v>
      </c>
      <c r="AH312" s="75" t="s">
        <v>605</v>
      </c>
      <c r="AI312" s="74"/>
    </row>
    <row r="313" s="40" customFormat="1" spans="1:35">
      <c r="A313" s="12">
        <v>130423</v>
      </c>
      <c r="B313" s="12" t="s">
        <v>967</v>
      </c>
      <c r="C313" s="12" t="s">
        <v>871</v>
      </c>
      <c r="D313" s="12" t="s">
        <v>872</v>
      </c>
      <c r="E313" s="12" t="s">
        <v>873</v>
      </c>
      <c r="F313" s="12" t="s">
        <v>874</v>
      </c>
      <c r="G313" s="85">
        <v>3</v>
      </c>
      <c r="H313" s="85">
        <v>4</v>
      </c>
      <c r="I313" s="85">
        <v>3</v>
      </c>
      <c r="J313" s="85">
        <v>23</v>
      </c>
      <c r="K313" s="85">
        <v>877418</v>
      </c>
      <c r="L313" s="85">
        <v>600</v>
      </c>
      <c r="M313" s="85">
        <v>6023</v>
      </c>
      <c r="N313" s="85" t="s">
        <v>875</v>
      </c>
      <c r="O313" s="86" t="s">
        <v>876</v>
      </c>
      <c r="P313" s="85" t="s">
        <v>877</v>
      </c>
      <c r="Q313" s="88">
        <v>1100001</v>
      </c>
      <c r="R313" s="85">
        <v>0</v>
      </c>
      <c r="S313" s="85" t="s">
        <v>207</v>
      </c>
      <c r="T313" s="85">
        <v>1</v>
      </c>
      <c r="U313" s="85" t="s">
        <v>878</v>
      </c>
      <c r="V313" s="1" t="s">
        <v>786</v>
      </c>
      <c r="W313" s="85" t="s">
        <v>879</v>
      </c>
      <c r="X313" s="12">
        <v>15</v>
      </c>
      <c r="Y313" s="1" t="s">
        <v>968</v>
      </c>
      <c r="Z313" s="1" t="s">
        <v>969</v>
      </c>
      <c r="AA313" s="1" t="s">
        <v>970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647</v>
      </c>
      <c r="AH313" s="75" t="s">
        <v>605</v>
      </c>
      <c r="AI313" s="74"/>
    </row>
    <row r="314" s="40" customFormat="1" spans="1:35">
      <c r="A314" s="12">
        <v>130424</v>
      </c>
      <c r="B314" s="12" t="s">
        <v>971</v>
      </c>
      <c r="C314" s="12" t="s">
        <v>871</v>
      </c>
      <c r="D314" s="12" t="s">
        <v>872</v>
      </c>
      <c r="E314" s="12" t="s">
        <v>873</v>
      </c>
      <c r="F314" s="12" t="s">
        <v>874</v>
      </c>
      <c r="G314" s="85">
        <v>3</v>
      </c>
      <c r="H314" s="85">
        <v>4</v>
      </c>
      <c r="I314" s="85">
        <v>3</v>
      </c>
      <c r="J314" s="85">
        <v>24</v>
      </c>
      <c r="K314" s="85">
        <v>998283</v>
      </c>
      <c r="L314" s="85">
        <v>600</v>
      </c>
      <c r="M314" s="85">
        <v>6024</v>
      </c>
      <c r="N314" s="85" t="s">
        <v>875</v>
      </c>
      <c r="O314" s="86" t="s">
        <v>876</v>
      </c>
      <c r="P314" s="85" t="s">
        <v>877</v>
      </c>
      <c r="Q314" s="88">
        <v>1100001</v>
      </c>
      <c r="R314" s="85">
        <v>0</v>
      </c>
      <c r="S314" s="85" t="s">
        <v>207</v>
      </c>
      <c r="T314" s="85">
        <v>1</v>
      </c>
      <c r="U314" s="85" t="s">
        <v>878</v>
      </c>
      <c r="V314" s="1" t="s">
        <v>786</v>
      </c>
      <c r="W314" s="85" t="s">
        <v>879</v>
      </c>
      <c r="X314" s="12">
        <v>15</v>
      </c>
      <c r="Y314" s="1" t="s">
        <v>972</v>
      </c>
      <c r="Z314" s="1" t="s">
        <v>973</v>
      </c>
      <c r="AA314" s="1" t="s">
        <v>974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647</v>
      </c>
      <c r="AH314" s="75" t="s">
        <v>605</v>
      </c>
      <c r="AI314" s="74"/>
    </row>
    <row r="315" s="40" customFormat="1" spans="1:35">
      <c r="A315" s="12">
        <v>130425</v>
      </c>
      <c r="B315" s="12" t="s">
        <v>975</v>
      </c>
      <c r="C315" s="12" t="s">
        <v>871</v>
      </c>
      <c r="D315" s="12" t="s">
        <v>872</v>
      </c>
      <c r="E315" s="12" t="s">
        <v>873</v>
      </c>
      <c r="F315" s="12" t="s">
        <v>874</v>
      </c>
      <c r="G315" s="85">
        <v>3</v>
      </c>
      <c r="H315" s="85">
        <v>4</v>
      </c>
      <c r="I315" s="85">
        <v>3</v>
      </c>
      <c r="J315" s="85">
        <v>25</v>
      </c>
      <c r="K315" s="85">
        <v>1119148</v>
      </c>
      <c r="L315" s="85">
        <v>600</v>
      </c>
      <c r="M315" s="85">
        <v>6025</v>
      </c>
      <c r="N315" s="85" t="s">
        <v>875</v>
      </c>
      <c r="O315" s="86" t="s">
        <v>876</v>
      </c>
      <c r="P315" s="85" t="s">
        <v>877</v>
      </c>
      <c r="Q315" s="88">
        <v>1100001</v>
      </c>
      <c r="R315" s="85">
        <v>0</v>
      </c>
      <c r="S315" s="85" t="s">
        <v>207</v>
      </c>
      <c r="T315" s="85">
        <v>1</v>
      </c>
      <c r="U315" s="85" t="s">
        <v>878</v>
      </c>
      <c r="V315" s="1" t="s">
        <v>786</v>
      </c>
      <c r="W315" s="85" t="s">
        <v>879</v>
      </c>
      <c r="X315" s="12">
        <v>15</v>
      </c>
      <c r="Y315" s="1" t="s">
        <v>976</v>
      </c>
      <c r="Z315" s="1" t="s">
        <v>977</v>
      </c>
      <c r="AA315" s="1" t="s">
        <v>978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647</v>
      </c>
      <c r="AH315" s="75" t="s">
        <v>605</v>
      </c>
      <c r="AI315" s="74"/>
    </row>
    <row r="316" s="40" customFormat="1" spans="1:35">
      <c r="A316" s="12">
        <v>130426</v>
      </c>
      <c r="B316" s="12" t="s">
        <v>979</v>
      </c>
      <c r="C316" s="12" t="s">
        <v>871</v>
      </c>
      <c r="D316" s="12" t="s">
        <v>872</v>
      </c>
      <c r="E316" s="12" t="s">
        <v>873</v>
      </c>
      <c r="F316" s="12" t="s">
        <v>874</v>
      </c>
      <c r="G316" s="85">
        <v>3</v>
      </c>
      <c r="H316" s="85">
        <v>4</v>
      </c>
      <c r="I316" s="85">
        <v>3</v>
      </c>
      <c r="J316" s="85">
        <v>26</v>
      </c>
      <c r="K316" s="85">
        <v>1240013</v>
      </c>
      <c r="L316" s="85">
        <v>600</v>
      </c>
      <c r="M316" s="85">
        <v>6026</v>
      </c>
      <c r="N316" s="85" t="s">
        <v>875</v>
      </c>
      <c r="O316" s="86" t="s">
        <v>876</v>
      </c>
      <c r="P316" s="85" t="s">
        <v>877</v>
      </c>
      <c r="Q316" s="88">
        <v>1100001</v>
      </c>
      <c r="R316" s="85">
        <v>0</v>
      </c>
      <c r="S316" s="85" t="s">
        <v>207</v>
      </c>
      <c r="T316" s="85">
        <v>1</v>
      </c>
      <c r="U316" s="85" t="s">
        <v>878</v>
      </c>
      <c r="V316" s="1" t="s">
        <v>786</v>
      </c>
      <c r="W316" s="85" t="s">
        <v>879</v>
      </c>
      <c r="X316" s="12">
        <v>15</v>
      </c>
      <c r="Y316" s="1" t="s">
        <v>980</v>
      </c>
      <c r="Z316" s="1" t="s">
        <v>981</v>
      </c>
      <c r="AA316" s="1" t="s">
        <v>982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647</v>
      </c>
      <c r="AH316" s="75" t="s">
        <v>605</v>
      </c>
      <c r="AI316" s="74"/>
    </row>
    <row r="317" s="40" customFormat="1" spans="1:35">
      <c r="A317" s="12">
        <v>130427</v>
      </c>
      <c r="B317" s="12" t="s">
        <v>983</v>
      </c>
      <c r="C317" s="12" t="s">
        <v>871</v>
      </c>
      <c r="D317" s="12" t="s">
        <v>872</v>
      </c>
      <c r="E317" s="12" t="s">
        <v>873</v>
      </c>
      <c r="F317" s="12" t="s">
        <v>874</v>
      </c>
      <c r="G317" s="85">
        <v>3</v>
      </c>
      <c r="H317" s="85">
        <v>4</v>
      </c>
      <c r="I317" s="85">
        <v>3</v>
      </c>
      <c r="J317" s="85">
        <v>27</v>
      </c>
      <c r="K317" s="85">
        <v>1360878</v>
      </c>
      <c r="L317" s="85">
        <v>600</v>
      </c>
      <c r="M317" s="85">
        <v>6027</v>
      </c>
      <c r="N317" s="85" t="s">
        <v>875</v>
      </c>
      <c r="O317" s="86" t="s">
        <v>876</v>
      </c>
      <c r="P317" s="85" t="s">
        <v>877</v>
      </c>
      <c r="Q317" s="88">
        <v>1100001</v>
      </c>
      <c r="R317" s="85">
        <v>0</v>
      </c>
      <c r="S317" s="85" t="s">
        <v>207</v>
      </c>
      <c r="T317" s="85">
        <v>1</v>
      </c>
      <c r="U317" s="85" t="s">
        <v>878</v>
      </c>
      <c r="V317" s="1" t="s">
        <v>786</v>
      </c>
      <c r="W317" s="85" t="s">
        <v>879</v>
      </c>
      <c r="X317" s="12">
        <v>15</v>
      </c>
      <c r="Y317" s="1" t="s">
        <v>984</v>
      </c>
      <c r="Z317" s="1" t="s">
        <v>985</v>
      </c>
      <c r="AA317" s="1" t="s">
        <v>986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647</v>
      </c>
      <c r="AH317" s="75" t="s">
        <v>605</v>
      </c>
      <c r="AI317" s="74"/>
    </row>
    <row r="318" s="40" customFormat="1" spans="1:35">
      <c r="A318" s="12">
        <v>130428</v>
      </c>
      <c r="B318" s="12" t="s">
        <v>987</v>
      </c>
      <c r="C318" s="12" t="s">
        <v>871</v>
      </c>
      <c r="D318" s="12" t="s">
        <v>872</v>
      </c>
      <c r="E318" s="12" t="s">
        <v>873</v>
      </c>
      <c r="F318" s="12" t="s">
        <v>874</v>
      </c>
      <c r="G318" s="85">
        <v>3</v>
      </c>
      <c r="H318" s="85">
        <v>4</v>
      </c>
      <c r="I318" s="85">
        <v>3</v>
      </c>
      <c r="J318" s="85">
        <v>28</v>
      </c>
      <c r="K318" s="85">
        <v>1481743</v>
      </c>
      <c r="L318" s="85">
        <v>600</v>
      </c>
      <c r="M318" s="85">
        <v>6028</v>
      </c>
      <c r="N318" s="85" t="s">
        <v>875</v>
      </c>
      <c r="O318" s="86" t="s">
        <v>876</v>
      </c>
      <c r="P318" s="85" t="s">
        <v>877</v>
      </c>
      <c r="Q318" s="88">
        <v>1100001</v>
      </c>
      <c r="R318" s="85">
        <v>0</v>
      </c>
      <c r="S318" s="85" t="s">
        <v>207</v>
      </c>
      <c r="T318" s="85">
        <v>1</v>
      </c>
      <c r="U318" s="85" t="s">
        <v>878</v>
      </c>
      <c r="V318" s="1" t="s">
        <v>786</v>
      </c>
      <c r="W318" s="85" t="s">
        <v>879</v>
      </c>
      <c r="X318" s="12">
        <v>15</v>
      </c>
      <c r="Y318" s="1" t="s">
        <v>988</v>
      </c>
      <c r="Z318" s="1" t="s">
        <v>989</v>
      </c>
      <c r="AA318" s="1" t="s">
        <v>990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647</v>
      </c>
      <c r="AH318" s="75" t="s">
        <v>605</v>
      </c>
      <c r="AI318" s="74"/>
    </row>
    <row r="319" s="40" customFormat="1" spans="1:35">
      <c r="A319" s="12">
        <v>130429</v>
      </c>
      <c r="B319" s="12" t="s">
        <v>991</v>
      </c>
      <c r="C319" s="12" t="s">
        <v>871</v>
      </c>
      <c r="D319" s="12" t="s">
        <v>872</v>
      </c>
      <c r="E319" s="12" t="s">
        <v>873</v>
      </c>
      <c r="F319" s="12" t="s">
        <v>874</v>
      </c>
      <c r="G319" s="85">
        <v>3</v>
      </c>
      <c r="H319" s="85">
        <v>4</v>
      </c>
      <c r="I319" s="85">
        <v>3</v>
      </c>
      <c r="J319" s="85">
        <v>29</v>
      </c>
      <c r="K319" s="85">
        <v>1602608</v>
      </c>
      <c r="L319" s="85">
        <v>600</v>
      </c>
      <c r="M319" s="85">
        <v>6029</v>
      </c>
      <c r="N319" s="85" t="s">
        <v>875</v>
      </c>
      <c r="O319" s="86" t="s">
        <v>876</v>
      </c>
      <c r="P319" s="85" t="s">
        <v>877</v>
      </c>
      <c r="Q319" s="88">
        <v>1100001</v>
      </c>
      <c r="R319" s="85">
        <v>0</v>
      </c>
      <c r="S319" s="85" t="s">
        <v>207</v>
      </c>
      <c r="T319" s="85">
        <v>1</v>
      </c>
      <c r="U319" s="85" t="s">
        <v>878</v>
      </c>
      <c r="V319" s="1" t="s">
        <v>786</v>
      </c>
      <c r="W319" s="85" t="s">
        <v>879</v>
      </c>
      <c r="X319" s="12">
        <v>15</v>
      </c>
      <c r="Y319" s="1" t="s">
        <v>992</v>
      </c>
      <c r="Z319" s="1" t="s">
        <v>993</v>
      </c>
      <c r="AA319" s="1" t="s">
        <v>994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647</v>
      </c>
      <c r="AH319" s="75" t="s">
        <v>605</v>
      </c>
      <c r="AI319" s="74"/>
    </row>
    <row r="320" s="40" customFormat="1" spans="1:35">
      <c r="A320" s="12">
        <v>130430</v>
      </c>
      <c r="B320" s="12" t="s">
        <v>995</v>
      </c>
      <c r="C320" s="12" t="s">
        <v>871</v>
      </c>
      <c r="D320" s="12" t="s">
        <v>872</v>
      </c>
      <c r="E320" s="12" t="s">
        <v>873</v>
      </c>
      <c r="F320" s="12" t="s">
        <v>874</v>
      </c>
      <c r="G320" s="85">
        <v>3</v>
      </c>
      <c r="H320" s="85">
        <v>4</v>
      </c>
      <c r="I320" s="85">
        <v>3</v>
      </c>
      <c r="J320" s="85">
        <v>30</v>
      </c>
      <c r="K320" s="85">
        <v>1722810</v>
      </c>
      <c r="L320" s="85">
        <v>600</v>
      </c>
      <c r="M320" s="85">
        <v>6030</v>
      </c>
      <c r="N320" s="85" t="s">
        <v>875</v>
      </c>
      <c r="O320" s="86" t="s">
        <v>876</v>
      </c>
      <c r="P320" s="85" t="s">
        <v>877</v>
      </c>
      <c r="Q320" s="88">
        <v>1100001</v>
      </c>
      <c r="R320" s="85">
        <v>0</v>
      </c>
      <c r="S320" s="85" t="s">
        <v>207</v>
      </c>
      <c r="T320" s="85">
        <v>1</v>
      </c>
      <c r="U320" s="85" t="s">
        <v>878</v>
      </c>
      <c r="V320" s="1" t="s">
        <v>786</v>
      </c>
      <c r="W320" s="85" t="s">
        <v>879</v>
      </c>
      <c r="X320" s="12">
        <v>15</v>
      </c>
      <c r="Y320" s="1" t="s">
        <v>996</v>
      </c>
      <c r="Z320" s="1" t="s">
        <v>997</v>
      </c>
      <c r="AA320" s="1" t="s">
        <v>998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647</v>
      </c>
      <c r="AH320" s="75" t="s">
        <v>605</v>
      </c>
      <c r="AI320" s="74"/>
    </row>
    <row r="321" s="40" customFormat="1" spans="1:35">
      <c r="A321" s="12">
        <v>130501</v>
      </c>
      <c r="B321" s="12" t="s">
        <v>999</v>
      </c>
      <c r="C321" s="12" t="s">
        <v>871</v>
      </c>
      <c r="D321" s="12" t="s">
        <v>872</v>
      </c>
      <c r="E321" s="12" t="s">
        <v>873</v>
      </c>
      <c r="F321" s="12" t="s">
        <v>874</v>
      </c>
      <c r="G321" s="85">
        <v>3</v>
      </c>
      <c r="H321" s="85">
        <v>4</v>
      </c>
      <c r="I321" s="85">
        <v>3</v>
      </c>
      <c r="J321" s="85">
        <v>1</v>
      </c>
      <c r="K321" s="85">
        <v>349638</v>
      </c>
      <c r="L321" s="85">
        <v>600</v>
      </c>
      <c r="M321" s="85">
        <v>6031</v>
      </c>
      <c r="N321" s="85" t="s">
        <v>875</v>
      </c>
      <c r="O321" s="86" t="s">
        <v>876</v>
      </c>
      <c r="P321" s="85" t="s">
        <v>877</v>
      </c>
      <c r="Q321" s="88">
        <v>1100001</v>
      </c>
      <c r="R321" s="85">
        <v>0</v>
      </c>
      <c r="S321" s="85" t="s">
        <v>207</v>
      </c>
      <c r="T321" s="85">
        <v>1</v>
      </c>
      <c r="U321" s="85" t="s">
        <v>878</v>
      </c>
      <c r="V321" s="1" t="s">
        <v>786</v>
      </c>
      <c r="W321" s="85" t="s">
        <v>879</v>
      </c>
      <c r="X321" s="12">
        <v>15</v>
      </c>
      <c r="Y321" s="1" t="s">
        <v>888</v>
      </c>
      <c r="Z321" s="1" t="s">
        <v>889</v>
      </c>
      <c r="AA321" s="1" t="s">
        <v>890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647</v>
      </c>
      <c r="AH321" s="75" t="s">
        <v>605</v>
      </c>
      <c r="AI321" s="74"/>
    </row>
    <row r="322" s="40" customFormat="1" spans="1:35">
      <c r="A322" s="12">
        <v>130502</v>
      </c>
      <c r="B322" s="12" t="s">
        <v>1000</v>
      </c>
      <c r="C322" s="12" t="s">
        <v>871</v>
      </c>
      <c r="D322" s="12" t="s">
        <v>872</v>
      </c>
      <c r="E322" s="12" t="s">
        <v>873</v>
      </c>
      <c r="F322" s="12" t="s">
        <v>874</v>
      </c>
      <c r="G322" s="85">
        <v>3</v>
      </c>
      <c r="H322" s="85">
        <v>4</v>
      </c>
      <c r="I322" s="85">
        <v>3</v>
      </c>
      <c r="J322" s="85">
        <v>2</v>
      </c>
      <c r="K322" s="85">
        <v>381357</v>
      </c>
      <c r="L322" s="85">
        <v>600</v>
      </c>
      <c r="M322" s="85">
        <v>6032</v>
      </c>
      <c r="N322" s="85" t="s">
        <v>875</v>
      </c>
      <c r="O322" s="86" t="s">
        <v>876</v>
      </c>
      <c r="P322" s="85" t="s">
        <v>877</v>
      </c>
      <c r="Q322" s="88">
        <v>1100001</v>
      </c>
      <c r="R322" s="85">
        <v>0</v>
      </c>
      <c r="S322" s="85" t="s">
        <v>207</v>
      </c>
      <c r="T322" s="85">
        <v>1</v>
      </c>
      <c r="U322" s="85" t="s">
        <v>878</v>
      </c>
      <c r="V322" s="1" t="s">
        <v>786</v>
      </c>
      <c r="W322" s="85" t="s">
        <v>879</v>
      </c>
      <c r="X322" s="12">
        <v>15</v>
      </c>
      <c r="Y322" s="1" t="s">
        <v>896</v>
      </c>
      <c r="Z322" s="1" t="s">
        <v>897</v>
      </c>
      <c r="AA322" s="1" t="s">
        <v>898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647</v>
      </c>
      <c r="AH322" s="75" t="s">
        <v>605</v>
      </c>
      <c r="AI322" s="74"/>
    </row>
    <row r="323" s="40" customFormat="1" spans="1:35">
      <c r="A323" s="12">
        <v>130503</v>
      </c>
      <c r="B323" s="12" t="s">
        <v>1001</v>
      </c>
      <c r="C323" s="12" t="s">
        <v>871</v>
      </c>
      <c r="D323" s="12" t="s">
        <v>872</v>
      </c>
      <c r="E323" s="12" t="s">
        <v>873</v>
      </c>
      <c r="F323" s="12" t="s">
        <v>874</v>
      </c>
      <c r="G323" s="85">
        <v>3</v>
      </c>
      <c r="H323" s="85">
        <v>4</v>
      </c>
      <c r="I323" s="85">
        <v>3</v>
      </c>
      <c r="J323" s="85">
        <v>3</v>
      </c>
      <c r="K323" s="85">
        <v>413157</v>
      </c>
      <c r="L323" s="85">
        <v>600</v>
      </c>
      <c r="M323" s="85">
        <v>6033</v>
      </c>
      <c r="N323" s="85" t="s">
        <v>875</v>
      </c>
      <c r="O323" s="86" t="s">
        <v>876</v>
      </c>
      <c r="P323" s="85" t="s">
        <v>877</v>
      </c>
      <c r="Q323" s="88">
        <v>1100001</v>
      </c>
      <c r="R323" s="85">
        <v>0</v>
      </c>
      <c r="S323" s="85" t="s">
        <v>207</v>
      </c>
      <c r="T323" s="85">
        <v>1</v>
      </c>
      <c r="U323" s="85" t="s">
        <v>878</v>
      </c>
      <c r="V323" s="1" t="s">
        <v>786</v>
      </c>
      <c r="W323" s="85" t="s">
        <v>879</v>
      </c>
      <c r="X323" s="12">
        <v>15</v>
      </c>
      <c r="Y323" s="1" t="s">
        <v>904</v>
      </c>
      <c r="Z323" s="1" t="s">
        <v>905</v>
      </c>
      <c r="AA323" s="1" t="s">
        <v>906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647</v>
      </c>
      <c r="AH323" s="75" t="s">
        <v>605</v>
      </c>
      <c r="AI323" s="74"/>
    </row>
    <row r="324" s="40" customFormat="1" spans="1:35">
      <c r="A324" s="12">
        <v>130504</v>
      </c>
      <c r="B324" s="12" t="s">
        <v>1002</v>
      </c>
      <c r="C324" s="12" t="s">
        <v>871</v>
      </c>
      <c r="D324" s="12" t="s">
        <v>872</v>
      </c>
      <c r="E324" s="12" t="s">
        <v>873</v>
      </c>
      <c r="F324" s="12" t="s">
        <v>874</v>
      </c>
      <c r="G324" s="85">
        <v>3</v>
      </c>
      <c r="H324" s="85">
        <v>4</v>
      </c>
      <c r="I324" s="85">
        <v>3</v>
      </c>
      <c r="J324" s="85">
        <v>4</v>
      </c>
      <c r="K324" s="85">
        <v>444963</v>
      </c>
      <c r="L324" s="85">
        <v>600</v>
      </c>
      <c r="M324" s="85">
        <v>6034</v>
      </c>
      <c r="N324" s="85" t="s">
        <v>875</v>
      </c>
      <c r="O324" s="86" t="s">
        <v>876</v>
      </c>
      <c r="P324" s="85" t="s">
        <v>877</v>
      </c>
      <c r="Q324" s="88">
        <v>1100001</v>
      </c>
      <c r="R324" s="85">
        <v>0</v>
      </c>
      <c r="S324" s="85" t="s">
        <v>207</v>
      </c>
      <c r="T324" s="85">
        <v>1</v>
      </c>
      <c r="U324" s="85" t="s">
        <v>878</v>
      </c>
      <c r="V324" s="1" t="s">
        <v>786</v>
      </c>
      <c r="W324" s="85" t="s">
        <v>879</v>
      </c>
      <c r="X324" s="12">
        <v>15</v>
      </c>
      <c r="Y324" s="1" t="s">
        <v>912</v>
      </c>
      <c r="Z324" s="1" t="s">
        <v>913</v>
      </c>
      <c r="AA324" s="1" t="s">
        <v>914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647</v>
      </c>
      <c r="AH324" s="75" t="s">
        <v>605</v>
      </c>
      <c r="AI324" s="74"/>
    </row>
    <row r="325" s="40" customFormat="1" spans="1:35">
      <c r="A325" s="12">
        <v>130505</v>
      </c>
      <c r="B325" s="12" t="s">
        <v>1003</v>
      </c>
      <c r="C325" s="12" t="s">
        <v>871</v>
      </c>
      <c r="D325" s="12" t="s">
        <v>872</v>
      </c>
      <c r="E325" s="12" t="s">
        <v>873</v>
      </c>
      <c r="F325" s="12" t="s">
        <v>874</v>
      </c>
      <c r="G325" s="85">
        <v>3</v>
      </c>
      <c r="H325" s="85">
        <v>4</v>
      </c>
      <c r="I325" s="85">
        <v>3</v>
      </c>
      <c r="J325" s="85">
        <v>5</v>
      </c>
      <c r="K325" s="85">
        <v>460831</v>
      </c>
      <c r="L325" s="85">
        <v>600</v>
      </c>
      <c r="M325" s="85">
        <v>6035</v>
      </c>
      <c r="N325" s="85" t="s">
        <v>875</v>
      </c>
      <c r="O325" s="86" t="s">
        <v>876</v>
      </c>
      <c r="P325" s="85" t="s">
        <v>877</v>
      </c>
      <c r="Q325" s="88">
        <v>1100001</v>
      </c>
      <c r="R325" s="85">
        <v>0</v>
      </c>
      <c r="S325" s="85" t="s">
        <v>207</v>
      </c>
      <c r="T325" s="85">
        <v>1</v>
      </c>
      <c r="U325" s="85" t="s">
        <v>878</v>
      </c>
      <c r="V325" s="1" t="s">
        <v>786</v>
      </c>
      <c r="W325" s="85" t="s">
        <v>879</v>
      </c>
      <c r="X325" s="12">
        <v>15</v>
      </c>
      <c r="Y325" s="1" t="s">
        <v>916</v>
      </c>
      <c r="Z325" s="1" t="s">
        <v>917</v>
      </c>
      <c r="AA325" s="1" t="s">
        <v>918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647</v>
      </c>
      <c r="AH325" s="75" t="s">
        <v>605</v>
      </c>
      <c r="AI325" s="74"/>
    </row>
    <row r="326" s="40" customFormat="1" spans="1:35">
      <c r="A326" s="12">
        <v>130506</v>
      </c>
      <c r="B326" s="12" t="s">
        <v>1004</v>
      </c>
      <c r="C326" s="12" t="s">
        <v>871</v>
      </c>
      <c r="D326" s="12" t="s">
        <v>872</v>
      </c>
      <c r="E326" s="12" t="s">
        <v>873</v>
      </c>
      <c r="F326" s="12" t="s">
        <v>874</v>
      </c>
      <c r="G326" s="85">
        <v>3</v>
      </c>
      <c r="H326" s="85">
        <v>4</v>
      </c>
      <c r="I326" s="85">
        <v>3</v>
      </c>
      <c r="J326" s="85">
        <v>6</v>
      </c>
      <c r="K326" s="85">
        <v>492701</v>
      </c>
      <c r="L326" s="85">
        <v>600</v>
      </c>
      <c r="M326" s="85">
        <v>6036</v>
      </c>
      <c r="N326" s="85" t="s">
        <v>875</v>
      </c>
      <c r="O326" s="86" t="s">
        <v>876</v>
      </c>
      <c r="P326" s="85" t="s">
        <v>877</v>
      </c>
      <c r="Q326" s="88">
        <v>1100001</v>
      </c>
      <c r="R326" s="85">
        <v>0</v>
      </c>
      <c r="S326" s="85" t="s">
        <v>207</v>
      </c>
      <c r="T326" s="85">
        <v>1</v>
      </c>
      <c r="U326" s="85" t="s">
        <v>878</v>
      </c>
      <c r="V326" s="1" t="s">
        <v>786</v>
      </c>
      <c r="W326" s="85" t="s">
        <v>879</v>
      </c>
      <c r="X326" s="12">
        <v>15</v>
      </c>
      <c r="Y326" s="1" t="s">
        <v>924</v>
      </c>
      <c r="Z326" s="1" t="s">
        <v>925</v>
      </c>
      <c r="AA326" s="1" t="s">
        <v>926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647</v>
      </c>
      <c r="AH326" s="75" t="s">
        <v>605</v>
      </c>
      <c r="AI326" s="74"/>
    </row>
    <row r="327" s="40" customFormat="1" spans="1:35">
      <c r="A327" s="12">
        <v>130507</v>
      </c>
      <c r="B327" s="12" t="s">
        <v>1005</v>
      </c>
      <c r="C327" s="12" t="s">
        <v>871</v>
      </c>
      <c r="D327" s="12" t="s">
        <v>872</v>
      </c>
      <c r="E327" s="12" t="s">
        <v>873</v>
      </c>
      <c r="F327" s="12" t="s">
        <v>874</v>
      </c>
      <c r="G327" s="85">
        <v>3</v>
      </c>
      <c r="H327" s="85">
        <v>4</v>
      </c>
      <c r="I327" s="85">
        <v>3</v>
      </c>
      <c r="J327" s="85">
        <v>7</v>
      </c>
      <c r="K327" s="85">
        <v>524437</v>
      </c>
      <c r="L327" s="85">
        <v>600</v>
      </c>
      <c r="M327" s="85">
        <v>6037</v>
      </c>
      <c r="N327" s="85" t="s">
        <v>875</v>
      </c>
      <c r="O327" s="86" t="s">
        <v>876</v>
      </c>
      <c r="P327" s="85" t="s">
        <v>877</v>
      </c>
      <c r="Q327" s="88">
        <v>1100001</v>
      </c>
      <c r="R327" s="85">
        <v>0</v>
      </c>
      <c r="S327" s="85" t="s">
        <v>207</v>
      </c>
      <c r="T327" s="85">
        <v>1</v>
      </c>
      <c r="U327" s="85" t="s">
        <v>878</v>
      </c>
      <c r="V327" s="1" t="s">
        <v>786</v>
      </c>
      <c r="W327" s="85" t="s">
        <v>879</v>
      </c>
      <c r="X327" s="12">
        <v>15</v>
      </c>
      <c r="Y327" s="1" t="s">
        <v>932</v>
      </c>
      <c r="Z327" s="1" t="s">
        <v>933</v>
      </c>
      <c r="AA327" s="1" t="s">
        <v>934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647</v>
      </c>
      <c r="AH327" s="75" t="s">
        <v>605</v>
      </c>
      <c r="AI327" s="74"/>
    </row>
    <row r="328" s="40" customFormat="1" spans="1:35">
      <c r="A328" s="12">
        <v>130508</v>
      </c>
      <c r="B328" s="12" t="s">
        <v>1006</v>
      </c>
      <c r="C328" s="12" t="s">
        <v>871</v>
      </c>
      <c r="D328" s="12" t="s">
        <v>872</v>
      </c>
      <c r="E328" s="12" t="s">
        <v>873</v>
      </c>
      <c r="F328" s="12" t="s">
        <v>874</v>
      </c>
      <c r="G328" s="85">
        <v>3</v>
      </c>
      <c r="H328" s="85">
        <v>4</v>
      </c>
      <c r="I328" s="85">
        <v>3</v>
      </c>
      <c r="J328" s="85">
        <v>8</v>
      </c>
      <c r="K328" s="85">
        <v>556214</v>
      </c>
      <c r="L328" s="85">
        <v>600</v>
      </c>
      <c r="M328" s="85">
        <v>6038</v>
      </c>
      <c r="N328" s="85" t="s">
        <v>875</v>
      </c>
      <c r="O328" s="86" t="s">
        <v>876</v>
      </c>
      <c r="P328" s="85" t="s">
        <v>877</v>
      </c>
      <c r="Q328" s="88">
        <v>1100001</v>
      </c>
      <c r="R328" s="85">
        <v>0</v>
      </c>
      <c r="S328" s="85" t="s">
        <v>207</v>
      </c>
      <c r="T328" s="85">
        <v>1</v>
      </c>
      <c r="U328" s="85" t="s">
        <v>878</v>
      </c>
      <c r="V328" s="1" t="s">
        <v>786</v>
      </c>
      <c r="W328" s="85" t="s">
        <v>879</v>
      </c>
      <c r="X328" s="12">
        <v>15</v>
      </c>
      <c r="Y328" s="1" t="s">
        <v>940</v>
      </c>
      <c r="Z328" s="1" t="s">
        <v>941</v>
      </c>
      <c r="AA328" s="1" t="s">
        <v>942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647</v>
      </c>
      <c r="AH328" s="75" t="s">
        <v>605</v>
      </c>
      <c r="AI328" s="74"/>
    </row>
    <row r="329" s="40" customFormat="1" spans="1:35">
      <c r="A329" s="12">
        <v>130509</v>
      </c>
      <c r="B329" s="12" t="s">
        <v>1007</v>
      </c>
      <c r="C329" s="12" t="s">
        <v>871</v>
      </c>
      <c r="D329" s="12" t="s">
        <v>872</v>
      </c>
      <c r="E329" s="12" t="s">
        <v>873</v>
      </c>
      <c r="F329" s="12" t="s">
        <v>874</v>
      </c>
      <c r="G329" s="85">
        <v>3</v>
      </c>
      <c r="H329" s="85">
        <v>4</v>
      </c>
      <c r="I329" s="85">
        <v>3</v>
      </c>
      <c r="J329" s="85">
        <v>9</v>
      </c>
      <c r="K329" s="85">
        <v>588008</v>
      </c>
      <c r="L329" s="85">
        <v>600</v>
      </c>
      <c r="M329" s="85">
        <v>6039</v>
      </c>
      <c r="N329" s="85" t="s">
        <v>875</v>
      </c>
      <c r="O329" s="86" t="s">
        <v>876</v>
      </c>
      <c r="P329" s="85" t="s">
        <v>877</v>
      </c>
      <c r="Q329" s="88">
        <v>1100001</v>
      </c>
      <c r="R329" s="85">
        <v>0</v>
      </c>
      <c r="S329" s="85" t="s">
        <v>207</v>
      </c>
      <c r="T329" s="85">
        <v>1</v>
      </c>
      <c r="U329" s="85" t="s">
        <v>878</v>
      </c>
      <c r="V329" s="1" t="s">
        <v>786</v>
      </c>
      <c r="W329" s="85" t="s">
        <v>879</v>
      </c>
      <c r="X329" s="12">
        <v>15</v>
      </c>
      <c r="Y329" s="1" t="s">
        <v>948</v>
      </c>
      <c r="Z329" s="1" t="s">
        <v>949</v>
      </c>
      <c r="AA329" s="1" t="s">
        <v>950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647</v>
      </c>
      <c r="AH329" s="75" t="s">
        <v>605</v>
      </c>
      <c r="AI329" s="74"/>
    </row>
    <row r="330" s="40" customFormat="1" spans="1:35">
      <c r="A330" s="12">
        <v>130510</v>
      </c>
      <c r="B330" s="12" t="s">
        <v>1008</v>
      </c>
      <c r="C330" s="12" t="s">
        <v>871</v>
      </c>
      <c r="D330" s="12" t="s">
        <v>872</v>
      </c>
      <c r="E330" s="12" t="s">
        <v>873</v>
      </c>
      <c r="F330" s="12" t="s">
        <v>874</v>
      </c>
      <c r="G330" s="85">
        <v>3</v>
      </c>
      <c r="H330" s="85">
        <v>4</v>
      </c>
      <c r="I330" s="85">
        <v>3</v>
      </c>
      <c r="J330" s="85">
        <v>10</v>
      </c>
      <c r="K330" s="85">
        <v>603894</v>
      </c>
      <c r="L330" s="85">
        <v>600</v>
      </c>
      <c r="M330" s="85">
        <v>6040</v>
      </c>
      <c r="N330" s="85" t="s">
        <v>875</v>
      </c>
      <c r="O330" s="86" t="s">
        <v>876</v>
      </c>
      <c r="P330" s="85" t="s">
        <v>877</v>
      </c>
      <c r="Q330" s="88">
        <v>1100001</v>
      </c>
      <c r="R330" s="85">
        <v>0</v>
      </c>
      <c r="S330" s="85" t="s">
        <v>207</v>
      </c>
      <c r="T330" s="85">
        <v>1</v>
      </c>
      <c r="U330" s="85" t="s">
        <v>878</v>
      </c>
      <c r="V330" s="1" t="s">
        <v>786</v>
      </c>
      <c r="W330" s="85" t="s">
        <v>879</v>
      </c>
      <c r="X330" s="12">
        <v>15</v>
      </c>
      <c r="Y330" s="1" t="s">
        <v>952</v>
      </c>
      <c r="Z330" s="1" t="s">
        <v>953</v>
      </c>
      <c r="AA330" s="1" t="s">
        <v>954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647</v>
      </c>
      <c r="AH330" s="75" t="s">
        <v>605</v>
      </c>
      <c r="AI330" s="74"/>
    </row>
    <row r="331" s="40" customFormat="1" spans="1:35">
      <c r="A331" s="12">
        <v>130511</v>
      </c>
      <c r="B331" s="12" t="s">
        <v>1009</v>
      </c>
      <c r="C331" s="12" t="s">
        <v>871</v>
      </c>
      <c r="D331" s="12" t="s">
        <v>872</v>
      </c>
      <c r="E331" s="12" t="s">
        <v>873</v>
      </c>
      <c r="F331" s="12" t="s">
        <v>874</v>
      </c>
      <c r="G331" s="85">
        <v>3</v>
      </c>
      <c r="H331" s="85">
        <v>4</v>
      </c>
      <c r="I331" s="85">
        <v>3</v>
      </c>
      <c r="J331" s="85">
        <v>11</v>
      </c>
      <c r="K331" s="85">
        <v>619744</v>
      </c>
      <c r="L331" s="85">
        <v>600</v>
      </c>
      <c r="M331" s="85">
        <v>6041</v>
      </c>
      <c r="N331" s="85" t="s">
        <v>875</v>
      </c>
      <c r="O331" s="86" t="s">
        <v>876</v>
      </c>
      <c r="P331" s="85" t="s">
        <v>877</v>
      </c>
      <c r="Q331" s="88">
        <v>1100001</v>
      </c>
      <c r="R331" s="85">
        <v>0</v>
      </c>
      <c r="S331" s="85" t="s">
        <v>207</v>
      </c>
      <c r="T331" s="85">
        <v>1</v>
      </c>
      <c r="U331" s="85" t="s">
        <v>878</v>
      </c>
      <c r="V331" s="1" t="s">
        <v>786</v>
      </c>
      <c r="W331" s="85" t="s">
        <v>879</v>
      </c>
      <c r="X331" s="12">
        <v>15</v>
      </c>
      <c r="Y331" s="1" t="s">
        <v>956</v>
      </c>
      <c r="Z331" s="1" t="s">
        <v>957</v>
      </c>
      <c r="AA331" s="1" t="s">
        <v>958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647</v>
      </c>
      <c r="AH331" s="75" t="s">
        <v>605</v>
      </c>
      <c r="AI331" s="74"/>
    </row>
    <row r="332" s="40" customFormat="1" spans="1:35">
      <c r="A332" s="12">
        <v>130512</v>
      </c>
      <c r="B332" s="12" t="s">
        <v>1010</v>
      </c>
      <c r="C332" s="12" t="s">
        <v>871</v>
      </c>
      <c r="D332" s="12" t="s">
        <v>872</v>
      </c>
      <c r="E332" s="12" t="s">
        <v>873</v>
      </c>
      <c r="F332" s="12" t="s">
        <v>874</v>
      </c>
      <c r="G332" s="85">
        <v>3</v>
      </c>
      <c r="H332" s="85">
        <v>4</v>
      </c>
      <c r="I332" s="85">
        <v>3</v>
      </c>
      <c r="J332" s="85">
        <v>12</v>
      </c>
      <c r="K332" s="85">
        <v>635688</v>
      </c>
      <c r="L332" s="85">
        <v>600</v>
      </c>
      <c r="M332" s="85">
        <v>6042</v>
      </c>
      <c r="N332" s="85" t="s">
        <v>875</v>
      </c>
      <c r="O332" s="86" t="s">
        <v>876</v>
      </c>
      <c r="P332" s="85" t="s">
        <v>877</v>
      </c>
      <c r="Q332" s="88">
        <v>1100001</v>
      </c>
      <c r="R332" s="85">
        <v>0</v>
      </c>
      <c r="S332" s="85" t="s">
        <v>207</v>
      </c>
      <c r="T332" s="85">
        <v>1</v>
      </c>
      <c r="U332" s="85" t="s">
        <v>878</v>
      </c>
      <c r="V332" s="1" t="s">
        <v>786</v>
      </c>
      <c r="W332" s="85" t="s">
        <v>879</v>
      </c>
      <c r="X332" s="12">
        <v>15</v>
      </c>
      <c r="Y332" s="1" t="s">
        <v>960</v>
      </c>
      <c r="Z332" s="1" t="s">
        <v>961</v>
      </c>
      <c r="AA332" s="1" t="s">
        <v>962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647</v>
      </c>
      <c r="AH332" s="75" t="s">
        <v>605</v>
      </c>
      <c r="AI332" s="74"/>
    </row>
    <row r="333" s="40" customFormat="1" spans="1:35">
      <c r="A333" s="12">
        <v>130513</v>
      </c>
      <c r="B333" s="12" t="s">
        <v>1011</v>
      </c>
      <c r="C333" s="12" t="s">
        <v>871</v>
      </c>
      <c r="D333" s="12" t="s">
        <v>872</v>
      </c>
      <c r="E333" s="12" t="s">
        <v>873</v>
      </c>
      <c r="F333" s="12" t="s">
        <v>874</v>
      </c>
      <c r="G333" s="85">
        <v>3</v>
      </c>
      <c r="H333" s="85">
        <v>4</v>
      </c>
      <c r="I333" s="85">
        <v>3</v>
      </c>
      <c r="J333" s="85">
        <v>13</v>
      </c>
      <c r="K333" s="85">
        <v>756553</v>
      </c>
      <c r="L333" s="85">
        <v>600</v>
      </c>
      <c r="M333" s="85">
        <v>6043</v>
      </c>
      <c r="N333" s="85" t="s">
        <v>875</v>
      </c>
      <c r="O333" s="86" t="s">
        <v>876</v>
      </c>
      <c r="P333" s="85" t="s">
        <v>877</v>
      </c>
      <c r="Q333" s="88">
        <v>1100001</v>
      </c>
      <c r="R333" s="85">
        <v>0</v>
      </c>
      <c r="S333" s="85" t="s">
        <v>207</v>
      </c>
      <c r="T333" s="85">
        <v>1</v>
      </c>
      <c r="U333" s="85" t="s">
        <v>878</v>
      </c>
      <c r="V333" s="1" t="s">
        <v>786</v>
      </c>
      <c r="W333" s="85" t="s">
        <v>879</v>
      </c>
      <c r="X333" s="12">
        <v>15</v>
      </c>
      <c r="Y333" s="1" t="s">
        <v>964</v>
      </c>
      <c r="Z333" s="1" t="s">
        <v>965</v>
      </c>
      <c r="AA333" s="1" t="s">
        <v>966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647</v>
      </c>
      <c r="AH333" s="75" t="s">
        <v>605</v>
      </c>
      <c r="AI333" s="74"/>
    </row>
    <row r="334" s="40" customFormat="1" spans="1:35">
      <c r="A334" s="12">
        <v>130514</v>
      </c>
      <c r="B334" s="12" t="s">
        <v>1012</v>
      </c>
      <c r="C334" s="12" t="s">
        <v>871</v>
      </c>
      <c r="D334" s="12" t="s">
        <v>872</v>
      </c>
      <c r="E334" s="12" t="s">
        <v>873</v>
      </c>
      <c r="F334" s="12" t="s">
        <v>874</v>
      </c>
      <c r="G334" s="85">
        <v>3</v>
      </c>
      <c r="H334" s="85">
        <v>4</v>
      </c>
      <c r="I334" s="85">
        <v>3</v>
      </c>
      <c r="J334" s="85">
        <v>14</v>
      </c>
      <c r="K334" s="85">
        <v>877418</v>
      </c>
      <c r="L334" s="85">
        <v>600</v>
      </c>
      <c r="M334" s="85">
        <v>6044</v>
      </c>
      <c r="N334" s="85" t="s">
        <v>875</v>
      </c>
      <c r="O334" s="86" t="s">
        <v>876</v>
      </c>
      <c r="P334" s="85" t="s">
        <v>877</v>
      </c>
      <c r="Q334" s="88">
        <v>1100001</v>
      </c>
      <c r="R334" s="85">
        <v>0</v>
      </c>
      <c r="S334" s="85" t="s">
        <v>207</v>
      </c>
      <c r="T334" s="85">
        <v>1</v>
      </c>
      <c r="U334" s="85" t="s">
        <v>878</v>
      </c>
      <c r="V334" s="1" t="s">
        <v>786</v>
      </c>
      <c r="W334" s="85" t="s">
        <v>879</v>
      </c>
      <c r="X334" s="12">
        <v>15</v>
      </c>
      <c r="Y334" s="1" t="s">
        <v>968</v>
      </c>
      <c r="Z334" s="1" t="s">
        <v>969</v>
      </c>
      <c r="AA334" s="1" t="s">
        <v>970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647</v>
      </c>
      <c r="AH334" s="75" t="s">
        <v>605</v>
      </c>
      <c r="AI334" s="74"/>
    </row>
    <row r="335" s="40" customFormat="1" spans="1:35">
      <c r="A335" s="12">
        <v>130515</v>
      </c>
      <c r="B335" s="12" t="s">
        <v>1013</v>
      </c>
      <c r="C335" s="12" t="s">
        <v>871</v>
      </c>
      <c r="D335" s="12" t="s">
        <v>872</v>
      </c>
      <c r="E335" s="12" t="s">
        <v>873</v>
      </c>
      <c r="F335" s="12" t="s">
        <v>874</v>
      </c>
      <c r="G335" s="85">
        <v>3</v>
      </c>
      <c r="H335" s="85">
        <v>4</v>
      </c>
      <c r="I335" s="85">
        <v>3</v>
      </c>
      <c r="J335" s="85">
        <v>15</v>
      </c>
      <c r="K335" s="85">
        <v>998283</v>
      </c>
      <c r="L335" s="85">
        <v>600</v>
      </c>
      <c r="M335" s="85">
        <v>6045</v>
      </c>
      <c r="N335" s="85" t="s">
        <v>875</v>
      </c>
      <c r="O335" s="86" t="s">
        <v>876</v>
      </c>
      <c r="P335" s="85" t="s">
        <v>877</v>
      </c>
      <c r="Q335" s="88">
        <v>1100001</v>
      </c>
      <c r="R335" s="85">
        <v>0</v>
      </c>
      <c r="S335" s="85" t="s">
        <v>207</v>
      </c>
      <c r="T335" s="85">
        <v>1</v>
      </c>
      <c r="U335" s="85" t="s">
        <v>878</v>
      </c>
      <c r="V335" s="1" t="s">
        <v>786</v>
      </c>
      <c r="W335" s="85" t="s">
        <v>879</v>
      </c>
      <c r="X335" s="12">
        <v>15</v>
      </c>
      <c r="Y335" s="1" t="s">
        <v>972</v>
      </c>
      <c r="Z335" s="1" t="s">
        <v>973</v>
      </c>
      <c r="AA335" s="1" t="s">
        <v>974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647</v>
      </c>
      <c r="AH335" s="75" t="s">
        <v>605</v>
      </c>
      <c r="AI335" s="74"/>
    </row>
    <row r="336" s="40" customFormat="1" spans="1:35">
      <c r="A336" s="12">
        <v>130516</v>
      </c>
      <c r="B336" s="12" t="s">
        <v>1014</v>
      </c>
      <c r="C336" s="12" t="s">
        <v>871</v>
      </c>
      <c r="D336" s="12" t="s">
        <v>872</v>
      </c>
      <c r="E336" s="12" t="s">
        <v>873</v>
      </c>
      <c r="F336" s="12" t="s">
        <v>874</v>
      </c>
      <c r="G336" s="85">
        <v>3</v>
      </c>
      <c r="H336" s="85">
        <v>4</v>
      </c>
      <c r="I336" s="85">
        <v>3</v>
      </c>
      <c r="J336" s="85">
        <v>16</v>
      </c>
      <c r="K336" s="85">
        <v>1119148</v>
      </c>
      <c r="L336" s="85">
        <v>600</v>
      </c>
      <c r="M336" s="85">
        <v>6046</v>
      </c>
      <c r="N336" s="85" t="s">
        <v>875</v>
      </c>
      <c r="O336" s="86" t="s">
        <v>876</v>
      </c>
      <c r="P336" s="85" t="s">
        <v>877</v>
      </c>
      <c r="Q336" s="88">
        <v>1100001</v>
      </c>
      <c r="R336" s="85">
        <v>0</v>
      </c>
      <c r="S336" s="85" t="s">
        <v>207</v>
      </c>
      <c r="T336" s="85">
        <v>1</v>
      </c>
      <c r="U336" s="85" t="s">
        <v>878</v>
      </c>
      <c r="V336" s="1" t="s">
        <v>786</v>
      </c>
      <c r="W336" s="85" t="s">
        <v>879</v>
      </c>
      <c r="X336" s="12">
        <v>15</v>
      </c>
      <c r="Y336" s="1" t="s">
        <v>976</v>
      </c>
      <c r="Z336" s="1" t="s">
        <v>977</v>
      </c>
      <c r="AA336" s="1" t="s">
        <v>978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647</v>
      </c>
      <c r="AH336" s="75" t="s">
        <v>605</v>
      </c>
      <c r="AI336" s="74"/>
    </row>
    <row r="337" s="40" customFormat="1" spans="1:35">
      <c r="A337" s="12">
        <v>130517</v>
      </c>
      <c r="B337" s="12" t="s">
        <v>1015</v>
      </c>
      <c r="C337" s="12" t="s">
        <v>871</v>
      </c>
      <c r="D337" s="12" t="s">
        <v>872</v>
      </c>
      <c r="E337" s="12" t="s">
        <v>873</v>
      </c>
      <c r="F337" s="12" t="s">
        <v>874</v>
      </c>
      <c r="G337" s="85">
        <v>3</v>
      </c>
      <c r="H337" s="85">
        <v>4</v>
      </c>
      <c r="I337" s="85">
        <v>3</v>
      </c>
      <c r="J337" s="85">
        <v>17</v>
      </c>
      <c r="K337" s="85">
        <v>1240013</v>
      </c>
      <c r="L337" s="85">
        <v>600</v>
      </c>
      <c r="M337" s="85">
        <v>6047</v>
      </c>
      <c r="N337" s="85" t="s">
        <v>875</v>
      </c>
      <c r="O337" s="86" t="s">
        <v>876</v>
      </c>
      <c r="P337" s="85" t="s">
        <v>877</v>
      </c>
      <c r="Q337" s="88">
        <v>1100001</v>
      </c>
      <c r="R337" s="85">
        <v>0</v>
      </c>
      <c r="S337" s="85" t="s">
        <v>207</v>
      </c>
      <c r="T337" s="85">
        <v>1</v>
      </c>
      <c r="U337" s="85" t="s">
        <v>878</v>
      </c>
      <c r="V337" s="1" t="s">
        <v>786</v>
      </c>
      <c r="W337" s="85" t="s">
        <v>879</v>
      </c>
      <c r="X337" s="12">
        <v>15</v>
      </c>
      <c r="Y337" s="1" t="s">
        <v>980</v>
      </c>
      <c r="Z337" s="1" t="s">
        <v>981</v>
      </c>
      <c r="AA337" s="1" t="s">
        <v>982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647</v>
      </c>
      <c r="AH337" s="75" t="s">
        <v>605</v>
      </c>
      <c r="AI337" s="74"/>
    </row>
    <row r="338" s="40" customFormat="1" spans="1:35">
      <c r="A338" s="12">
        <v>130518</v>
      </c>
      <c r="B338" s="12" t="s">
        <v>1016</v>
      </c>
      <c r="C338" s="12" t="s">
        <v>871</v>
      </c>
      <c r="D338" s="12" t="s">
        <v>872</v>
      </c>
      <c r="E338" s="12" t="s">
        <v>873</v>
      </c>
      <c r="F338" s="12" t="s">
        <v>874</v>
      </c>
      <c r="G338" s="85">
        <v>3</v>
      </c>
      <c r="H338" s="85">
        <v>4</v>
      </c>
      <c r="I338" s="85">
        <v>3</v>
      </c>
      <c r="J338" s="85">
        <v>18</v>
      </c>
      <c r="K338" s="85">
        <v>1360878</v>
      </c>
      <c r="L338" s="85">
        <v>600</v>
      </c>
      <c r="M338" s="85">
        <v>6048</v>
      </c>
      <c r="N338" s="85" t="s">
        <v>875</v>
      </c>
      <c r="O338" s="86" t="s">
        <v>876</v>
      </c>
      <c r="P338" s="85" t="s">
        <v>877</v>
      </c>
      <c r="Q338" s="88">
        <v>1100001</v>
      </c>
      <c r="R338" s="85">
        <v>0</v>
      </c>
      <c r="S338" s="85" t="s">
        <v>207</v>
      </c>
      <c r="T338" s="85">
        <v>1</v>
      </c>
      <c r="U338" s="85" t="s">
        <v>878</v>
      </c>
      <c r="V338" s="1" t="s">
        <v>786</v>
      </c>
      <c r="W338" s="85" t="s">
        <v>879</v>
      </c>
      <c r="X338" s="12">
        <v>15</v>
      </c>
      <c r="Y338" s="1" t="s">
        <v>984</v>
      </c>
      <c r="Z338" s="1" t="s">
        <v>985</v>
      </c>
      <c r="AA338" s="1" t="s">
        <v>986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647</v>
      </c>
      <c r="AH338" s="75" t="s">
        <v>605</v>
      </c>
      <c r="AI338" s="74"/>
    </row>
    <row r="339" s="40" customFormat="1" spans="1:35">
      <c r="A339" s="12">
        <v>130519</v>
      </c>
      <c r="B339" s="12" t="s">
        <v>1017</v>
      </c>
      <c r="C339" s="12" t="s">
        <v>871</v>
      </c>
      <c r="D339" s="12" t="s">
        <v>872</v>
      </c>
      <c r="E339" s="12" t="s">
        <v>873</v>
      </c>
      <c r="F339" s="12" t="s">
        <v>874</v>
      </c>
      <c r="G339" s="85">
        <v>3</v>
      </c>
      <c r="H339" s="85">
        <v>4</v>
      </c>
      <c r="I339" s="85">
        <v>3</v>
      </c>
      <c r="J339" s="85">
        <v>19</v>
      </c>
      <c r="K339" s="85">
        <v>1481743</v>
      </c>
      <c r="L339" s="85">
        <v>600</v>
      </c>
      <c r="M339" s="85">
        <v>6049</v>
      </c>
      <c r="N339" s="85" t="s">
        <v>875</v>
      </c>
      <c r="O339" s="86" t="s">
        <v>876</v>
      </c>
      <c r="P339" s="85" t="s">
        <v>877</v>
      </c>
      <c r="Q339" s="88">
        <v>1100001</v>
      </c>
      <c r="R339" s="85">
        <v>0</v>
      </c>
      <c r="S339" s="85" t="s">
        <v>207</v>
      </c>
      <c r="T339" s="85">
        <v>1</v>
      </c>
      <c r="U339" s="85" t="s">
        <v>878</v>
      </c>
      <c r="V339" s="1" t="s">
        <v>786</v>
      </c>
      <c r="W339" s="85" t="s">
        <v>879</v>
      </c>
      <c r="X339" s="12">
        <v>15</v>
      </c>
      <c r="Y339" s="1" t="s">
        <v>988</v>
      </c>
      <c r="Z339" s="1" t="s">
        <v>989</v>
      </c>
      <c r="AA339" s="1" t="s">
        <v>990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647</v>
      </c>
      <c r="AH339" s="75" t="s">
        <v>605</v>
      </c>
      <c r="AI339" s="74"/>
    </row>
    <row r="340" s="40" customFormat="1" spans="1:35">
      <c r="A340" s="12">
        <v>130520</v>
      </c>
      <c r="B340" s="12" t="s">
        <v>1018</v>
      </c>
      <c r="C340" s="12" t="s">
        <v>871</v>
      </c>
      <c r="D340" s="12" t="s">
        <v>872</v>
      </c>
      <c r="E340" s="12" t="s">
        <v>873</v>
      </c>
      <c r="F340" s="12" t="s">
        <v>874</v>
      </c>
      <c r="G340" s="85">
        <v>3</v>
      </c>
      <c r="H340" s="85">
        <v>4</v>
      </c>
      <c r="I340" s="85">
        <v>3</v>
      </c>
      <c r="J340" s="85">
        <v>20</v>
      </c>
      <c r="K340" s="85">
        <v>1602608</v>
      </c>
      <c r="L340" s="85">
        <v>600</v>
      </c>
      <c r="M340" s="85">
        <v>6050</v>
      </c>
      <c r="N340" s="85" t="s">
        <v>875</v>
      </c>
      <c r="O340" s="86" t="s">
        <v>876</v>
      </c>
      <c r="P340" s="85" t="s">
        <v>877</v>
      </c>
      <c r="Q340" s="88">
        <v>1100001</v>
      </c>
      <c r="R340" s="85">
        <v>0</v>
      </c>
      <c r="S340" s="85" t="s">
        <v>207</v>
      </c>
      <c r="T340" s="85">
        <v>1</v>
      </c>
      <c r="U340" s="85" t="s">
        <v>878</v>
      </c>
      <c r="V340" s="1" t="s">
        <v>786</v>
      </c>
      <c r="W340" s="85" t="s">
        <v>879</v>
      </c>
      <c r="X340" s="12">
        <v>15</v>
      </c>
      <c r="Y340" s="1" t="s">
        <v>992</v>
      </c>
      <c r="Z340" s="1" t="s">
        <v>993</v>
      </c>
      <c r="AA340" s="1" t="s">
        <v>994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647</v>
      </c>
      <c r="AH340" s="75" t="s">
        <v>605</v>
      </c>
      <c r="AI340" s="74"/>
    </row>
    <row r="341" s="40" customFormat="1" spans="1:35">
      <c r="A341" s="12">
        <v>130521</v>
      </c>
      <c r="B341" s="12" t="s">
        <v>1019</v>
      </c>
      <c r="C341" s="12" t="s">
        <v>871</v>
      </c>
      <c r="D341" s="12" t="s">
        <v>872</v>
      </c>
      <c r="E341" s="12" t="s">
        <v>873</v>
      </c>
      <c r="F341" s="12" t="s">
        <v>874</v>
      </c>
      <c r="G341" s="85">
        <v>3</v>
      </c>
      <c r="H341" s="85">
        <v>4</v>
      </c>
      <c r="I341" s="85">
        <v>3</v>
      </c>
      <c r="J341" s="85">
        <v>21</v>
      </c>
      <c r="K341" s="85">
        <v>1722810</v>
      </c>
      <c r="L341" s="85">
        <v>600</v>
      </c>
      <c r="M341" s="85">
        <v>6051</v>
      </c>
      <c r="N341" s="85" t="s">
        <v>875</v>
      </c>
      <c r="O341" s="86" t="s">
        <v>876</v>
      </c>
      <c r="P341" s="85" t="s">
        <v>877</v>
      </c>
      <c r="Q341" s="88">
        <v>1100001</v>
      </c>
      <c r="R341" s="85">
        <v>0</v>
      </c>
      <c r="S341" s="85" t="s">
        <v>207</v>
      </c>
      <c r="T341" s="85">
        <v>1</v>
      </c>
      <c r="U341" s="85" t="s">
        <v>878</v>
      </c>
      <c r="V341" s="1" t="s">
        <v>786</v>
      </c>
      <c r="W341" s="85" t="s">
        <v>879</v>
      </c>
      <c r="X341" s="12">
        <v>15</v>
      </c>
      <c r="Y341" s="1" t="s">
        <v>996</v>
      </c>
      <c r="Z341" s="1" t="s">
        <v>997</v>
      </c>
      <c r="AA341" s="1" t="s">
        <v>998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647</v>
      </c>
      <c r="AH341" s="75" t="s">
        <v>605</v>
      </c>
      <c r="AI341" s="74"/>
    </row>
    <row r="342" s="40" customFormat="1" spans="1:35">
      <c r="A342" s="12">
        <v>130522</v>
      </c>
      <c r="B342" s="12" t="s">
        <v>1020</v>
      </c>
      <c r="C342" s="12" t="s">
        <v>871</v>
      </c>
      <c r="D342" s="12" t="s">
        <v>872</v>
      </c>
      <c r="E342" s="12" t="s">
        <v>873</v>
      </c>
      <c r="F342" s="12" t="s">
        <v>874</v>
      </c>
      <c r="G342" s="85">
        <v>3</v>
      </c>
      <c r="H342" s="85">
        <v>4</v>
      </c>
      <c r="I342" s="85">
        <v>3</v>
      </c>
      <c r="J342" s="85">
        <v>22</v>
      </c>
      <c r="K342" s="85">
        <v>1883860</v>
      </c>
      <c r="L342" s="85">
        <v>600</v>
      </c>
      <c r="M342" s="85">
        <v>6052</v>
      </c>
      <c r="N342" s="85" t="s">
        <v>875</v>
      </c>
      <c r="O342" s="86" t="s">
        <v>876</v>
      </c>
      <c r="P342" s="85" t="s">
        <v>877</v>
      </c>
      <c r="Q342" s="88">
        <v>1100001</v>
      </c>
      <c r="R342" s="85">
        <v>0</v>
      </c>
      <c r="S342" s="85" t="s">
        <v>207</v>
      </c>
      <c r="T342" s="85">
        <v>1</v>
      </c>
      <c r="U342" s="85" t="s">
        <v>878</v>
      </c>
      <c r="V342" s="1" t="s">
        <v>786</v>
      </c>
      <c r="W342" s="85" t="s">
        <v>879</v>
      </c>
      <c r="X342" s="12">
        <v>15</v>
      </c>
      <c r="Y342" s="1" t="s">
        <v>1021</v>
      </c>
      <c r="Z342" s="1" t="s">
        <v>1022</v>
      </c>
      <c r="AA342" s="1" t="s">
        <v>1023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647</v>
      </c>
      <c r="AH342" s="75" t="s">
        <v>605</v>
      </c>
      <c r="AI342" s="74"/>
    </row>
    <row r="343" s="40" customFormat="1" spans="1:35">
      <c r="A343" s="12">
        <v>130523</v>
      </c>
      <c r="B343" s="12" t="s">
        <v>1024</v>
      </c>
      <c r="C343" s="12" t="s">
        <v>871</v>
      </c>
      <c r="D343" s="12" t="s">
        <v>872</v>
      </c>
      <c r="E343" s="12" t="s">
        <v>873</v>
      </c>
      <c r="F343" s="12" t="s">
        <v>874</v>
      </c>
      <c r="G343" s="85">
        <v>3</v>
      </c>
      <c r="H343" s="85">
        <v>4</v>
      </c>
      <c r="I343" s="85">
        <v>3</v>
      </c>
      <c r="J343" s="85">
        <v>23</v>
      </c>
      <c r="K343" s="85">
        <v>2044910</v>
      </c>
      <c r="L343" s="85">
        <v>600</v>
      </c>
      <c r="M343" s="85">
        <v>6053</v>
      </c>
      <c r="N343" s="85" t="s">
        <v>875</v>
      </c>
      <c r="O343" s="86" t="s">
        <v>876</v>
      </c>
      <c r="P343" s="85" t="s">
        <v>877</v>
      </c>
      <c r="Q343" s="88">
        <v>1100001</v>
      </c>
      <c r="R343" s="85">
        <v>0</v>
      </c>
      <c r="S343" s="85" t="s">
        <v>207</v>
      </c>
      <c r="T343" s="85">
        <v>1</v>
      </c>
      <c r="U343" s="85" t="s">
        <v>878</v>
      </c>
      <c r="V343" s="1" t="s">
        <v>786</v>
      </c>
      <c r="W343" s="85" t="s">
        <v>879</v>
      </c>
      <c r="X343" s="12">
        <v>15</v>
      </c>
      <c r="Y343" s="1" t="s">
        <v>1025</v>
      </c>
      <c r="Z343" s="1" t="s">
        <v>1026</v>
      </c>
      <c r="AA343" s="1" t="s">
        <v>1027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647</v>
      </c>
      <c r="AH343" s="75" t="s">
        <v>605</v>
      </c>
      <c r="AI343" s="74"/>
    </row>
    <row r="344" s="40" customFormat="1" spans="1:35">
      <c r="A344" s="12">
        <v>130524</v>
      </c>
      <c r="B344" s="12" t="s">
        <v>1028</v>
      </c>
      <c r="C344" s="12" t="s">
        <v>871</v>
      </c>
      <c r="D344" s="12" t="s">
        <v>872</v>
      </c>
      <c r="E344" s="12" t="s">
        <v>873</v>
      </c>
      <c r="F344" s="12" t="s">
        <v>874</v>
      </c>
      <c r="G344" s="85">
        <v>3</v>
      </c>
      <c r="H344" s="85">
        <v>4</v>
      </c>
      <c r="I344" s="85">
        <v>3</v>
      </c>
      <c r="J344" s="85">
        <v>24</v>
      </c>
      <c r="K344" s="85">
        <v>2205960</v>
      </c>
      <c r="L344" s="85">
        <v>600</v>
      </c>
      <c r="M344" s="85">
        <v>6054</v>
      </c>
      <c r="N344" s="85" t="s">
        <v>875</v>
      </c>
      <c r="O344" s="86" t="s">
        <v>876</v>
      </c>
      <c r="P344" s="85" t="s">
        <v>877</v>
      </c>
      <c r="Q344" s="88">
        <v>1100001</v>
      </c>
      <c r="R344" s="85">
        <v>0</v>
      </c>
      <c r="S344" s="85" t="s">
        <v>207</v>
      </c>
      <c r="T344" s="85">
        <v>1</v>
      </c>
      <c r="U344" s="85" t="s">
        <v>878</v>
      </c>
      <c r="V344" s="1" t="s">
        <v>786</v>
      </c>
      <c r="W344" s="85" t="s">
        <v>879</v>
      </c>
      <c r="X344" s="12">
        <v>15</v>
      </c>
      <c r="Y344" s="1" t="s">
        <v>1029</v>
      </c>
      <c r="Z344" s="1" t="s">
        <v>1030</v>
      </c>
      <c r="AA344" s="1" t="s">
        <v>1031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647</v>
      </c>
      <c r="AH344" s="75" t="s">
        <v>605</v>
      </c>
      <c r="AI344" s="74"/>
    </row>
    <row r="345" s="40" customFormat="1" spans="1:35">
      <c r="A345" s="12">
        <v>130525</v>
      </c>
      <c r="B345" s="12" t="s">
        <v>1032</v>
      </c>
      <c r="C345" s="12" t="s">
        <v>871</v>
      </c>
      <c r="D345" s="12" t="s">
        <v>872</v>
      </c>
      <c r="E345" s="12" t="s">
        <v>873</v>
      </c>
      <c r="F345" s="12" t="s">
        <v>874</v>
      </c>
      <c r="G345" s="85">
        <v>3</v>
      </c>
      <c r="H345" s="85">
        <v>4</v>
      </c>
      <c r="I345" s="85">
        <v>3</v>
      </c>
      <c r="J345" s="85">
        <v>25</v>
      </c>
      <c r="K345" s="85">
        <v>2367010</v>
      </c>
      <c r="L345" s="85">
        <v>600</v>
      </c>
      <c r="M345" s="85">
        <v>6055</v>
      </c>
      <c r="N345" s="85" t="s">
        <v>875</v>
      </c>
      <c r="O345" s="86" t="s">
        <v>876</v>
      </c>
      <c r="P345" s="85" t="s">
        <v>877</v>
      </c>
      <c r="Q345" s="88">
        <v>1100001</v>
      </c>
      <c r="R345" s="85">
        <v>0</v>
      </c>
      <c r="S345" s="85" t="s">
        <v>207</v>
      </c>
      <c r="T345" s="85">
        <v>1</v>
      </c>
      <c r="U345" s="85" t="s">
        <v>878</v>
      </c>
      <c r="V345" s="1" t="s">
        <v>786</v>
      </c>
      <c r="W345" s="85" t="s">
        <v>879</v>
      </c>
      <c r="X345" s="12">
        <v>15</v>
      </c>
      <c r="Y345" s="1" t="s">
        <v>1033</v>
      </c>
      <c r="Z345" s="1" t="s">
        <v>1034</v>
      </c>
      <c r="AA345" s="1" t="s">
        <v>1035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647</v>
      </c>
      <c r="AH345" s="75" t="s">
        <v>605</v>
      </c>
      <c r="AI345" s="74"/>
    </row>
    <row r="346" s="40" customFormat="1" spans="1:35">
      <c r="A346" s="12">
        <v>130526</v>
      </c>
      <c r="B346" s="12" t="s">
        <v>1036</v>
      </c>
      <c r="C346" s="12" t="s">
        <v>871</v>
      </c>
      <c r="D346" s="12" t="s">
        <v>872</v>
      </c>
      <c r="E346" s="12" t="s">
        <v>873</v>
      </c>
      <c r="F346" s="12" t="s">
        <v>874</v>
      </c>
      <c r="G346" s="85">
        <v>3</v>
      </c>
      <c r="H346" s="85">
        <v>4</v>
      </c>
      <c r="I346" s="85">
        <v>3</v>
      </c>
      <c r="J346" s="85">
        <v>26</v>
      </c>
      <c r="K346" s="85">
        <v>2528060</v>
      </c>
      <c r="L346" s="85">
        <v>600</v>
      </c>
      <c r="M346" s="85">
        <v>6056</v>
      </c>
      <c r="N346" s="85" t="s">
        <v>875</v>
      </c>
      <c r="O346" s="86" t="s">
        <v>876</v>
      </c>
      <c r="P346" s="85" t="s">
        <v>877</v>
      </c>
      <c r="Q346" s="88">
        <v>1100001</v>
      </c>
      <c r="R346" s="85">
        <v>0</v>
      </c>
      <c r="S346" s="85" t="s">
        <v>207</v>
      </c>
      <c r="T346" s="85">
        <v>1</v>
      </c>
      <c r="U346" s="85" t="s">
        <v>878</v>
      </c>
      <c r="V346" s="1" t="s">
        <v>786</v>
      </c>
      <c r="W346" s="85" t="s">
        <v>879</v>
      </c>
      <c r="X346" s="12">
        <v>15</v>
      </c>
      <c r="Y346" s="1" t="s">
        <v>1037</v>
      </c>
      <c r="Z346" s="1" t="s">
        <v>1038</v>
      </c>
      <c r="AA346" s="1" t="s">
        <v>1039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647</v>
      </c>
      <c r="AH346" s="75" t="s">
        <v>605</v>
      </c>
      <c r="AI346" s="74"/>
    </row>
    <row r="347" s="40" customFormat="1" spans="1:35">
      <c r="A347" s="12">
        <v>130527</v>
      </c>
      <c r="B347" s="12" t="s">
        <v>1040</v>
      </c>
      <c r="C347" s="12" t="s">
        <v>871</v>
      </c>
      <c r="D347" s="12" t="s">
        <v>872</v>
      </c>
      <c r="E347" s="12" t="s">
        <v>873</v>
      </c>
      <c r="F347" s="12" t="s">
        <v>874</v>
      </c>
      <c r="G347" s="85">
        <v>3</v>
      </c>
      <c r="H347" s="85">
        <v>4</v>
      </c>
      <c r="I347" s="85">
        <v>3</v>
      </c>
      <c r="J347" s="85">
        <v>27</v>
      </c>
      <c r="K347" s="85">
        <v>2689110</v>
      </c>
      <c r="L347" s="85">
        <v>600</v>
      </c>
      <c r="M347" s="85">
        <v>6057</v>
      </c>
      <c r="N347" s="85" t="s">
        <v>875</v>
      </c>
      <c r="O347" s="86" t="s">
        <v>876</v>
      </c>
      <c r="P347" s="85" t="s">
        <v>877</v>
      </c>
      <c r="Q347" s="88">
        <v>1100001</v>
      </c>
      <c r="R347" s="85">
        <v>0</v>
      </c>
      <c r="S347" s="85" t="s">
        <v>207</v>
      </c>
      <c r="T347" s="85">
        <v>1</v>
      </c>
      <c r="U347" s="85" t="s">
        <v>878</v>
      </c>
      <c r="V347" s="1" t="s">
        <v>786</v>
      </c>
      <c r="W347" s="85" t="s">
        <v>879</v>
      </c>
      <c r="X347" s="12">
        <v>15</v>
      </c>
      <c r="Y347" s="1" t="s">
        <v>1041</v>
      </c>
      <c r="Z347" s="1" t="s">
        <v>1042</v>
      </c>
      <c r="AA347" s="1" t="s">
        <v>1043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647</v>
      </c>
      <c r="AH347" s="75" t="s">
        <v>605</v>
      </c>
      <c r="AI347" s="74"/>
    </row>
    <row r="348" s="40" customFormat="1" spans="1:35">
      <c r="A348" s="12">
        <v>130528</v>
      </c>
      <c r="B348" s="12" t="s">
        <v>1044</v>
      </c>
      <c r="C348" s="12" t="s">
        <v>871</v>
      </c>
      <c r="D348" s="12" t="s">
        <v>872</v>
      </c>
      <c r="E348" s="12" t="s">
        <v>873</v>
      </c>
      <c r="F348" s="12" t="s">
        <v>874</v>
      </c>
      <c r="G348" s="85">
        <v>3</v>
      </c>
      <c r="H348" s="85">
        <v>4</v>
      </c>
      <c r="I348" s="85">
        <v>3</v>
      </c>
      <c r="J348" s="85">
        <v>28</v>
      </c>
      <c r="K348" s="85">
        <v>2850160</v>
      </c>
      <c r="L348" s="85">
        <v>600</v>
      </c>
      <c r="M348" s="85">
        <v>6058</v>
      </c>
      <c r="N348" s="85" t="s">
        <v>875</v>
      </c>
      <c r="O348" s="86" t="s">
        <v>876</v>
      </c>
      <c r="P348" s="85" t="s">
        <v>877</v>
      </c>
      <c r="Q348" s="88">
        <v>1100001</v>
      </c>
      <c r="R348" s="85">
        <v>0</v>
      </c>
      <c r="S348" s="85" t="s">
        <v>207</v>
      </c>
      <c r="T348" s="85">
        <v>1</v>
      </c>
      <c r="U348" s="85" t="s">
        <v>878</v>
      </c>
      <c r="V348" s="1" t="s">
        <v>786</v>
      </c>
      <c r="W348" s="85" t="s">
        <v>879</v>
      </c>
      <c r="X348" s="12">
        <v>15</v>
      </c>
      <c r="Y348" s="1" t="s">
        <v>1045</v>
      </c>
      <c r="Z348" s="1" t="s">
        <v>1046</v>
      </c>
      <c r="AA348" s="1" t="s">
        <v>1047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647</v>
      </c>
      <c r="AH348" s="75" t="s">
        <v>605</v>
      </c>
      <c r="AI348" s="74"/>
    </row>
    <row r="349" s="40" customFormat="1" spans="1:35">
      <c r="A349" s="12">
        <v>130529</v>
      </c>
      <c r="B349" s="12" t="s">
        <v>1048</v>
      </c>
      <c r="C349" s="12" t="s">
        <v>871</v>
      </c>
      <c r="D349" s="12" t="s">
        <v>872</v>
      </c>
      <c r="E349" s="12" t="s">
        <v>873</v>
      </c>
      <c r="F349" s="12" t="s">
        <v>874</v>
      </c>
      <c r="G349" s="85">
        <v>3</v>
      </c>
      <c r="H349" s="85">
        <v>4</v>
      </c>
      <c r="I349" s="85">
        <v>3</v>
      </c>
      <c r="J349" s="85">
        <v>29</v>
      </c>
      <c r="K349" s="85">
        <v>3011210</v>
      </c>
      <c r="L349" s="85">
        <v>600</v>
      </c>
      <c r="M349" s="85">
        <v>6059</v>
      </c>
      <c r="N349" s="85" t="s">
        <v>875</v>
      </c>
      <c r="O349" s="86" t="s">
        <v>876</v>
      </c>
      <c r="P349" s="85" t="s">
        <v>877</v>
      </c>
      <c r="Q349" s="88">
        <v>1100001</v>
      </c>
      <c r="R349" s="85">
        <v>0</v>
      </c>
      <c r="S349" s="85" t="s">
        <v>207</v>
      </c>
      <c r="T349" s="85">
        <v>1</v>
      </c>
      <c r="U349" s="85" t="s">
        <v>878</v>
      </c>
      <c r="V349" s="1" t="s">
        <v>786</v>
      </c>
      <c r="W349" s="85" t="s">
        <v>879</v>
      </c>
      <c r="X349" s="12">
        <v>15</v>
      </c>
      <c r="Y349" s="1" t="s">
        <v>1049</v>
      </c>
      <c r="Z349" s="1" t="s">
        <v>1050</v>
      </c>
      <c r="AA349" s="1" t="s">
        <v>1051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647</v>
      </c>
      <c r="AH349" s="75" t="s">
        <v>605</v>
      </c>
      <c r="AI349" s="74"/>
    </row>
    <row r="350" s="40" customFormat="1" spans="1:35">
      <c r="A350" s="12">
        <v>130530</v>
      </c>
      <c r="B350" s="12" t="s">
        <v>1052</v>
      </c>
      <c r="C350" s="12" t="s">
        <v>871</v>
      </c>
      <c r="D350" s="12" t="s">
        <v>872</v>
      </c>
      <c r="E350" s="12" t="s">
        <v>873</v>
      </c>
      <c r="F350" s="12" t="s">
        <v>874</v>
      </c>
      <c r="G350" s="85">
        <v>3</v>
      </c>
      <c r="H350" s="85">
        <v>4</v>
      </c>
      <c r="I350" s="85">
        <v>3</v>
      </c>
      <c r="J350" s="85">
        <v>30</v>
      </c>
      <c r="K350" s="85">
        <v>3171938</v>
      </c>
      <c r="L350" s="85">
        <v>600</v>
      </c>
      <c r="M350" s="85">
        <v>6060</v>
      </c>
      <c r="N350" s="85" t="s">
        <v>875</v>
      </c>
      <c r="O350" s="86" t="s">
        <v>876</v>
      </c>
      <c r="P350" s="85" t="s">
        <v>877</v>
      </c>
      <c r="Q350" s="88">
        <v>1100001</v>
      </c>
      <c r="R350" s="85">
        <v>0</v>
      </c>
      <c r="S350" s="85" t="s">
        <v>207</v>
      </c>
      <c r="T350" s="85">
        <v>1</v>
      </c>
      <c r="U350" s="85" t="s">
        <v>878</v>
      </c>
      <c r="V350" s="1" t="s">
        <v>786</v>
      </c>
      <c r="W350" s="85" t="s">
        <v>879</v>
      </c>
      <c r="X350" s="12">
        <v>15</v>
      </c>
      <c r="Y350" s="1" t="s">
        <v>1053</v>
      </c>
      <c r="Z350" s="1" t="s">
        <v>1054</v>
      </c>
      <c r="AA350" s="1" t="s">
        <v>1055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647</v>
      </c>
      <c r="AH350" s="75" t="s">
        <v>605</v>
      </c>
      <c r="AI350" s="74"/>
    </row>
    <row r="351" s="40" customFormat="1" spans="1:35">
      <c r="A351" s="12">
        <v>130601</v>
      </c>
      <c r="B351" s="12" t="s">
        <v>1056</v>
      </c>
      <c r="C351" s="12" t="s">
        <v>871</v>
      </c>
      <c r="D351" s="12" t="s">
        <v>872</v>
      </c>
      <c r="E351" s="12" t="s">
        <v>873</v>
      </c>
      <c r="F351" s="12" t="s">
        <v>874</v>
      </c>
      <c r="G351" s="85">
        <v>3</v>
      </c>
      <c r="H351" s="85">
        <v>4</v>
      </c>
      <c r="I351" s="85">
        <v>3</v>
      </c>
      <c r="J351" s="85">
        <v>1</v>
      </c>
      <c r="K351" s="85">
        <v>397388</v>
      </c>
      <c r="L351" s="85">
        <v>600</v>
      </c>
      <c r="M351" s="85">
        <v>6061</v>
      </c>
      <c r="N351" s="85" t="s">
        <v>875</v>
      </c>
      <c r="O351" s="86" t="s">
        <v>876</v>
      </c>
      <c r="P351" s="85" t="s">
        <v>877</v>
      </c>
      <c r="Q351" s="88">
        <v>1100001</v>
      </c>
      <c r="R351" s="85">
        <v>0</v>
      </c>
      <c r="S351" s="85" t="s">
        <v>207</v>
      </c>
      <c r="T351" s="85">
        <v>1</v>
      </c>
      <c r="U351" s="85" t="s">
        <v>878</v>
      </c>
      <c r="V351" s="1" t="s">
        <v>786</v>
      </c>
      <c r="W351" s="85" t="s">
        <v>879</v>
      </c>
      <c r="X351" s="12">
        <v>15</v>
      </c>
      <c r="Y351" s="1" t="s">
        <v>900</v>
      </c>
      <c r="Z351" s="1" t="s">
        <v>901</v>
      </c>
      <c r="AA351" s="1" t="s">
        <v>902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647</v>
      </c>
      <c r="AH351" s="75" t="s">
        <v>605</v>
      </c>
      <c r="AI351" s="74"/>
    </row>
    <row r="352" s="40" customFormat="1" spans="1:35">
      <c r="A352" s="12">
        <v>130602</v>
      </c>
      <c r="B352" s="12" t="s">
        <v>1057</v>
      </c>
      <c r="C352" s="12" t="s">
        <v>871</v>
      </c>
      <c r="D352" s="12" t="s">
        <v>872</v>
      </c>
      <c r="E352" s="12" t="s">
        <v>873</v>
      </c>
      <c r="F352" s="12" t="s">
        <v>874</v>
      </c>
      <c r="G352" s="85">
        <v>3</v>
      </c>
      <c r="H352" s="85">
        <v>4</v>
      </c>
      <c r="I352" s="85">
        <v>3</v>
      </c>
      <c r="J352" s="85">
        <v>2</v>
      </c>
      <c r="K352" s="85">
        <v>429095</v>
      </c>
      <c r="L352" s="85">
        <v>600</v>
      </c>
      <c r="M352" s="85">
        <v>6062</v>
      </c>
      <c r="N352" s="85" t="s">
        <v>875</v>
      </c>
      <c r="O352" s="86" t="s">
        <v>876</v>
      </c>
      <c r="P352" s="85" t="s">
        <v>877</v>
      </c>
      <c r="Q352" s="88">
        <v>1100001</v>
      </c>
      <c r="R352" s="85">
        <v>0</v>
      </c>
      <c r="S352" s="85" t="s">
        <v>207</v>
      </c>
      <c r="T352" s="85">
        <v>1</v>
      </c>
      <c r="U352" s="85" t="s">
        <v>878</v>
      </c>
      <c r="V352" s="1" t="s">
        <v>786</v>
      </c>
      <c r="W352" s="85" t="s">
        <v>879</v>
      </c>
      <c r="X352" s="12">
        <v>15</v>
      </c>
      <c r="Y352" s="1" t="s">
        <v>908</v>
      </c>
      <c r="Z352" s="1" t="s">
        <v>909</v>
      </c>
      <c r="AA352" s="1" t="s">
        <v>910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647</v>
      </c>
      <c r="AH352" s="75" t="s">
        <v>605</v>
      </c>
      <c r="AI352" s="74"/>
    </row>
    <row r="353" s="40" customFormat="1" spans="1:35">
      <c r="A353" s="12">
        <v>130603</v>
      </c>
      <c r="B353" s="12" t="s">
        <v>1058</v>
      </c>
      <c r="C353" s="12" t="s">
        <v>871</v>
      </c>
      <c r="D353" s="12" t="s">
        <v>872</v>
      </c>
      <c r="E353" s="12" t="s">
        <v>873</v>
      </c>
      <c r="F353" s="12" t="s">
        <v>874</v>
      </c>
      <c r="G353" s="85">
        <v>3</v>
      </c>
      <c r="H353" s="85">
        <v>4</v>
      </c>
      <c r="I353" s="85">
        <v>3</v>
      </c>
      <c r="J353" s="85">
        <v>3</v>
      </c>
      <c r="K353" s="85">
        <v>460831</v>
      </c>
      <c r="L353" s="85">
        <v>600</v>
      </c>
      <c r="M353" s="85">
        <v>6063</v>
      </c>
      <c r="N353" s="85" t="s">
        <v>875</v>
      </c>
      <c r="O353" s="86" t="s">
        <v>876</v>
      </c>
      <c r="P353" s="85" t="s">
        <v>877</v>
      </c>
      <c r="Q353" s="88">
        <v>1100001</v>
      </c>
      <c r="R353" s="85">
        <v>0</v>
      </c>
      <c r="S353" s="85" t="s">
        <v>207</v>
      </c>
      <c r="T353" s="85">
        <v>1</v>
      </c>
      <c r="U353" s="85" t="s">
        <v>878</v>
      </c>
      <c r="V353" s="1" t="s">
        <v>786</v>
      </c>
      <c r="W353" s="85" t="s">
        <v>879</v>
      </c>
      <c r="X353" s="12">
        <v>15</v>
      </c>
      <c r="Y353" s="1" t="s">
        <v>916</v>
      </c>
      <c r="Z353" s="1" t="s">
        <v>917</v>
      </c>
      <c r="AA353" s="1" t="s">
        <v>918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647</v>
      </c>
      <c r="AH353" s="75" t="s">
        <v>605</v>
      </c>
      <c r="AI353" s="74"/>
    </row>
    <row r="354" s="40" customFormat="1" spans="1:35">
      <c r="A354" s="12">
        <v>130604</v>
      </c>
      <c r="B354" s="12" t="s">
        <v>1059</v>
      </c>
      <c r="C354" s="12" t="s">
        <v>871</v>
      </c>
      <c r="D354" s="12" t="s">
        <v>872</v>
      </c>
      <c r="E354" s="12" t="s">
        <v>873</v>
      </c>
      <c r="F354" s="12" t="s">
        <v>874</v>
      </c>
      <c r="G354" s="85">
        <v>3</v>
      </c>
      <c r="H354" s="85">
        <v>4</v>
      </c>
      <c r="I354" s="85">
        <v>3</v>
      </c>
      <c r="J354" s="85">
        <v>4</v>
      </c>
      <c r="K354" s="85">
        <v>492701</v>
      </c>
      <c r="L354" s="85">
        <v>600</v>
      </c>
      <c r="M354" s="85">
        <v>6064</v>
      </c>
      <c r="N354" s="85" t="s">
        <v>875</v>
      </c>
      <c r="O354" s="86" t="s">
        <v>876</v>
      </c>
      <c r="P354" s="85" t="s">
        <v>877</v>
      </c>
      <c r="Q354" s="88">
        <v>1100001</v>
      </c>
      <c r="R354" s="85">
        <v>0</v>
      </c>
      <c r="S354" s="85" t="s">
        <v>207</v>
      </c>
      <c r="T354" s="85">
        <v>1</v>
      </c>
      <c r="U354" s="85" t="s">
        <v>878</v>
      </c>
      <c r="V354" s="1" t="s">
        <v>786</v>
      </c>
      <c r="W354" s="85" t="s">
        <v>879</v>
      </c>
      <c r="X354" s="12">
        <v>15</v>
      </c>
      <c r="Y354" s="1" t="s">
        <v>924</v>
      </c>
      <c r="Z354" s="1" t="s">
        <v>925</v>
      </c>
      <c r="AA354" s="1" t="s">
        <v>926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647</v>
      </c>
      <c r="AH354" s="75" t="s">
        <v>605</v>
      </c>
      <c r="AI354" s="74"/>
    </row>
    <row r="355" s="40" customFormat="1" spans="1:35">
      <c r="A355" s="12">
        <v>130605</v>
      </c>
      <c r="B355" s="12" t="s">
        <v>1060</v>
      </c>
      <c r="C355" s="12" t="s">
        <v>871</v>
      </c>
      <c r="D355" s="12" t="s">
        <v>872</v>
      </c>
      <c r="E355" s="12" t="s">
        <v>873</v>
      </c>
      <c r="F355" s="12" t="s">
        <v>874</v>
      </c>
      <c r="G355" s="85">
        <v>3</v>
      </c>
      <c r="H355" s="85">
        <v>4</v>
      </c>
      <c r="I355" s="85">
        <v>3</v>
      </c>
      <c r="J355" s="85">
        <v>5</v>
      </c>
      <c r="K355" s="85">
        <v>540375</v>
      </c>
      <c r="L355" s="85">
        <v>600</v>
      </c>
      <c r="M355" s="85">
        <v>6065</v>
      </c>
      <c r="N355" s="85" t="s">
        <v>875</v>
      </c>
      <c r="O355" s="86" t="s">
        <v>876</v>
      </c>
      <c r="P355" s="85" t="s">
        <v>877</v>
      </c>
      <c r="Q355" s="88">
        <v>1100001</v>
      </c>
      <c r="R355" s="85">
        <v>0</v>
      </c>
      <c r="S355" s="85" t="s">
        <v>207</v>
      </c>
      <c r="T355" s="85">
        <v>1</v>
      </c>
      <c r="U355" s="85" t="s">
        <v>878</v>
      </c>
      <c r="V355" s="1" t="s">
        <v>786</v>
      </c>
      <c r="W355" s="85" t="s">
        <v>879</v>
      </c>
      <c r="X355" s="12">
        <v>15</v>
      </c>
      <c r="Y355" s="1" t="s">
        <v>936</v>
      </c>
      <c r="Z355" s="1" t="s">
        <v>937</v>
      </c>
      <c r="AA355" s="1" t="s">
        <v>938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647</v>
      </c>
      <c r="AH355" s="75" t="s">
        <v>605</v>
      </c>
      <c r="AI355" s="74"/>
    </row>
    <row r="356" s="40" customFormat="1" spans="1:35">
      <c r="A356" s="12">
        <v>130606</v>
      </c>
      <c r="B356" s="12" t="s">
        <v>1061</v>
      </c>
      <c r="C356" s="12" t="s">
        <v>871</v>
      </c>
      <c r="D356" s="12" t="s">
        <v>872</v>
      </c>
      <c r="E356" s="12" t="s">
        <v>873</v>
      </c>
      <c r="F356" s="12" t="s">
        <v>874</v>
      </c>
      <c r="G356" s="85">
        <v>3</v>
      </c>
      <c r="H356" s="85">
        <v>4</v>
      </c>
      <c r="I356" s="85">
        <v>3</v>
      </c>
      <c r="J356" s="85">
        <v>6</v>
      </c>
      <c r="K356" s="85">
        <v>588008</v>
      </c>
      <c r="L356" s="85">
        <v>600</v>
      </c>
      <c r="M356" s="85">
        <v>6066</v>
      </c>
      <c r="N356" s="85" t="s">
        <v>875</v>
      </c>
      <c r="O356" s="86" t="s">
        <v>876</v>
      </c>
      <c r="P356" s="85" t="s">
        <v>877</v>
      </c>
      <c r="Q356" s="88">
        <v>1100001</v>
      </c>
      <c r="R356" s="85">
        <v>0</v>
      </c>
      <c r="S356" s="85" t="s">
        <v>207</v>
      </c>
      <c r="T356" s="85">
        <v>1</v>
      </c>
      <c r="U356" s="85" t="s">
        <v>878</v>
      </c>
      <c r="V356" s="1" t="s">
        <v>786</v>
      </c>
      <c r="W356" s="85" t="s">
        <v>879</v>
      </c>
      <c r="X356" s="12">
        <v>15</v>
      </c>
      <c r="Y356" s="1" t="s">
        <v>948</v>
      </c>
      <c r="Z356" s="1" t="s">
        <v>949</v>
      </c>
      <c r="AA356" s="1" t="s">
        <v>950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647</v>
      </c>
      <c r="AH356" s="75" t="s">
        <v>605</v>
      </c>
      <c r="AI356" s="74"/>
    </row>
    <row r="357" s="40" customFormat="1" spans="1:35">
      <c r="A357" s="12">
        <v>130607</v>
      </c>
      <c r="B357" s="12" t="s">
        <v>1062</v>
      </c>
      <c r="C357" s="12" t="s">
        <v>871</v>
      </c>
      <c r="D357" s="12" t="s">
        <v>872</v>
      </c>
      <c r="E357" s="12" t="s">
        <v>873</v>
      </c>
      <c r="F357" s="12" t="s">
        <v>874</v>
      </c>
      <c r="G357" s="85">
        <v>3</v>
      </c>
      <c r="H357" s="85">
        <v>4</v>
      </c>
      <c r="I357" s="85">
        <v>3</v>
      </c>
      <c r="J357" s="85">
        <v>7</v>
      </c>
      <c r="K357" s="85">
        <v>635688</v>
      </c>
      <c r="L357" s="85">
        <v>600</v>
      </c>
      <c r="M357" s="85">
        <v>6067</v>
      </c>
      <c r="N357" s="85" t="s">
        <v>875</v>
      </c>
      <c r="O357" s="86" t="s">
        <v>876</v>
      </c>
      <c r="P357" s="85" t="s">
        <v>877</v>
      </c>
      <c r="Q357" s="88">
        <v>1100001</v>
      </c>
      <c r="R357" s="85">
        <v>0</v>
      </c>
      <c r="S357" s="85" t="s">
        <v>207</v>
      </c>
      <c r="T357" s="85">
        <v>1</v>
      </c>
      <c r="U357" s="85" t="s">
        <v>878</v>
      </c>
      <c r="V357" s="1" t="s">
        <v>786</v>
      </c>
      <c r="W357" s="85" t="s">
        <v>879</v>
      </c>
      <c r="X357" s="12">
        <v>15</v>
      </c>
      <c r="Y357" s="1" t="s">
        <v>960</v>
      </c>
      <c r="Z357" s="1" t="s">
        <v>961</v>
      </c>
      <c r="AA357" s="1" t="s">
        <v>962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647</v>
      </c>
      <c r="AH357" s="75" t="s">
        <v>605</v>
      </c>
      <c r="AI357" s="74"/>
    </row>
    <row r="358" s="40" customFormat="1" spans="1:35">
      <c r="A358" s="12">
        <v>130608</v>
      </c>
      <c r="B358" s="12" t="s">
        <v>1063</v>
      </c>
      <c r="C358" s="12" t="s">
        <v>871</v>
      </c>
      <c r="D358" s="12" t="s">
        <v>872</v>
      </c>
      <c r="E358" s="12" t="s">
        <v>873</v>
      </c>
      <c r="F358" s="12" t="s">
        <v>874</v>
      </c>
      <c r="G358" s="85">
        <v>3</v>
      </c>
      <c r="H358" s="85">
        <v>4</v>
      </c>
      <c r="I358" s="85">
        <v>3</v>
      </c>
      <c r="J358" s="85">
        <v>8</v>
      </c>
      <c r="K358" s="85">
        <v>998283</v>
      </c>
      <c r="L358" s="85">
        <v>600</v>
      </c>
      <c r="M358" s="85">
        <v>6068</v>
      </c>
      <c r="N358" s="85" t="s">
        <v>875</v>
      </c>
      <c r="O358" s="86" t="s">
        <v>876</v>
      </c>
      <c r="P358" s="85" t="s">
        <v>877</v>
      </c>
      <c r="Q358" s="88">
        <v>1100001</v>
      </c>
      <c r="R358" s="85">
        <v>0</v>
      </c>
      <c r="S358" s="85" t="s">
        <v>207</v>
      </c>
      <c r="T358" s="85">
        <v>1</v>
      </c>
      <c r="U358" s="85" t="s">
        <v>878</v>
      </c>
      <c r="V358" s="1" t="s">
        <v>786</v>
      </c>
      <c r="W358" s="85" t="s">
        <v>879</v>
      </c>
      <c r="X358" s="12">
        <v>15</v>
      </c>
      <c r="Y358" s="1" t="s">
        <v>972</v>
      </c>
      <c r="Z358" s="1" t="s">
        <v>973</v>
      </c>
      <c r="AA358" s="1" t="s">
        <v>974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647</v>
      </c>
      <c r="AH358" s="75" t="s">
        <v>605</v>
      </c>
      <c r="AI358" s="74"/>
    </row>
    <row r="359" s="40" customFormat="1" spans="1:35">
      <c r="A359" s="12">
        <v>130609</v>
      </c>
      <c r="B359" s="12" t="s">
        <v>1064</v>
      </c>
      <c r="C359" s="12" t="s">
        <v>871</v>
      </c>
      <c r="D359" s="12" t="s">
        <v>872</v>
      </c>
      <c r="E359" s="12" t="s">
        <v>873</v>
      </c>
      <c r="F359" s="12" t="s">
        <v>874</v>
      </c>
      <c r="G359" s="85">
        <v>3</v>
      </c>
      <c r="H359" s="85">
        <v>4</v>
      </c>
      <c r="I359" s="85">
        <v>3</v>
      </c>
      <c r="J359" s="85">
        <v>9</v>
      </c>
      <c r="K359" s="85">
        <v>1360878</v>
      </c>
      <c r="L359" s="85">
        <v>600</v>
      </c>
      <c r="M359" s="85">
        <v>6069</v>
      </c>
      <c r="N359" s="85" t="s">
        <v>875</v>
      </c>
      <c r="O359" s="86" t="s">
        <v>876</v>
      </c>
      <c r="P359" s="85" t="s">
        <v>877</v>
      </c>
      <c r="Q359" s="88">
        <v>1100001</v>
      </c>
      <c r="R359" s="85">
        <v>0</v>
      </c>
      <c r="S359" s="85" t="s">
        <v>207</v>
      </c>
      <c r="T359" s="85">
        <v>1</v>
      </c>
      <c r="U359" s="85" t="s">
        <v>878</v>
      </c>
      <c r="V359" s="1" t="s">
        <v>786</v>
      </c>
      <c r="W359" s="85" t="s">
        <v>879</v>
      </c>
      <c r="X359" s="12">
        <v>15</v>
      </c>
      <c r="Y359" s="1" t="s">
        <v>984</v>
      </c>
      <c r="Z359" s="1" t="s">
        <v>985</v>
      </c>
      <c r="AA359" s="1" t="s">
        <v>986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647</v>
      </c>
      <c r="AH359" s="75" t="s">
        <v>605</v>
      </c>
      <c r="AI359" s="74"/>
    </row>
    <row r="360" s="40" customFormat="1" spans="1:35">
      <c r="A360" s="12">
        <v>130610</v>
      </c>
      <c r="B360" s="12" t="s">
        <v>1065</v>
      </c>
      <c r="C360" s="12" t="s">
        <v>871</v>
      </c>
      <c r="D360" s="12" t="s">
        <v>872</v>
      </c>
      <c r="E360" s="12" t="s">
        <v>873</v>
      </c>
      <c r="F360" s="12" t="s">
        <v>874</v>
      </c>
      <c r="G360" s="85">
        <v>3</v>
      </c>
      <c r="H360" s="85">
        <v>4</v>
      </c>
      <c r="I360" s="85">
        <v>3</v>
      </c>
      <c r="J360" s="85">
        <v>10</v>
      </c>
      <c r="K360" s="85">
        <v>1481743</v>
      </c>
      <c r="L360" s="85">
        <v>600</v>
      </c>
      <c r="M360" s="85">
        <v>6070</v>
      </c>
      <c r="N360" s="85" t="s">
        <v>875</v>
      </c>
      <c r="O360" s="86" t="s">
        <v>876</v>
      </c>
      <c r="P360" s="85" t="s">
        <v>877</v>
      </c>
      <c r="Q360" s="88">
        <v>1100001</v>
      </c>
      <c r="R360" s="85">
        <v>0</v>
      </c>
      <c r="S360" s="85" t="s">
        <v>207</v>
      </c>
      <c r="T360" s="85">
        <v>1</v>
      </c>
      <c r="U360" s="85" t="s">
        <v>878</v>
      </c>
      <c r="V360" s="1" t="s">
        <v>786</v>
      </c>
      <c r="W360" s="85" t="s">
        <v>879</v>
      </c>
      <c r="X360" s="12">
        <v>15</v>
      </c>
      <c r="Y360" s="1" t="s">
        <v>988</v>
      </c>
      <c r="Z360" s="1" t="s">
        <v>989</v>
      </c>
      <c r="AA360" s="1" t="s">
        <v>990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647</v>
      </c>
      <c r="AH360" s="75" t="s">
        <v>605</v>
      </c>
      <c r="AI360" s="74"/>
    </row>
    <row r="361" s="40" customFormat="1" spans="1:35">
      <c r="A361" s="12">
        <v>130611</v>
      </c>
      <c r="B361" s="12" t="s">
        <v>1066</v>
      </c>
      <c r="C361" s="12" t="s">
        <v>871</v>
      </c>
      <c r="D361" s="12" t="s">
        <v>872</v>
      </c>
      <c r="E361" s="12" t="s">
        <v>873</v>
      </c>
      <c r="F361" s="12" t="s">
        <v>874</v>
      </c>
      <c r="G361" s="85">
        <v>3</v>
      </c>
      <c r="H361" s="85">
        <v>4</v>
      </c>
      <c r="I361" s="85">
        <v>3</v>
      </c>
      <c r="J361" s="85">
        <v>11</v>
      </c>
      <c r="K361" s="85">
        <v>1602608</v>
      </c>
      <c r="L361" s="85">
        <v>600</v>
      </c>
      <c r="M361" s="85">
        <v>6071</v>
      </c>
      <c r="N361" s="85" t="s">
        <v>875</v>
      </c>
      <c r="O361" s="86" t="s">
        <v>876</v>
      </c>
      <c r="P361" s="85" t="s">
        <v>877</v>
      </c>
      <c r="Q361" s="88">
        <v>1100001</v>
      </c>
      <c r="R361" s="85">
        <v>0</v>
      </c>
      <c r="S361" s="85" t="s">
        <v>207</v>
      </c>
      <c r="T361" s="85">
        <v>1</v>
      </c>
      <c r="U361" s="85" t="s">
        <v>878</v>
      </c>
      <c r="V361" s="1" t="s">
        <v>786</v>
      </c>
      <c r="W361" s="85" t="s">
        <v>879</v>
      </c>
      <c r="X361" s="12">
        <v>15</v>
      </c>
      <c r="Y361" s="1" t="s">
        <v>992</v>
      </c>
      <c r="Z361" s="1" t="s">
        <v>993</v>
      </c>
      <c r="AA361" s="1" t="s">
        <v>994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647</v>
      </c>
      <c r="AH361" s="75" t="s">
        <v>605</v>
      </c>
      <c r="AI361" s="74"/>
    </row>
    <row r="362" s="40" customFormat="1" spans="1:35">
      <c r="A362" s="12">
        <v>130612</v>
      </c>
      <c r="B362" s="12" t="s">
        <v>1067</v>
      </c>
      <c r="C362" s="12" t="s">
        <v>871</v>
      </c>
      <c r="D362" s="12" t="s">
        <v>872</v>
      </c>
      <c r="E362" s="12" t="s">
        <v>873</v>
      </c>
      <c r="F362" s="12" t="s">
        <v>874</v>
      </c>
      <c r="G362" s="85">
        <v>3</v>
      </c>
      <c r="H362" s="85">
        <v>4</v>
      </c>
      <c r="I362" s="85">
        <v>3</v>
      </c>
      <c r="J362" s="85">
        <v>12</v>
      </c>
      <c r="K362" s="85">
        <v>1722810</v>
      </c>
      <c r="L362" s="85">
        <v>600</v>
      </c>
      <c r="M362" s="85">
        <v>6072</v>
      </c>
      <c r="N362" s="85" t="s">
        <v>875</v>
      </c>
      <c r="O362" s="86" t="s">
        <v>876</v>
      </c>
      <c r="P362" s="85" t="s">
        <v>877</v>
      </c>
      <c r="Q362" s="88">
        <v>1100001</v>
      </c>
      <c r="R362" s="85">
        <v>0</v>
      </c>
      <c r="S362" s="85" t="s">
        <v>207</v>
      </c>
      <c r="T362" s="85">
        <v>1</v>
      </c>
      <c r="U362" s="85" t="s">
        <v>878</v>
      </c>
      <c r="V362" s="1" t="s">
        <v>786</v>
      </c>
      <c r="W362" s="85" t="s">
        <v>879</v>
      </c>
      <c r="X362" s="12">
        <v>15</v>
      </c>
      <c r="Y362" s="1" t="s">
        <v>996</v>
      </c>
      <c r="Z362" s="1" t="s">
        <v>997</v>
      </c>
      <c r="AA362" s="1" t="s">
        <v>998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647</v>
      </c>
      <c r="AH362" s="75" t="s">
        <v>605</v>
      </c>
      <c r="AI362" s="74"/>
    </row>
    <row r="363" s="40" customFormat="1" spans="1:35">
      <c r="A363" s="12">
        <v>130613</v>
      </c>
      <c r="B363" s="12" t="s">
        <v>1068</v>
      </c>
      <c r="C363" s="12" t="s">
        <v>871</v>
      </c>
      <c r="D363" s="12" t="s">
        <v>872</v>
      </c>
      <c r="E363" s="12" t="s">
        <v>873</v>
      </c>
      <c r="F363" s="12" t="s">
        <v>874</v>
      </c>
      <c r="G363" s="85">
        <v>3</v>
      </c>
      <c r="H363" s="85">
        <v>4</v>
      </c>
      <c r="I363" s="85">
        <v>3</v>
      </c>
      <c r="J363" s="85">
        <v>13</v>
      </c>
      <c r="K363" s="85">
        <v>1883860</v>
      </c>
      <c r="L363" s="85">
        <v>600</v>
      </c>
      <c r="M363" s="85">
        <v>6073</v>
      </c>
      <c r="N363" s="85" t="s">
        <v>875</v>
      </c>
      <c r="O363" s="86" t="s">
        <v>876</v>
      </c>
      <c r="P363" s="85" t="s">
        <v>877</v>
      </c>
      <c r="Q363" s="88">
        <v>1100001</v>
      </c>
      <c r="R363" s="85">
        <v>0</v>
      </c>
      <c r="S363" s="85" t="s">
        <v>207</v>
      </c>
      <c r="T363" s="85">
        <v>1</v>
      </c>
      <c r="U363" s="85" t="s">
        <v>878</v>
      </c>
      <c r="V363" s="1" t="s">
        <v>786</v>
      </c>
      <c r="W363" s="85" t="s">
        <v>879</v>
      </c>
      <c r="X363" s="12">
        <v>15</v>
      </c>
      <c r="Y363" s="1" t="s">
        <v>1021</v>
      </c>
      <c r="Z363" s="1" t="s">
        <v>1022</v>
      </c>
      <c r="AA363" s="1" t="s">
        <v>1023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647</v>
      </c>
      <c r="AH363" s="75" t="s">
        <v>605</v>
      </c>
      <c r="AI363" s="74"/>
    </row>
    <row r="364" s="40" customFormat="1" spans="1:35">
      <c r="A364" s="12">
        <v>130614</v>
      </c>
      <c r="B364" s="12" t="s">
        <v>1069</v>
      </c>
      <c r="C364" s="12" t="s">
        <v>871</v>
      </c>
      <c r="D364" s="12" t="s">
        <v>872</v>
      </c>
      <c r="E364" s="12" t="s">
        <v>873</v>
      </c>
      <c r="F364" s="12" t="s">
        <v>874</v>
      </c>
      <c r="G364" s="85">
        <v>3</v>
      </c>
      <c r="H364" s="85">
        <v>4</v>
      </c>
      <c r="I364" s="85">
        <v>3</v>
      </c>
      <c r="J364" s="85">
        <v>14</v>
      </c>
      <c r="K364" s="85">
        <v>2044910</v>
      </c>
      <c r="L364" s="85">
        <v>600</v>
      </c>
      <c r="M364" s="85">
        <v>6074</v>
      </c>
      <c r="N364" s="85" t="s">
        <v>875</v>
      </c>
      <c r="O364" s="86" t="s">
        <v>876</v>
      </c>
      <c r="P364" s="85" t="s">
        <v>877</v>
      </c>
      <c r="Q364" s="88">
        <v>1100001</v>
      </c>
      <c r="R364" s="85">
        <v>0</v>
      </c>
      <c r="S364" s="85" t="s">
        <v>207</v>
      </c>
      <c r="T364" s="85">
        <v>1</v>
      </c>
      <c r="U364" s="85" t="s">
        <v>878</v>
      </c>
      <c r="V364" s="1" t="s">
        <v>786</v>
      </c>
      <c r="W364" s="85" t="s">
        <v>879</v>
      </c>
      <c r="X364" s="12">
        <v>15</v>
      </c>
      <c r="Y364" s="1" t="s">
        <v>1025</v>
      </c>
      <c r="Z364" s="1" t="s">
        <v>1026</v>
      </c>
      <c r="AA364" s="1" t="s">
        <v>1027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647</v>
      </c>
      <c r="AH364" s="75" t="s">
        <v>605</v>
      </c>
      <c r="AI364" s="74"/>
    </row>
    <row r="365" s="40" customFormat="1" spans="1:35">
      <c r="A365" s="12">
        <v>130615</v>
      </c>
      <c r="B365" s="12" t="s">
        <v>1070</v>
      </c>
      <c r="C365" s="12" t="s">
        <v>871</v>
      </c>
      <c r="D365" s="12" t="s">
        <v>872</v>
      </c>
      <c r="E365" s="12" t="s">
        <v>873</v>
      </c>
      <c r="F365" s="12" t="s">
        <v>874</v>
      </c>
      <c r="G365" s="85">
        <v>3</v>
      </c>
      <c r="H365" s="85">
        <v>4</v>
      </c>
      <c r="I365" s="85">
        <v>3</v>
      </c>
      <c r="J365" s="85">
        <v>15</v>
      </c>
      <c r="K365" s="85">
        <v>2205960</v>
      </c>
      <c r="L365" s="85">
        <v>600</v>
      </c>
      <c r="M365" s="85">
        <v>6075</v>
      </c>
      <c r="N365" s="85" t="s">
        <v>875</v>
      </c>
      <c r="O365" s="86" t="s">
        <v>876</v>
      </c>
      <c r="P365" s="85" t="s">
        <v>877</v>
      </c>
      <c r="Q365" s="88">
        <v>1100001</v>
      </c>
      <c r="R365" s="85">
        <v>0</v>
      </c>
      <c r="S365" s="85" t="s">
        <v>207</v>
      </c>
      <c r="T365" s="85">
        <v>1</v>
      </c>
      <c r="U365" s="85" t="s">
        <v>878</v>
      </c>
      <c r="V365" s="1" t="s">
        <v>786</v>
      </c>
      <c r="W365" s="85" t="s">
        <v>879</v>
      </c>
      <c r="X365" s="12">
        <v>15</v>
      </c>
      <c r="Y365" s="1" t="s">
        <v>1029</v>
      </c>
      <c r="Z365" s="1" t="s">
        <v>1030</v>
      </c>
      <c r="AA365" s="1" t="s">
        <v>1031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647</v>
      </c>
      <c r="AH365" s="75" t="s">
        <v>605</v>
      </c>
      <c r="AI365" s="74"/>
    </row>
    <row r="366" s="40" customFormat="1" spans="1:35">
      <c r="A366" s="12">
        <v>130616</v>
      </c>
      <c r="B366" s="12" t="s">
        <v>1071</v>
      </c>
      <c r="C366" s="12" t="s">
        <v>871</v>
      </c>
      <c r="D366" s="12" t="s">
        <v>872</v>
      </c>
      <c r="E366" s="12" t="s">
        <v>873</v>
      </c>
      <c r="F366" s="12" t="s">
        <v>874</v>
      </c>
      <c r="G366" s="85">
        <v>3</v>
      </c>
      <c r="H366" s="85">
        <v>4</v>
      </c>
      <c r="I366" s="85">
        <v>3</v>
      </c>
      <c r="J366" s="85">
        <v>16</v>
      </c>
      <c r="K366" s="85">
        <v>2367010</v>
      </c>
      <c r="L366" s="85">
        <v>600</v>
      </c>
      <c r="M366" s="85">
        <v>6076</v>
      </c>
      <c r="N366" s="85" t="s">
        <v>875</v>
      </c>
      <c r="O366" s="86" t="s">
        <v>876</v>
      </c>
      <c r="P366" s="85" t="s">
        <v>877</v>
      </c>
      <c r="Q366" s="88">
        <v>1100001</v>
      </c>
      <c r="R366" s="85">
        <v>0</v>
      </c>
      <c r="S366" s="85" t="s">
        <v>207</v>
      </c>
      <c r="T366" s="85">
        <v>1</v>
      </c>
      <c r="U366" s="85" t="s">
        <v>878</v>
      </c>
      <c r="V366" s="1" t="s">
        <v>786</v>
      </c>
      <c r="W366" s="85" t="s">
        <v>879</v>
      </c>
      <c r="X366" s="12">
        <v>15</v>
      </c>
      <c r="Y366" s="1" t="s">
        <v>1033</v>
      </c>
      <c r="Z366" s="1" t="s">
        <v>1034</v>
      </c>
      <c r="AA366" s="1" t="s">
        <v>1035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647</v>
      </c>
      <c r="AH366" s="75" t="s">
        <v>605</v>
      </c>
      <c r="AI366" s="74"/>
    </row>
    <row r="367" s="40" customFormat="1" spans="1:35">
      <c r="A367" s="12">
        <v>130617</v>
      </c>
      <c r="B367" s="12" t="s">
        <v>1072</v>
      </c>
      <c r="C367" s="12" t="s">
        <v>871</v>
      </c>
      <c r="D367" s="12" t="s">
        <v>872</v>
      </c>
      <c r="E367" s="12" t="s">
        <v>873</v>
      </c>
      <c r="F367" s="12" t="s">
        <v>874</v>
      </c>
      <c r="G367" s="85">
        <v>3</v>
      </c>
      <c r="H367" s="85">
        <v>4</v>
      </c>
      <c r="I367" s="85">
        <v>3</v>
      </c>
      <c r="J367" s="85">
        <v>17</v>
      </c>
      <c r="K367" s="85">
        <v>2528060</v>
      </c>
      <c r="L367" s="85">
        <v>600</v>
      </c>
      <c r="M367" s="85">
        <v>6077</v>
      </c>
      <c r="N367" s="85" t="s">
        <v>875</v>
      </c>
      <c r="O367" s="86" t="s">
        <v>876</v>
      </c>
      <c r="P367" s="85" t="s">
        <v>877</v>
      </c>
      <c r="Q367" s="88">
        <v>1100001</v>
      </c>
      <c r="R367" s="85">
        <v>0</v>
      </c>
      <c r="S367" s="85" t="s">
        <v>207</v>
      </c>
      <c r="T367" s="85">
        <v>1</v>
      </c>
      <c r="U367" s="85" t="s">
        <v>878</v>
      </c>
      <c r="V367" s="1" t="s">
        <v>786</v>
      </c>
      <c r="W367" s="85" t="s">
        <v>879</v>
      </c>
      <c r="X367" s="12">
        <v>15</v>
      </c>
      <c r="Y367" s="1" t="s">
        <v>1037</v>
      </c>
      <c r="Z367" s="1" t="s">
        <v>1038</v>
      </c>
      <c r="AA367" s="1" t="s">
        <v>1039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647</v>
      </c>
      <c r="AH367" s="75" t="s">
        <v>605</v>
      </c>
      <c r="AI367" s="74"/>
    </row>
    <row r="368" s="40" customFormat="1" spans="1:35">
      <c r="A368" s="12">
        <v>130618</v>
      </c>
      <c r="B368" s="12" t="s">
        <v>1073</v>
      </c>
      <c r="C368" s="12" t="s">
        <v>871</v>
      </c>
      <c r="D368" s="12" t="s">
        <v>872</v>
      </c>
      <c r="E368" s="12" t="s">
        <v>873</v>
      </c>
      <c r="F368" s="12" t="s">
        <v>874</v>
      </c>
      <c r="G368" s="85">
        <v>3</v>
      </c>
      <c r="H368" s="85">
        <v>4</v>
      </c>
      <c r="I368" s="85">
        <v>3</v>
      </c>
      <c r="J368" s="85">
        <v>18</v>
      </c>
      <c r="K368" s="85">
        <v>2689110</v>
      </c>
      <c r="L368" s="85">
        <v>600</v>
      </c>
      <c r="M368" s="85">
        <v>6078</v>
      </c>
      <c r="N368" s="85" t="s">
        <v>875</v>
      </c>
      <c r="O368" s="86" t="s">
        <v>876</v>
      </c>
      <c r="P368" s="85" t="s">
        <v>877</v>
      </c>
      <c r="Q368" s="88">
        <v>1100001</v>
      </c>
      <c r="R368" s="85">
        <v>0</v>
      </c>
      <c r="S368" s="85" t="s">
        <v>207</v>
      </c>
      <c r="T368" s="85">
        <v>1</v>
      </c>
      <c r="U368" s="85" t="s">
        <v>878</v>
      </c>
      <c r="V368" s="1" t="s">
        <v>786</v>
      </c>
      <c r="W368" s="85" t="s">
        <v>879</v>
      </c>
      <c r="X368" s="12">
        <v>15</v>
      </c>
      <c r="Y368" s="1" t="s">
        <v>1041</v>
      </c>
      <c r="Z368" s="1" t="s">
        <v>1042</v>
      </c>
      <c r="AA368" s="1" t="s">
        <v>1043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647</v>
      </c>
      <c r="AH368" s="75" t="s">
        <v>605</v>
      </c>
      <c r="AI368" s="74"/>
    </row>
    <row r="369" s="40" customFormat="1" spans="1:35">
      <c r="A369" s="12">
        <v>130619</v>
      </c>
      <c r="B369" s="12" t="s">
        <v>1074</v>
      </c>
      <c r="C369" s="12" t="s">
        <v>871</v>
      </c>
      <c r="D369" s="12" t="s">
        <v>872</v>
      </c>
      <c r="E369" s="12" t="s">
        <v>873</v>
      </c>
      <c r="F369" s="12" t="s">
        <v>874</v>
      </c>
      <c r="G369" s="85">
        <v>3</v>
      </c>
      <c r="H369" s="85">
        <v>4</v>
      </c>
      <c r="I369" s="85">
        <v>3</v>
      </c>
      <c r="J369" s="85">
        <v>19</v>
      </c>
      <c r="K369" s="85">
        <v>2850160</v>
      </c>
      <c r="L369" s="85">
        <v>600</v>
      </c>
      <c r="M369" s="85">
        <v>6079</v>
      </c>
      <c r="N369" s="85" t="s">
        <v>875</v>
      </c>
      <c r="O369" s="86" t="s">
        <v>876</v>
      </c>
      <c r="P369" s="85" t="s">
        <v>877</v>
      </c>
      <c r="Q369" s="88">
        <v>1100001</v>
      </c>
      <c r="R369" s="85">
        <v>0</v>
      </c>
      <c r="S369" s="85" t="s">
        <v>207</v>
      </c>
      <c r="T369" s="85">
        <v>1</v>
      </c>
      <c r="U369" s="85" t="s">
        <v>878</v>
      </c>
      <c r="V369" s="1" t="s">
        <v>786</v>
      </c>
      <c r="W369" s="85" t="s">
        <v>879</v>
      </c>
      <c r="X369" s="12">
        <v>15</v>
      </c>
      <c r="Y369" s="1" t="s">
        <v>1045</v>
      </c>
      <c r="Z369" s="1" t="s">
        <v>1046</v>
      </c>
      <c r="AA369" s="1" t="s">
        <v>1047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647</v>
      </c>
      <c r="AH369" s="75" t="s">
        <v>605</v>
      </c>
      <c r="AI369" s="74"/>
    </row>
    <row r="370" s="40" customFormat="1" spans="1:35">
      <c r="A370" s="12">
        <v>130620</v>
      </c>
      <c r="B370" s="12" t="s">
        <v>1075</v>
      </c>
      <c r="C370" s="12" t="s">
        <v>871</v>
      </c>
      <c r="D370" s="12" t="s">
        <v>872</v>
      </c>
      <c r="E370" s="12" t="s">
        <v>873</v>
      </c>
      <c r="F370" s="12" t="s">
        <v>874</v>
      </c>
      <c r="G370" s="85">
        <v>3</v>
      </c>
      <c r="H370" s="85">
        <v>4</v>
      </c>
      <c r="I370" s="85">
        <v>3</v>
      </c>
      <c r="J370" s="85">
        <v>20</v>
      </c>
      <c r="K370" s="85">
        <v>3011210</v>
      </c>
      <c r="L370" s="85">
        <v>600</v>
      </c>
      <c r="M370" s="85">
        <v>6080</v>
      </c>
      <c r="N370" s="85" t="s">
        <v>875</v>
      </c>
      <c r="O370" s="86" t="s">
        <v>876</v>
      </c>
      <c r="P370" s="85" t="s">
        <v>877</v>
      </c>
      <c r="Q370" s="88">
        <v>1100001</v>
      </c>
      <c r="R370" s="85">
        <v>0</v>
      </c>
      <c r="S370" s="85" t="s">
        <v>207</v>
      </c>
      <c r="T370" s="85">
        <v>1</v>
      </c>
      <c r="U370" s="85" t="s">
        <v>878</v>
      </c>
      <c r="V370" s="1" t="s">
        <v>786</v>
      </c>
      <c r="W370" s="85" t="s">
        <v>879</v>
      </c>
      <c r="X370" s="12">
        <v>15</v>
      </c>
      <c r="Y370" s="1" t="s">
        <v>1049</v>
      </c>
      <c r="Z370" s="1" t="s">
        <v>1050</v>
      </c>
      <c r="AA370" s="1" t="s">
        <v>1051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647</v>
      </c>
      <c r="AH370" s="75" t="s">
        <v>605</v>
      </c>
      <c r="AI370" s="74"/>
    </row>
    <row r="371" s="40" customFormat="1" spans="1:35">
      <c r="A371" s="12">
        <v>130621</v>
      </c>
      <c r="B371" s="12" t="s">
        <v>1076</v>
      </c>
      <c r="C371" s="12" t="s">
        <v>871</v>
      </c>
      <c r="D371" s="12" t="s">
        <v>872</v>
      </c>
      <c r="E371" s="12" t="s">
        <v>873</v>
      </c>
      <c r="F371" s="12" t="s">
        <v>874</v>
      </c>
      <c r="G371" s="85">
        <v>3</v>
      </c>
      <c r="H371" s="85">
        <v>4</v>
      </c>
      <c r="I371" s="85">
        <v>3</v>
      </c>
      <c r="J371" s="85">
        <v>21</v>
      </c>
      <c r="K371" s="85">
        <v>3171938</v>
      </c>
      <c r="L371" s="85">
        <v>600</v>
      </c>
      <c r="M371" s="85">
        <v>6081</v>
      </c>
      <c r="N371" s="85" t="s">
        <v>875</v>
      </c>
      <c r="O371" s="86" t="s">
        <v>876</v>
      </c>
      <c r="P371" s="85" t="s">
        <v>877</v>
      </c>
      <c r="Q371" s="88">
        <v>1100001</v>
      </c>
      <c r="R371" s="85">
        <v>0</v>
      </c>
      <c r="S371" s="85" t="s">
        <v>207</v>
      </c>
      <c r="T371" s="85">
        <v>1</v>
      </c>
      <c r="U371" s="85" t="s">
        <v>878</v>
      </c>
      <c r="V371" s="1" t="s">
        <v>786</v>
      </c>
      <c r="W371" s="85" t="s">
        <v>879</v>
      </c>
      <c r="X371" s="12">
        <v>15</v>
      </c>
      <c r="Y371" s="1" t="s">
        <v>1053</v>
      </c>
      <c r="Z371" s="1" t="s">
        <v>1054</v>
      </c>
      <c r="AA371" s="1" t="s">
        <v>1055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647</v>
      </c>
      <c r="AH371" s="75" t="s">
        <v>605</v>
      </c>
      <c r="AI371" s="74"/>
    </row>
    <row r="372" s="40" customFormat="1" spans="1:35">
      <c r="A372" s="12">
        <v>130622</v>
      </c>
      <c r="B372" s="12" t="s">
        <v>1077</v>
      </c>
      <c r="C372" s="12" t="s">
        <v>871</v>
      </c>
      <c r="D372" s="12" t="s">
        <v>872</v>
      </c>
      <c r="E372" s="12" t="s">
        <v>873</v>
      </c>
      <c r="F372" s="12" t="s">
        <v>874</v>
      </c>
      <c r="G372" s="85">
        <v>3</v>
      </c>
      <c r="H372" s="85">
        <v>4</v>
      </c>
      <c r="I372" s="85">
        <v>3</v>
      </c>
      <c r="J372" s="85">
        <v>22</v>
      </c>
      <c r="K372" s="85">
        <v>3422464</v>
      </c>
      <c r="L372" s="85">
        <v>600</v>
      </c>
      <c r="M372" s="85">
        <v>6082</v>
      </c>
      <c r="N372" s="85" t="s">
        <v>875</v>
      </c>
      <c r="O372" s="86" t="s">
        <v>876</v>
      </c>
      <c r="P372" s="85" t="s">
        <v>877</v>
      </c>
      <c r="Q372" s="88">
        <v>1100001</v>
      </c>
      <c r="R372" s="85">
        <v>0</v>
      </c>
      <c r="S372" s="85" t="s">
        <v>207</v>
      </c>
      <c r="T372" s="85">
        <v>1</v>
      </c>
      <c r="U372" s="85" t="s">
        <v>878</v>
      </c>
      <c r="V372" s="1" t="s">
        <v>786</v>
      </c>
      <c r="W372" s="85" t="s">
        <v>879</v>
      </c>
      <c r="X372" s="12">
        <v>15</v>
      </c>
      <c r="Y372" s="1" t="s">
        <v>1078</v>
      </c>
      <c r="Z372" s="1" t="s">
        <v>1079</v>
      </c>
      <c r="AA372" s="1" t="s">
        <v>1080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647</v>
      </c>
      <c r="AH372" s="75" t="s">
        <v>605</v>
      </c>
      <c r="AI372" s="74"/>
    </row>
    <row r="373" s="40" customFormat="1" spans="1:35">
      <c r="A373" s="12">
        <v>130623</v>
      </c>
      <c r="B373" s="12" t="s">
        <v>1081</v>
      </c>
      <c r="C373" s="12" t="s">
        <v>871</v>
      </c>
      <c r="D373" s="12" t="s">
        <v>872</v>
      </c>
      <c r="E373" s="12" t="s">
        <v>873</v>
      </c>
      <c r="F373" s="12" t="s">
        <v>874</v>
      </c>
      <c r="G373" s="85">
        <v>3</v>
      </c>
      <c r="H373" s="85">
        <v>4</v>
      </c>
      <c r="I373" s="85">
        <v>3</v>
      </c>
      <c r="J373" s="85">
        <v>23</v>
      </c>
      <c r="K373" s="85">
        <v>3672990</v>
      </c>
      <c r="L373" s="85">
        <v>600</v>
      </c>
      <c r="M373" s="85">
        <v>6083</v>
      </c>
      <c r="N373" s="85" t="s">
        <v>875</v>
      </c>
      <c r="O373" s="86" t="s">
        <v>876</v>
      </c>
      <c r="P373" s="85" t="s">
        <v>877</v>
      </c>
      <c r="Q373" s="88">
        <v>1100001</v>
      </c>
      <c r="R373" s="85">
        <v>0</v>
      </c>
      <c r="S373" s="85" t="s">
        <v>207</v>
      </c>
      <c r="T373" s="85">
        <v>1</v>
      </c>
      <c r="U373" s="85" t="s">
        <v>878</v>
      </c>
      <c r="V373" s="1" t="s">
        <v>786</v>
      </c>
      <c r="W373" s="85" t="s">
        <v>879</v>
      </c>
      <c r="X373" s="12">
        <v>15</v>
      </c>
      <c r="Y373" s="1" t="s">
        <v>1082</v>
      </c>
      <c r="Z373" s="1" t="s">
        <v>1083</v>
      </c>
      <c r="AA373" s="1" t="s">
        <v>1084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647</v>
      </c>
      <c r="AH373" s="75" t="s">
        <v>605</v>
      </c>
      <c r="AI373" s="74"/>
    </row>
    <row r="374" s="40" customFormat="1" spans="1:35">
      <c r="A374" s="12">
        <v>130624</v>
      </c>
      <c r="B374" s="12" t="s">
        <v>1085</v>
      </c>
      <c r="C374" s="12" t="s">
        <v>871</v>
      </c>
      <c r="D374" s="12" t="s">
        <v>872</v>
      </c>
      <c r="E374" s="12" t="s">
        <v>873</v>
      </c>
      <c r="F374" s="12" t="s">
        <v>874</v>
      </c>
      <c r="G374" s="85">
        <v>3</v>
      </c>
      <c r="H374" s="85">
        <v>4</v>
      </c>
      <c r="I374" s="85">
        <v>3</v>
      </c>
      <c r="J374" s="85">
        <v>24</v>
      </c>
      <c r="K374" s="85">
        <v>3923516</v>
      </c>
      <c r="L374" s="85">
        <v>600</v>
      </c>
      <c r="M374" s="85">
        <v>6084</v>
      </c>
      <c r="N374" s="85" t="s">
        <v>875</v>
      </c>
      <c r="O374" s="86" t="s">
        <v>876</v>
      </c>
      <c r="P374" s="85" t="s">
        <v>877</v>
      </c>
      <c r="Q374" s="88">
        <v>1100001</v>
      </c>
      <c r="R374" s="85">
        <v>0</v>
      </c>
      <c r="S374" s="85" t="s">
        <v>207</v>
      </c>
      <c r="T374" s="85">
        <v>1</v>
      </c>
      <c r="U374" s="85" t="s">
        <v>878</v>
      </c>
      <c r="V374" s="1" t="s">
        <v>786</v>
      </c>
      <c r="W374" s="85" t="s">
        <v>879</v>
      </c>
      <c r="X374" s="12">
        <v>15</v>
      </c>
      <c r="Y374" s="1" t="s">
        <v>1086</v>
      </c>
      <c r="Z374" s="1" t="s">
        <v>1087</v>
      </c>
      <c r="AA374" s="1" t="s">
        <v>1088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647</v>
      </c>
      <c r="AH374" s="75" t="s">
        <v>605</v>
      </c>
      <c r="AI374" s="74"/>
    </row>
    <row r="375" s="40" customFormat="1" spans="1:35">
      <c r="A375" s="12">
        <v>130625</v>
      </c>
      <c r="B375" s="12" t="s">
        <v>1089</v>
      </c>
      <c r="C375" s="12" t="s">
        <v>871</v>
      </c>
      <c r="D375" s="12" t="s">
        <v>872</v>
      </c>
      <c r="E375" s="12" t="s">
        <v>873</v>
      </c>
      <c r="F375" s="12" t="s">
        <v>874</v>
      </c>
      <c r="G375" s="85">
        <v>3</v>
      </c>
      <c r="H375" s="85">
        <v>4</v>
      </c>
      <c r="I375" s="85">
        <v>3</v>
      </c>
      <c r="J375" s="85">
        <v>25</v>
      </c>
      <c r="K375" s="85">
        <v>4174042</v>
      </c>
      <c r="L375" s="85">
        <v>600</v>
      </c>
      <c r="M375" s="85">
        <v>6085</v>
      </c>
      <c r="N375" s="85" t="s">
        <v>875</v>
      </c>
      <c r="O375" s="86" t="s">
        <v>876</v>
      </c>
      <c r="P375" s="85" t="s">
        <v>877</v>
      </c>
      <c r="Q375" s="88">
        <v>1100001</v>
      </c>
      <c r="R375" s="85">
        <v>0</v>
      </c>
      <c r="S375" s="85" t="s">
        <v>207</v>
      </c>
      <c r="T375" s="85">
        <v>1</v>
      </c>
      <c r="U375" s="85" t="s">
        <v>878</v>
      </c>
      <c r="V375" s="1" t="s">
        <v>786</v>
      </c>
      <c r="W375" s="85" t="s">
        <v>879</v>
      </c>
      <c r="X375" s="12">
        <v>15</v>
      </c>
      <c r="Y375" s="1" t="s">
        <v>1090</v>
      </c>
      <c r="Z375" s="1" t="s">
        <v>1091</v>
      </c>
      <c r="AA375" s="1" t="s">
        <v>1092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647</v>
      </c>
      <c r="AH375" s="75" t="s">
        <v>605</v>
      </c>
      <c r="AI375" s="74"/>
    </row>
    <row r="376" s="40" customFormat="1" spans="1:35">
      <c r="A376" s="12">
        <v>130626</v>
      </c>
      <c r="B376" s="12" t="s">
        <v>1093</v>
      </c>
      <c r="C376" s="12" t="s">
        <v>871</v>
      </c>
      <c r="D376" s="12" t="s">
        <v>872</v>
      </c>
      <c r="E376" s="12" t="s">
        <v>873</v>
      </c>
      <c r="F376" s="12" t="s">
        <v>874</v>
      </c>
      <c r="G376" s="85">
        <v>3</v>
      </c>
      <c r="H376" s="85">
        <v>4</v>
      </c>
      <c r="I376" s="85">
        <v>3</v>
      </c>
      <c r="J376" s="85">
        <v>26</v>
      </c>
      <c r="K376" s="85">
        <v>4424568</v>
      </c>
      <c r="L376" s="85">
        <v>600</v>
      </c>
      <c r="M376" s="85">
        <v>6086</v>
      </c>
      <c r="N376" s="85" t="s">
        <v>875</v>
      </c>
      <c r="O376" s="86" t="s">
        <v>876</v>
      </c>
      <c r="P376" s="85" t="s">
        <v>877</v>
      </c>
      <c r="Q376" s="88">
        <v>1100001</v>
      </c>
      <c r="R376" s="85">
        <v>0</v>
      </c>
      <c r="S376" s="85" t="s">
        <v>207</v>
      </c>
      <c r="T376" s="85">
        <v>1</v>
      </c>
      <c r="U376" s="85" t="s">
        <v>878</v>
      </c>
      <c r="V376" s="1" t="s">
        <v>786</v>
      </c>
      <c r="W376" s="85" t="s">
        <v>879</v>
      </c>
      <c r="X376" s="12">
        <v>15</v>
      </c>
      <c r="Y376" s="1" t="s">
        <v>1094</v>
      </c>
      <c r="Z376" s="1" t="s">
        <v>1095</v>
      </c>
      <c r="AA376" s="1" t="s">
        <v>1096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647</v>
      </c>
      <c r="AH376" s="75" t="s">
        <v>605</v>
      </c>
      <c r="AI376" s="74"/>
    </row>
    <row r="377" s="40" customFormat="1" spans="1:35">
      <c r="A377" s="12">
        <v>130627</v>
      </c>
      <c r="B377" s="12" t="s">
        <v>1097</v>
      </c>
      <c r="C377" s="12" t="s">
        <v>871</v>
      </c>
      <c r="D377" s="12" t="s">
        <v>872</v>
      </c>
      <c r="E377" s="12" t="s">
        <v>873</v>
      </c>
      <c r="F377" s="12" t="s">
        <v>874</v>
      </c>
      <c r="G377" s="85">
        <v>3</v>
      </c>
      <c r="H377" s="85">
        <v>4</v>
      </c>
      <c r="I377" s="85">
        <v>3</v>
      </c>
      <c r="J377" s="85">
        <v>27</v>
      </c>
      <c r="K377" s="85">
        <v>4675094</v>
      </c>
      <c r="L377" s="85">
        <v>600</v>
      </c>
      <c r="M377" s="85">
        <v>6087</v>
      </c>
      <c r="N377" s="85" t="s">
        <v>875</v>
      </c>
      <c r="O377" s="86" t="s">
        <v>876</v>
      </c>
      <c r="P377" s="85" t="s">
        <v>877</v>
      </c>
      <c r="Q377" s="88">
        <v>1100001</v>
      </c>
      <c r="R377" s="85">
        <v>0</v>
      </c>
      <c r="S377" s="85" t="s">
        <v>207</v>
      </c>
      <c r="T377" s="85">
        <v>1</v>
      </c>
      <c r="U377" s="85" t="s">
        <v>878</v>
      </c>
      <c r="V377" s="1" t="s">
        <v>786</v>
      </c>
      <c r="W377" s="85" t="s">
        <v>879</v>
      </c>
      <c r="X377" s="12">
        <v>15</v>
      </c>
      <c r="Y377" s="1" t="s">
        <v>1098</v>
      </c>
      <c r="Z377" s="1" t="s">
        <v>1099</v>
      </c>
      <c r="AA377" s="1" t="s">
        <v>1100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647</v>
      </c>
      <c r="AH377" s="75" t="s">
        <v>605</v>
      </c>
      <c r="AI377" s="74"/>
    </row>
    <row r="378" s="40" customFormat="1" spans="1:35">
      <c r="A378" s="12">
        <v>130628</v>
      </c>
      <c r="B378" s="12" t="s">
        <v>1101</v>
      </c>
      <c r="C378" s="12" t="s">
        <v>871</v>
      </c>
      <c r="D378" s="12" t="s">
        <v>872</v>
      </c>
      <c r="E378" s="12" t="s">
        <v>873</v>
      </c>
      <c r="F378" s="12" t="s">
        <v>874</v>
      </c>
      <c r="G378" s="85">
        <v>3</v>
      </c>
      <c r="H378" s="85">
        <v>4</v>
      </c>
      <c r="I378" s="85">
        <v>3</v>
      </c>
      <c r="J378" s="85">
        <v>28</v>
      </c>
      <c r="K378" s="85">
        <v>4925620</v>
      </c>
      <c r="L378" s="85">
        <v>600</v>
      </c>
      <c r="M378" s="85">
        <v>6088</v>
      </c>
      <c r="N378" s="85" t="s">
        <v>875</v>
      </c>
      <c r="O378" s="86" t="s">
        <v>876</v>
      </c>
      <c r="P378" s="85" t="s">
        <v>877</v>
      </c>
      <c r="Q378" s="88">
        <v>1100001</v>
      </c>
      <c r="R378" s="85">
        <v>0</v>
      </c>
      <c r="S378" s="85" t="s">
        <v>207</v>
      </c>
      <c r="T378" s="85">
        <v>1</v>
      </c>
      <c r="U378" s="85" t="s">
        <v>878</v>
      </c>
      <c r="V378" s="1" t="s">
        <v>786</v>
      </c>
      <c r="W378" s="85" t="s">
        <v>879</v>
      </c>
      <c r="X378" s="12">
        <v>15</v>
      </c>
      <c r="Y378" s="1" t="s">
        <v>1102</v>
      </c>
      <c r="Z378" s="1" t="s">
        <v>1103</v>
      </c>
      <c r="AA378" s="1" t="s">
        <v>1104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647</v>
      </c>
      <c r="AH378" s="75" t="s">
        <v>605</v>
      </c>
      <c r="AI378" s="74"/>
    </row>
    <row r="379" s="40" customFormat="1" spans="1:35">
      <c r="A379" s="12">
        <v>130629</v>
      </c>
      <c r="B379" s="12" t="s">
        <v>1105</v>
      </c>
      <c r="C379" s="12" t="s">
        <v>871</v>
      </c>
      <c r="D379" s="12" t="s">
        <v>872</v>
      </c>
      <c r="E379" s="12" t="s">
        <v>873</v>
      </c>
      <c r="F379" s="12" t="s">
        <v>874</v>
      </c>
      <c r="G379" s="85">
        <v>3</v>
      </c>
      <c r="H379" s="85">
        <v>4</v>
      </c>
      <c r="I379" s="85">
        <v>3</v>
      </c>
      <c r="J379" s="85">
        <v>29</v>
      </c>
      <c r="K379" s="85">
        <v>5176146</v>
      </c>
      <c r="L379" s="85">
        <v>600</v>
      </c>
      <c r="M379" s="85">
        <v>6089</v>
      </c>
      <c r="N379" s="85" t="s">
        <v>875</v>
      </c>
      <c r="O379" s="86" t="s">
        <v>876</v>
      </c>
      <c r="P379" s="85" t="s">
        <v>877</v>
      </c>
      <c r="Q379" s="88">
        <v>1100001</v>
      </c>
      <c r="R379" s="85">
        <v>0</v>
      </c>
      <c r="S379" s="85" t="s">
        <v>207</v>
      </c>
      <c r="T379" s="85">
        <v>1</v>
      </c>
      <c r="U379" s="85" t="s">
        <v>878</v>
      </c>
      <c r="V379" s="1" t="s">
        <v>786</v>
      </c>
      <c r="W379" s="85" t="s">
        <v>879</v>
      </c>
      <c r="X379" s="12">
        <v>15</v>
      </c>
      <c r="Y379" s="1" t="s">
        <v>1106</v>
      </c>
      <c r="Z379" s="1" t="s">
        <v>1107</v>
      </c>
      <c r="AA379" s="1" t="s">
        <v>1108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647</v>
      </c>
      <c r="AH379" s="75" t="s">
        <v>605</v>
      </c>
      <c r="AI379" s="74"/>
    </row>
    <row r="380" s="40" customFormat="1" spans="1:35">
      <c r="A380" s="12">
        <v>130630</v>
      </c>
      <c r="B380" s="12" t="s">
        <v>1109</v>
      </c>
      <c r="C380" s="12" t="s">
        <v>871</v>
      </c>
      <c r="D380" s="12" t="s">
        <v>872</v>
      </c>
      <c r="E380" s="12" t="s">
        <v>873</v>
      </c>
      <c r="F380" s="12" t="s">
        <v>874</v>
      </c>
      <c r="G380" s="85">
        <v>3</v>
      </c>
      <c r="H380" s="85">
        <v>4</v>
      </c>
      <c r="I380" s="85">
        <v>3</v>
      </c>
      <c r="J380" s="85">
        <v>30</v>
      </c>
      <c r="K380" s="85">
        <v>5427276</v>
      </c>
      <c r="L380" s="85">
        <v>600</v>
      </c>
      <c r="M380" s="85">
        <v>6090</v>
      </c>
      <c r="N380" s="85" t="s">
        <v>875</v>
      </c>
      <c r="O380" s="86" t="s">
        <v>876</v>
      </c>
      <c r="P380" s="85" t="s">
        <v>877</v>
      </c>
      <c r="Q380" s="88">
        <v>1100001</v>
      </c>
      <c r="R380" s="85">
        <v>0</v>
      </c>
      <c r="S380" s="85" t="s">
        <v>207</v>
      </c>
      <c r="T380" s="85">
        <v>1</v>
      </c>
      <c r="U380" s="85" t="s">
        <v>878</v>
      </c>
      <c r="V380" s="1" t="s">
        <v>786</v>
      </c>
      <c r="W380" s="85" t="s">
        <v>879</v>
      </c>
      <c r="X380" s="12">
        <v>15</v>
      </c>
      <c r="Y380" s="1" t="s">
        <v>1110</v>
      </c>
      <c r="Z380" s="1" t="s">
        <v>1111</v>
      </c>
      <c r="AA380" s="1" t="s">
        <v>1112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647</v>
      </c>
      <c r="AH380" s="75" t="s">
        <v>605</v>
      </c>
      <c r="AI380" s="74"/>
    </row>
    <row r="381" s="40" customFormat="1" spans="1:35">
      <c r="A381" s="12">
        <v>130701</v>
      </c>
      <c r="B381" s="12" t="s">
        <v>1113</v>
      </c>
      <c r="C381" s="12" t="s">
        <v>871</v>
      </c>
      <c r="D381" s="12" t="s">
        <v>872</v>
      </c>
      <c r="E381" s="12" t="s">
        <v>873</v>
      </c>
      <c r="F381" s="12" t="s">
        <v>874</v>
      </c>
      <c r="G381" s="85">
        <v>3</v>
      </c>
      <c r="H381" s="85">
        <v>4</v>
      </c>
      <c r="I381" s="85">
        <v>3</v>
      </c>
      <c r="J381" s="85">
        <v>1</v>
      </c>
      <c r="K381" s="85">
        <v>460831</v>
      </c>
      <c r="L381" s="85">
        <v>600</v>
      </c>
      <c r="M381" s="85">
        <v>6091</v>
      </c>
      <c r="N381" s="85" t="s">
        <v>875</v>
      </c>
      <c r="O381" s="86" t="s">
        <v>876</v>
      </c>
      <c r="P381" s="85" t="s">
        <v>877</v>
      </c>
      <c r="Q381" s="88">
        <v>1100001</v>
      </c>
      <c r="R381" s="85">
        <v>0</v>
      </c>
      <c r="S381" s="85" t="s">
        <v>207</v>
      </c>
      <c r="T381" s="85">
        <v>1</v>
      </c>
      <c r="U381" s="85" t="s">
        <v>878</v>
      </c>
      <c r="V381" s="1" t="s">
        <v>786</v>
      </c>
      <c r="W381" s="85" t="s">
        <v>879</v>
      </c>
      <c r="X381" s="12">
        <v>15</v>
      </c>
      <c r="Y381" s="1" t="s">
        <v>916</v>
      </c>
      <c r="Z381" s="1" t="s">
        <v>917</v>
      </c>
      <c r="AA381" s="1" t="s">
        <v>918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647</v>
      </c>
      <c r="AH381" s="75" t="s">
        <v>605</v>
      </c>
      <c r="AI381" s="74"/>
    </row>
    <row r="382" s="40" customFormat="1" spans="1:35">
      <c r="A382" s="12">
        <v>130702</v>
      </c>
      <c r="B382" s="12" t="s">
        <v>1114</v>
      </c>
      <c r="C382" s="12" t="s">
        <v>871</v>
      </c>
      <c r="D382" s="12" t="s">
        <v>872</v>
      </c>
      <c r="E382" s="12" t="s">
        <v>873</v>
      </c>
      <c r="F382" s="12" t="s">
        <v>874</v>
      </c>
      <c r="G382" s="85">
        <v>3</v>
      </c>
      <c r="H382" s="85">
        <v>4</v>
      </c>
      <c r="I382" s="85">
        <v>3</v>
      </c>
      <c r="J382" s="85">
        <v>2</v>
      </c>
      <c r="K382" s="85">
        <v>492701</v>
      </c>
      <c r="L382" s="85">
        <v>600</v>
      </c>
      <c r="M382" s="85">
        <v>6092</v>
      </c>
      <c r="N382" s="85" t="s">
        <v>875</v>
      </c>
      <c r="O382" s="86" t="s">
        <v>876</v>
      </c>
      <c r="P382" s="85" t="s">
        <v>877</v>
      </c>
      <c r="Q382" s="88">
        <v>1100001</v>
      </c>
      <c r="R382" s="85">
        <v>0</v>
      </c>
      <c r="S382" s="85" t="s">
        <v>207</v>
      </c>
      <c r="T382" s="85">
        <v>1</v>
      </c>
      <c r="U382" s="85" t="s">
        <v>878</v>
      </c>
      <c r="V382" s="1" t="s">
        <v>786</v>
      </c>
      <c r="W382" s="85" t="s">
        <v>879</v>
      </c>
      <c r="X382" s="12">
        <v>15</v>
      </c>
      <c r="Y382" s="1" t="s">
        <v>924</v>
      </c>
      <c r="Z382" s="1" t="s">
        <v>925</v>
      </c>
      <c r="AA382" s="1" t="s">
        <v>926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647</v>
      </c>
      <c r="AH382" s="75" t="s">
        <v>605</v>
      </c>
      <c r="AI382" s="74"/>
    </row>
    <row r="383" s="40" customFormat="1" spans="1:35">
      <c r="A383" s="12">
        <v>130703</v>
      </c>
      <c r="B383" s="12" t="s">
        <v>1115</v>
      </c>
      <c r="C383" s="12" t="s">
        <v>871</v>
      </c>
      <c r="D383" s="12" t="s">
        <v>872</v>
      </c>
      <c r="E383" s="12" t="s">
        <v>873</v>
      </c>
      <c r="F383" s="12" t="s">
        <v>874</v>
      </c>
      <c r="G383" s="85">
        <v>3</v>
      </c>
      <c r="H383" s="85">
        <v>4</v>
      </c>
      <c r="I383" s="85">
        <v>3</v>
      </c>
      <c r="J383" s="85">
        <v>3</v>
      </c>
      <c r="K383" s="85">
        <v>524437</v>
      </c>
      <c r="L383" s="85">
        <v>600</v>
      </c>
      <c r="M383" s="85">
        <v>6093</v>
      </c>
      <c r="N383" s="85" t="s">
        <v>875</v>
      </c>
      <c r="O383" s="86" t="s">
        <v>876</v>
      </c>
      <c r="P383" s="85" t="s">
        <v>877</v>
      </c>
      <c r="Q383" s="88">
        <v>1100001</v>
      </c>
      <c r="R383" s="85">
        <v>0</v>
      </c>
      <c r="S383" s="85" t="s">
        <v>207</v>
      </c>
      <c r="T383" s="85">
        <v>1</v>
      </c>
      <c r="U383" s="85" t="s">
        <v>878</v>
      </c>
      <c r="V383" s="1" t="s">
        <v>786</v>
      </c>
      <c r="W383" s="85" t="s">
        <v>879</v>
      </c>
      <c r="X383" s="12">
        <v>15</v>
      </c>
      <c r="Y383" s="1" t="s">
        <v>932</v>
      </c>
      <c r="Z383" s="1" t="s">
        <v>933</v>
      </c>
      <c r="AA383" s="1" t="s">
        <v>934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647</v>
      </c>
      <c r="AH383" s="75" t="s">
        <v>605</v>
      </c>
      <c r="AI383" s="74"/>
    </row>
    <row r="384" s="40" customFormat="1" spans="1:35">
      <c r="A384" s="12">
        <v>130704</v>
      </c>
      <c r="B384" s="12" t="s">
        <v>1116</v>
      </c>
      <c r="C384" s="12" t="s">
        <v>871</v>
      </c>
      <c r="D384" s="12" t="s">
        <v>872</v>
      </c>
      <c r="E384" s="12" t="s">
        <v>873</v>
      </c>
      <c r="F384" s="12" t="s">
        <v>874</v>
      </c>
      <c r="G384" s="85">
        <v>3</v>
      </c>
      <c r="H384" s="85">
        <v>4</v>
      </c>
      <c r="I384" s="85">
        <v>3</v>
      </c>
      <c r="J384" s="85">
        <v>4</v>
      </c>
      <c r="K384" s="85">
        <v>540375</v>
      </c>
      <c r="L384" s="85">
        <v>600</v>
      </c>
      <c r="M384" s="85">
        <v>6094</v>
      </c>
      <c r="N384" s="85" t="s">
        <v>875</v>
      </c>
      <c r="O384" s="86" t="s">
        <v>876</v>
      </c>
      <c r="P384" s="85" t="s">
        <v>877</v>
      </c>
      <c r="Q384" s="88">
        <v>1100001</v>
      </c>
      <c r="R384" s="85">
        <v>0</v>
      </c>
      <c r="S384" s="85" t="s">
        <v>207</v>
      </c>
      <c r="T384" s="85">
        <v>1</v>
      </c>
      <c r="U384" s="85" t="s">
        <v>878</v>
      </c>
      <c r="V384" s="1" t="s">
        <v>786</v>
      </c>
      <c r="W384" s="85" t="s">
        <v>879</v>
      </c>
      <c r="X384" s="12">
        <v>15</v>
      </c>
      <c r="Y384" s="1" t="s">
        <v>936</v>
      </c>
      <c r="Z384" s="1" t="s">
        <v>937</v>
      </c>
      <c r="AA384" s="1" t="s">
        <v>938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647</v>
      </c>
      <c r="AH384" s="75" t="s">
        <v>605</v>
      </c>
      <c r="AI384" s="74"/>
    </row>
    <row r="385" s="40" customFormat="1" spans="1:35">
      <c r="A385" s="12">
        <v>130705</v>
      </c>
      <c r="B385" s="12" t="s">
        <v>1117</v>
      </c>
      <c r="C385" s="12" t="s">
        <v>871</v>
      </c>
      <c r="D385" s="12" t="s">
        <v>872</v>
      </c>
      <c r="E385" s="12" t="s">
        <v>873</v>
      </c>
      <c r="F385" s="12" t="s">
        <v>874</v>
      </c>
      <c r="G385" s="85">
        <v>3</v>
      </c>
      <c r="H385" s="85">
        <v>4</v>
      </c>
      <c r="I385" s="85">
        <v>3</v>
      </c>
      <c r="J385" s="85">
        <v>5</v>
      </c>
      <c r="K385" s="85">
        <v>556214</v>
      </c>
      <c r="L385" s="85">
        <v>600</v>
      </c>
      <c r="M385" s="85">
        <v>6095</v>
      </c>
      <c r="N385" s="85" t="s">
        <v>875</v>
      </c>
      <c r="O385" s="86" t="s">
        <v>876</v>
      </c>
      <c r="P385" s="85" t="s">
        <v>877</v>
      </c>
      <c r="Q385" s="88">
        <v>1100001</v>
      </c>
      <c r="R385" s="85">
        <v>0</v>
      </c>
      <c r="S385" s="85" t="s">
        <v>207</v>
      </c>
      <c r="T385" s="85">
        <v>1</v>
      </c>
      <c r="U385" s="85" t="s">
        <v>878</v>
      </c>
      <c r="V385" s="1" t="s">
        <v>786</v>
      </c>
      <c r="W385" s="85" t="s">
        <v>879</v>
      </c>
      <c r="X385" s="12">
        <v>15</v>
      </c>
      <c r="Y385" s="1" t="s">
        <v>940</v>
      </c>
      <c r="Z385" s="1" t="s">
        <v>941</v>
      </c>
      <c r="AA385" s="1" t="s">
        <v>942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647</v>
      </c>
      <c r="AH385" s="75" t="s">
        <v>605</v>
      </c>
      <c r="AI385" s="74"/>
    </row>
    <row r="386" s="40" customFormat="1" spans="1:35">
      <c r="A386" s="12">
        <v>130706</v>
      </c>
      <c r="B386" s="12" t="s">
        <v>1118</v>
      </c>
      <c r="C386" s="12" t="s">
        <v>871</v>
      </c>
      <c r="D386" s="12" t="s">
        <v>872</v>
      </c>
      <c r="E386" s="12" t="s">
        <v>873</v>
      </c>
      <c r="F386" s="12" t="s">
        <v>874</v>
      </c>
      <c r="G386" s="85">
        <v>3</v>
      </c>
      <c r="H386" s="85">
        <v>4</v>
      </c>
      <c r="I386" s="85">
        <v>3</v>
      </c>
      <c r="J386" s="85">
        <v>6</v>
      </c>
      <c r="K386" s="85">
        <v>588008</v>
      </c>
      <c r="L386" s="85">
        <v>600</v>
      </c>
      <c r="M386" s="85">
        <v>6096</v>
      </c>
      <c r="N386" s="85" t="s">
        <v>875</v>
      </c>
      <c r="O386" s="86" t="s">
        <v>876</v>
      </c>
      <c r="P386" s="85" t="s">
        <v>877</v>
      </c>
      <c r="Q386" s="88">
        <v>1100001</v>
      </c>
      <c r="R386" s="85">
        <v>0</v>
      </c>
      <c r="S386" s="85" t="s">
        <v>207</v>
      </c>
      <c r="T386" s="85">
        <v>1</v>
      </c>
      <c r="U386" s="85" t="s">
        <v>878</v>
      </c>
      <c r="V386" s="1" t="s">
        <v>786</v>
      </c>
      <c r="W386" s="85" t="s">
        <v>879</v>
      </c>
      <c r="X386" s="12">
        <v>15</v>
      </c>
      <c r="Y386" s="1" t="s">
        <v>948</v>
      </c>
      <c r="Z386" s="1" t="s">
        <v>949</v>
      </c>
      <c r="AA386" s="1" t="s">
        <v>950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647</v>
      </c>
      <c r="AH386" s="75" t="s">
        <v>605</v>
      </c>
      <c r="AI386" s="74"/>
    </row>
    <row r="387" s="40" customFormat="1" spans="1:35">
      <c r="A387" s="12">
        <v>130707</v>
      </c>
      <c r="B387" s="12" t="s">
        <v>1119</v>
      </c>
      <c r="C387" s="12" t="s">
        <v>871</v>
      </c>
      <c r="D387" s="12" t="s">
        <v>872</v>
      </c>
      <c r="E387" s="12" t="s">
        <v>873</v>
      </c>
      <c r="F387" s="12" t="s">
        <v>874</v>
      </c>
      <c r="G387" s="85">
        <v>3</v>
      </c>
      <c r="H387" s="85">
        <v>4</v>
      </c>
      <c r="I387" s="85">
        <v>3</v>
      </c>
      <c r="J387" s="85">
        <v>7</v>
      </c>
      <c r="K387" s="85">
        <v>619744</v>
      </c>
      <c r="L387" s="85">
        <v>600</v>
      </c>
      <c r="M387" s="85">
        <v>6097</v>
      </c>
      <c r="N387" s="85" t="s">
        <v>875</v>
      </c>
      <c r="O387" s="86" t="s">
        <v>876</v>
      </c>
      <c r="P387" s="85" t="s">
        <v>877</v>
      </c>
      <c r="Q387" s="88">
        <v>1100001</v>
      </c>
      <c r="R387" s="85">
        <v>0</v>
      </c>
      <c r="S387" s="85" t="s">
        <v>207</v>
      </c>
      <c r="T387" s="85">
        <v>1</v>
      </c>
      <c r="U387" s="85" t="s">
        <v>878</v>
      </c>
      <c r="V387" s="1" t="s">
        <v>786</v>
      </c>
      <c r="W387" s="85" t="s">
        <v>879</v>
      </c>
      <c r="X387" s="12">
        <v>15</v>
      </c>
      <c r="Y387" s="1" t="s">
        <v>956</v>
      </c>
      <c r="Z387" s="1" t="s">
        <v>957</v>
      </c>
      <c r="AA387" s="1" t="s">
        <v>958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647</v>
      </c>
      <c r="AH387" s="75" t="s">
        <v>605</v>
      </c>
      <c r="AI387" s="74"/>
    </row>
    <row r="388" s="40" customFormat="1" spans="1:35">
      <c r="A388" s="12">
        <v>130708</v>
      </c>
      <c r="B388" s="12" t="s">
        <v>1120</v>
      </c>
      <c r="C388" s="12" t="s">
        <v>871</v>
      </c>
      <c r="D388" s="12" t="s">
        <v>872</v>
      </c>
      <c r="E388" s="12" t="s">
        <v>873</v>
      </c>
      <c r="F388" s="12" t="s">
        <v>874</v>
      </c>
      <c r="G388" s="85">
        <v>3</v>
      </c>
      <c r="H388" s="85">
        <v>4</v>
      </c>
      <c r="I388" s="85">
        <v>3</v>
      </c>
      <c r="J388" s="85">
        <v>8</v>
      </c>
      <c r="K388" s="85">
        <v>756553</v>
      </c>
      <c r="L388" s="85">
        <v>600</v>
      </c>
      <c r="M388" s="85">
        <v>6098</v>
      </c>
      <c r="N388" s="85" t="s">
        <v>875</v>
      </c>
      <c r="O388" s="86" t="s">
        <v>876</v>
      </c>
      <c r="P388" s="85" t="s">
        <v>877</v>
      </c>
      <c r="Q388" s="88">
        <v>1100001</v>
      </c>
      <c r="R388" s="85">
        <v>0</v>
      </c>
      <c r="S388" s="85" t="s">
        <v>207</v>
      </c>
      <c r="T388" s="85">
        <v>1</v>
      </c>
      <c r="U388" s="85" t="s">
        <v>878</v>
      </c>
      <c r="V388" s="1" t="s">
        <v>786</v>
      </c>
      <c r="W388" s="85" t="s">
        <v>879</v>
      </c>
      <c r="X388" s="12">
        <v>15</v>
      </c>
      <c r="Y388" s="1" t="s">
        <v>964</v>
      </c>
      <c r="Z388" s="1" t="s">
        <v>965</v>
      </c>
      <c r="AA388" s="1" t="s">
        <v>966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647</v>
      </c>
      <c r="AH388" s="75" t="s">
        <v>605</v>
      </c>
      <c r="AI388" s="74"/>
    </row>
    <row r="389" s="40" customFormat="1" spans="1:35">
      <c r="A389" s="12">
        <v>130709</v>
      </c>
      <c r="B389" s="12" t="s">
        <v>1121</v>
      </c>
      <c r="C389" s="12" t="s">
        <v>871</v>
      </c>
      <c r="D389" s="12" t="s">
        <v>872</v>
      </c>
      <c r="E389" s="12" t="s">
        <v>873</v>
      </c>
      <c r="F389" s="12" t="s">
        <v>874</v>
      </c>
      <c r="G389" s="85">
        <v>3</v>
      </c>
      <c r="H389" s="85">
        <v>4</v>
      </c>
      <c r="I389" s="85">
        <v>3</v>
      </c>
      <c r="J389" s="85">
        <v>9</v>
      </c>
      <c r="K389" s="85">
        <v>998283</v>
      </c>
      <c r="L389" s="85">
        <v>600</v>
      </c>
      <c r="M389" s="85">
        <v>6099</v>
      </c>
      <c r="N389" s="85" t="s">
        <v>875</v>
      </c>
      <c r="O389" s="86" t="s">
        <v>876</v>
      </c>
      <c r="P389" s="85" t="s">
        <v>877</v>
      </c>
      <c r="Q389" s="88">
        <v>1100001</v>
      </c>
      <c r="R389" s="85">
        <v>0</v>
      </c>
      <c r="S389" s="85" t="s">
        <v>207</v>
      </c>
      <c r="T389" s="85">
        <v>1</v>
      </c>
      <c r="U389" s="85" t="s">
        <v>878</v>
      </c>
      <c r="V389" s="1" t="s">
        <v>786</v>
      </c>
      <c r="W389" s="85" t="s">
        <v>879</v>
      </c>
      <c r="X389" s="12">
        <v>15</v>
      </c>
      <c r="Y389" s="1" t="s">
        <v>972</v>
      </c>
      <c r="Z389" s="1" t="s">
        <v>973</v>
      </c>
      <c r="AA389" s="1" t="s">
        <v>974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647</v>
      </c>
      <c r="AH389" s="75" t="s">
        <v>605</v>
      </c>
      <c r="AI389" s="74"/>
    </row>
    <row r="390" s="40" customFormat="1" spans="1:35">
      <c r="A390" s="12">
        <v>130710</v>
      </c>
      <c r="B390" s="12" t="s">
        <v>1122</v>
      </c>
      <c r="C390" s="12" t="s">
        <v>871</v>
      </c>
      <c r="D390" s="12" t="s">
        <v>872</v>
      </c>
      <c r="E390" s="12" t="s">
        <v>873</v>
      </c>
      <c r="F390" s="12" t="s">
        <v>874</v>
      </c>
      <c r="G390" s="85">
        <v>3</v>
      </c>
      <c r="H390" s="85">
        <v>4</v>
      </c>
      <c r="I390" s="85">
        <v>3</v>
      </c>
      <c r="J390" s="85">
        <v>10</v>
      </c>
      <c r="K390" s="85">
        <v>1240013</v>
      </c>
      <c r="L390" s="85">
        <v>600</v>
      </c>
      <c r="M390" s="85">
        <v>6100</v>
      </c>
      <c r="N390" s="85" t="s">
        <v>875</v>
      </c>
      <c r="O390" s="86" t="s">
        <v>876</v>
      </c>
      <c r="P390" s="85" t="s">
        <v>877</v>
      </c>
      <c r="Q390" s="88">
        <v>1100001</v>
      </c>
      <c r="R390" s="85">
        <v>0</v>
      </c>
      <c r="S390" s="85" t="s">
        <v>207</v>
      </c>
      <c r="T390" s="85">
        <v>1</v>
      </c>
      <c r="U390" s="85" t="s">
        <v>878</v>
      </c>
      <c r="V390" s="1" t="s">
        <v>786</v>
      </c>
      <c r="W390" s="85" t="s">
        <v>879</v>
      </c>
      <c r="X390" s="12">
        <v>15</v>
      </c>
      <c r="Y390" s="1" t="s">
        <v>980</v>
      </c>
      <c r="Z390" s="1" t="s">
        <v>981</v>
      </c>
      <c r="AA390" s="1" t="s">
        <v>982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647</v>
      </c>
      <c r="AH390" s="75" t="s">
        <v>605</v>
      </c>
      <c r="AI390" s="74"/>
    </row>
    <row r="391" s="40" customFormat="1" spans="1:35">
      <c r="A391" s="12">
        <v>130711</v>
      </c>
      <c r="B391" s="12" t="s">
        <v>1123</v>
      </c>
      <c r="C391" s="12" t="s">
        <v>871</v>
      </c>
      <c r="D391" s="12" t="s">
        <v>872</v>
      </c>
      <c r="E391" s="12" t="s">
        <v>873</v>
      </c>
      <c r="F391" s="12" t="s">
        <v>874</v>
      </c>
      <c r="G391" s="85">
        <v>3</v>
      </c>
      <c r="H391" s="85">
        <v>4</v>
      </c>
      <c r="I391" s="85">
        <v>3</v>
      </c>
      <c r="J391" s="85">
        <v>11</v>
      </c>
      <c r="K391" s="85">
        <v>1481743</v>
      </c>
      <c r="L391" s="85">
        <v>600</v>
      </c>
      <c r="M391" s="85">
        <v>6101</v>
      </c>
      <c r="N391" s="85" t="s">
        <v>875</v>
      </c>
      <c r="O391" s="86" t="s">
        <v>876</v>
      </c>
      <c r="P391" s="85" t="s">
        <v>877</v>
      </c>
      <c r="Q391" s="88">
        <v>1100001</v>
      </c>
      <c r="R391" s="85">
        <v>0</v>
      </c>
      <c r="S391" s="85" t="s">
        <v>207</v>
      </c>
      <c r="T391" s="85">
        <v>1</v>
      </c>
      <c r="U391" s="85" t="s">
        <v>878</v>
      </c>
      <c r="V391" s="1" t="s">
        <v>786</v>
      </c>
      <c r="W391" s="85" t="s">
        <v>879</v>
      </c>
      <c r="X391" s="12">
        <v>15</v>
      </c>
      <c r="Y391" s="1" t="s">
        <v>988</v>
      </c>
      <c r="Z391" s="1" t="s">
        <v>989</v>
      </c>
      <c r="AA391" s="1" t="s">
        <v>990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647</v>
      </c>
      <c r="AH391" s="75" t="s">
        <v>605</v>
      </c>
      <c r="AI391" s="74"/>
    </row>
    <row r="392" s="40" customFormat="1" spans="1:35">
      <c r="A392" s="12">
        <v>130712</v>
      </c>
      <c r="B392" s="12" t="s">
        <v>1124</v>
      </c>
      <c r="C392" s="12" t="s">
        <v>871</v>
      </c>
      <c r="D392" s="12" t="s">
        <v>872</v>
      </c>
      <c r="E392" s="12" t="s">
        <v>873</v>
      </c>
      <c r="F392" s="12" t="s">
        <v>874</v>
      </c>
      <c r="G392" s="85">
        <v>3</v>
      </c>
      <c r="H392" s="85">
        <v>4</v>
      </c>
      <c r="I392" s="85">
        <v>3</v>
      </c>
      <c r="J392" s="85">
        <v>12</v>
      </c>
      <c r="K392" s="85">
        <v>1722810</v>
      </c>
      <c r="L392" s="85">
        <v>600</v>
      </c>
      <c r="M392" s="85">
        <v>6102</v>
      </c>
      <c r="N392" s="85" t="s">
        <v>875</v>
      </c>
      <c r="O392" s="86" t="s">
        <v>876</v>
      </c>
      <c r="P392" s="85" t="s">
        <v>877</v>
      </c>
      <c r="Q392" s="88">
        <v>1100001</v>
      </c>
      <c r="R392" s="85">
        <v>0</v>
      </c>
      <c r="S392" s="85" t="s">
        <v>207</v>
      </c>
      <c r="T392" s="85">
        <v>1</v>
      </c>
      <c r="U392" s="85" t="s">
        <v>878</v>
      </c>
      <c r="V392" s="1" t="s">
        <v>786</v>
      </c>
      <c r="W392" s="85" t="s">
        <v>879</v>
      </c>
      <c r="X392" s="12">
        <v>15</v>
      </c>
      <c r="Y392" s="1" t="s">
        <v>996</v>
      </c>
      <c r="Z392" s="1" t="s">
        <v>997</v>
      </c>
      <c r="AA392" s="1" t="s">
        <v>998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647</v>
      </c>
      <c r="AH392" s="75" t="s">
        <v>605</v>
      </c>
      <c r="AI392" s="74"/>
    </row>
    <row r="393" s="40" customFormat="1" spans="1:35">
      <c r="A393" s="12">
        <v>130713</v>
      </c>
      <c r="B393" s="12" t="s">
        <v>1125</v>
      </c>
      <c r="C393" s="12" t="s">
        <v>871</v>
      </c>
      <c r="D393" s="12" t="s">
        <v>872</v>
      </c>
      <c r="E393" s="12" t="s">
        <v>873</v>
      </c>
      <c r="F393" s="12" t="s">
        <v>874</v>
      </c>
      <c r="G393" s="85">
        <v>3</v>
      </c>
      <c r="H393" s="85">
        <v>4</v>
      </c>
      <c r="I393" s="85">
        <v>3</v>
      </c>
      <c r="J393" s="85">
        <v>13</v>
      </c>
      <c r="K393" s="85">
        <v>2044910</v>
      </c>
      <c r="L393" s="85">
        <v>600</v>
      </c>
      <c r="M393" s="85">
        <v>6103</v>
      </c>
      <c r="N393" s="85" t="s">
        <v>875</v>
      </c>
      <c r="O393" s="86" t="s">
        <v>876</v>
      </c>
      <c r="P393" s="85" t="s">
        <v>877</v>
      </c>
      <c r="Q393" s="88">
        <v>1100001</v>
      </c>
      <c r="R393" s="85">
        <v>0</v>
      </c>
      <c r="S393" s="85" t="s">
        <v>207</v>
      </c>
      <c r="T393" s="85">
        <v>1</v>
      </c>
      <c r="U393" s="85" t="s">
        <v>878</v>
      </c>
      <c r="V393" s="1" t="s">
        <v>786</v>
      </c>
      <c r="W393" s="85" t="s">
        <v>879</v>
      </c>
      <c r="X393" s="12">
        <v>15</v>
      </c>
      <c r="Y393" s="1" t="s">
        <v>1025</v>
      </c>
      <c r="Z393" s="1" t="s">
        <v>1026</v>
      </c>
      <c r="AA393" s="1" t="s">
        <v>1027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647</v>
      </c>
      <c r="AH393" s="75" t="s">
        <v>605</v>
      </c>
      <c r="AI393" s="74"/>
    </row>
    <row r="394" s="40" customFormat="1" spans="1:35">
      <c r="A394" s="12">
        <v>130714</v>
      </c>
      <c r="B394" s="12" t="s">
        <v>1126</v>
      </c>
      <c r="C394" s="12" t="s">
        <v>871</v>
      </c>
      <c r="D394" s="12" t="s">
        <v>872</v>
      </c>
      <c r="E394" s="12" t="s">
        <v>873</v>
      </c>
      <c r="F394" s="12" t="s">
        <v>874</v>
      </c>
      <c r="G394" s="85">
        <v>3</v>
      </c>
      <c r="H394" s="85">
        <v>4</v>
      </c>
      <c r="I394" s="85">
        <v>3</v>
      </c>
      <c r="J394" s="85">
        <v>14</v>
      </c>
      <c r="K394" s="85">
        <v>2367010</v>
      </c>
      <c r="L394" s="85">
        <v>600</v>
      </c>
      <c r="M394" s="85">
        <v>6104</v>
      </c>
      <c r="N394" s="85" t="s">
        <v>875</v>
      </c>
      <c r="O394" s="86" t="s">
        <v>876</v>
      </c>
      <c r="P394" s="85" t="s">
        <v>877</v>
      </c>
      <c r="Q394" s="88">
        <v>1100001</v>
      </c>
      <c r="R394" s="85">
        <v>0</v>
      </c>
      <c r="S394" s="85" t="s">
        <v>207</v>
      </c>
      <c r="T394" s="85">
        <v>1</v>
      </c>
      <c r="U394" s="85" t="s">
        <v>878</v>
      </c>
      <c r="V394" s="1" t="s">
        <v>786</v>
      </c>
      <c r="W394" s="85" t="s">
        <v>879</v>
      </c>
      <c r="X394" s="12">
        <v>15</v>
      </c>
      <c r="Y394" s="1" t="s">
        <v>1033</v>
      </c>
      <c r="Z394" s="1" t="s">
        <v>1034</v>
      </c>
      <c r="AA394" s="1" t="s">
        <v>1035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647</v>
      </c>
      <c r="AH394" s="75" t="s">
        <v>605</v>
      </c>
      <c r="AI394" s="74"/>
    </row>
    <row r="395" s="40" customFormat="1" spans="1:35">
      <c r="A395" s="12">
        <v>130715</v>
      </c>
      <c r="B395" s="12" t="s">
        <v>1127</v>
      </c>
      <c r="C395" s="12" t="s">
        <v>871</v>
      </c>
      <c r="D395" s="12" t="s">
        <v>872</v>
      </c>
      <c r="E395" s="12" t="s">
        <v>873</v>
      </c>
      <c r="F395" s="12" t="s">
        <v>874</v>
      </c>
      <c r="G395" s="85">
        <v>3</v>
      </c>
      <c r="H395" s="85">
        <v>4</v>
      </c>
      <c r="I395" s="85">
        <v>3</v>
      </c>
      <c r="J395" s="85">
        <v>15</v>
      </c>
      <c r="K395" s="85">
        <v>2689110</v>
      </c>
      <c r="L395" s="85">
        <v>600</v>
      </c>
      <c r="M395" s="85">
        <v>6105</v>
      </c>
      <c r="N395" s="85" t="s">
        <v>875</v>
      </c>
      <c r="O395" s="86" t="s">
        <v>876</v>
      </c>
      <c r="P395" s="85" t="s">
        <v>877</v>
      </c>
      <c r="Q395" s="88">
        <v>1100001</v>
      </c>
      <c r="R395" s="85">
        <v>0</v>
      </c>
      <c r="S395" s="85" t="s">
        <v>207</v>
      </c>
      <c r="T395" s="85">
        <v>1</v>
      </c>
      <c r="U395" s="85" t="s">
        <v>878</v>
      </c>
      <c r="V395" s="1" t="s">
        <v>786</v>
      </c>
      <c r="W395" s="85" t="s">
        <v>879</v>
      </c>
      <c r="X395" s="12">
        <v>15</v>
      </c>
      <c r="Y395" s="1" t="s">
        <v>1041</v>
      </c>
      <c r="Z395" s="1" t="s">
        <v>1042</v>
      </c>
      <c r="AA395" s="1" t="s">
        <v>1043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647</v>
      </c>
      <c r="AH395" s="75" t="s">
        <v>605</v>
      </c>
      <c r="AI395" s="74"/>
    </row>
    <row r="396" s="40" customFormat="1" spans="1:35">
      <c r="A396" s="12">
        <v>130716</v>
      </c>
      <c r="B396" s="12" t="s">
        <v>1128</v>
      </c>
      <c r="C396" s="12" t="s">
        <v>871</v>
      </c>
      <c r="D396" s="12" t="s">
        <v>872</v>
      </c>
      <c r="E396" s="12" t="s">
        <v>873</v>
      </c>
      <c r="F396" s="12" t="s">
        <v>874</v>
      </c>
      <c r="G396" s="85">
        <v>3</v>
      </c>
      <c r="H396" s="85">
        <v>4</v>
      </c>
      <c r="I396" s="85">
        <v>3</v>
      </c>
      <c r="J396" s="85">
        <v>16</v>
      </c>
      <c r="K396" s="85">
        <v>3011210</v>
      </c>
      <c r="L396" s="85">
        <v>600</v>
      </c>
      <c r="M396" s="85">
        <v>6106</v>
      </c>
      <c r="N396" s="85" t="s">
        <v>875</v>
      </c>
      <c r="O396" s="86" t="s">
        <v>876</v>
      </c>
      <c r="P396" s="85" t="s">
        <v>877</v>
      </c>
      <c r="Q396" s="88">
        <v>1100001</v>
      </c>
      <c r="R396" s="85">
        <v>0</v>
      </c>
      <c r="S396" s="85" t="s">
        <v>207</v>
      </c>
      <c r="T396" s="85">
        <v>1</v>
      </c>
      <c r="U396" s="85" t="s">
        <v>878</v>
      </c>
      <c r="V396" s="1" t="s">
        <v>786</v>
      </c>
      <c r="W396" s="85" t="s">
        <v>879</v>
      </c>
      <c r="X396" s="12">
        <v>15</v>
      </c>
      <c r="Y396" s="1" t="s">
        <v>1049</v>
      </c>
      <c r="Z396" s="1" t="s">
        <v>1050</v>
      </c>
      <c r="AA396" s="1" t="s">
        <v>1051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647</v>
      </c>
      <c r="AH396" s="75" t="s">
        <v>605</v>
      </c>
      <c r="AI396" s="74"/>
    </row>
    <row r="397" s="40" customFormat="1" spans="1:35">
      <c r="A397" s="12">
        <v>130717</v>
      </c>
      <c r="B397" s="12" t="s">
        <v>1129</v>
      </c>
      <c r="C397" s="12" t="s">
        <v>871</v>
      </c>
      <c r="D397" s="12" t="s">
        <v>872</v>
      </c>
      <c r="E397" s="12" t="s">
        <v>873</v>
      </c>
      <c r="F397" s="12" t="s">
        <v>874</v>
      </c>
      <c r="G397" s="85">
        <v>3</v>
      </c>
      <c r="H397" s="85">
        <v>4</v>
      </c>
      <c r="I397" s="85">
        <v>3</v>
      </c>
      <c r="J397" s="85">
        <v>17</v>
      </c>
      <c r="K397" s="85">
        <v>3422464</v>
      </c>
      <c r="L397" s="85">
        <v>600</v>
      </c>
      <c r="M397" s="85">
        <v>6107</v>
      </c>
      <c r="N397" s="85" t="s">
        <v>875</v>
      </c>
      <c r="O397" s="86" t="s">
        <v>876</v>
      </c>
      <c r="P397" s="85" t="s">
        <v>877</v>
      </c>
      <c r="Q397" s="88">
        <v>1100001</v>
      </c>
      <c r="R397" s="85">
        <v>0</v>
      </c>
      <c r="S397" s="85" t="s">
        <v>207</v>
      </c>
      <c r="T397" s="85">
        <v>1</v>
      </c>
      <c r="U397" s="85" t="s">
        <v>878</v>
      </c>
      <c r="V397" s="1" t="s">
        <v>786</v>
      </c>
      <c r="W397" s="85" t="s">
        <v>879</v>
      </c>
      <c r="X397" s="12">
        <v>15</v>
      </c>
      <c r="Y397" s="1" t="s">
        <v>1078</v>
      </c>
      <c r="Z397" s="1" t="s">
        <v>1079</v>
      </c>
      <c r="AA397" s="1" t="s">
        <v>1080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647</v>
      </c>
      <c r="AH397" s="75" t="s">
        <v>605</v>
      </c>
      <c r="AI397" s="74"/>
    </row>
    <row r="398" s="40" customFormat="1" spans="1:35">
      <c r="A398" s="12">
        <v>130718</v>
      </c>
      <c r="B398" s="12" t="s">
        <v>1130</v>
      </c>
      <c r="C398" s="12" t="s">
        <v>871</v>
      </c>
      <c r="D398" s="12" t="s">
        <v>872</v>
      </c>
      <c r="E398" s="12" t="s">
        <v>873</v>
      </c>
      <c r="F398" s="12" t="s">
        <v>874</v>
      </c>
      <c r="G398" s="85">
        <v>3</v>
      </c>
      <c r="H398" s="85">
        <v>4</v>
      </c>
      <c r="I398" s="85">
        <v>3</v>
      </c>
      <c r="J398" s="85">
        <v>18</v>
      </c>
      <c r="K398" s="85">
        <v>3923516</v>
      </c>
      <c r="L398" s="85">
        <v>600</v>
      </c>
      <c r="M398" s="85">
        <v>6108</v>
      </c>
      <c r="N398" s="85" t="s">
        <v>875</v>
      </c>
      <c r="O398" s="86" t="s">
        <v>876</v>
      </c>
      <c r="P398" s="85" t="s">
        <v>877</v>
      </c>
      <c r="Q398" s="88">
        <v>1100001</v>
      </c>
      <c r="R398" s="85">
        <v>0</v>
      </c>
      <c r="S398" s="85" t="s">
        <v>207</v>
      </c>
      <c r="T398" s="85">
        <v>1</v>
      </c>
      <c r="U398" s="85" t="s">
        <v>878</v>
      </c>
      <c r="V398" s="1" t="s">
        <v>786</v>
      </c>
      <c r="W398" s="85" t="s">
        <v>879</v>
      </c>
      <c r="X398" s="12">
        <v>15</v>
      </c>
      <c r="Y398" s="1" t="s">
        <v>1086</v>
      </c>
      <c r="Z398" s="1" t="s">
        <v>1087</v>
      </c>
      <c r="AA398" s="1" t="s">
        <v>1088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647</v>
      </c>
      <c r="AH398" s="75" t="s">
        <v>605</v>
      </c>
      <c r="AI398" s="74"/>
    </row>
    <row r="399" s="40" customFormat="1" spans="1:35">
      <c r="A399" s="12">
        <v>130719</v>
      </c>
      <c r="B399" s="12" t="s">
        <v>1131</v>
      </c>
      <c r="C399" s="12" t="s">
        <v>871</v>
      </c>
      <c r="D399" s="12" t="s">
        <v>872</v>
      </c>
      <c r="E399" s="12" t="s">
        <v>873</v>
      </c>
      <c r="F399" s="12" t="s">
        <v>874</v>
      </c>
      <c r="G399" s="85">
        <v>3</v>
      </c>
      <c r="H399" s="85">
        <v>4</v>
      </c>
      <c r="I399" s="85">
        <v>3</v>
      </c>
      <c r="J399" s="85">
        <v>19</v>
      </c>
      <c r="K399" s="85">
        <v>4424568</v>
      </c>
      <c r="L399" s="85">
        <v>600</v>
      </c>
      <c r="M399" s="85">
        <v>6109</v>
      </c>
      <c r="N399" s="85" t="s">
        <v>875</v>
      </c>
      <c r="O399" s="86" t="s">
        <v>876</v>
      </c>
      <c r="P399" s="85" t="s">
        <v>877</v>
      </c>
      <c r="Q399" s="88">
        <v>1100001</v>
      </c>
      <c r="R399" s="85">
        <v>0</v>
      </c>
      <c r="S399" s="85" t="s">
        <v>207</v>
      </c>
      <c r="T399" s="85">
        <v>1</v>
      </c>
      <c r="U399" s="85" t="s">
        <v>878</v>
      </c>
      <c r="V399" s="1" t="s">
        <v>786</v>
      </c>
      <c r="W399" s="85" t="s">
        <v>879</v>
      </c>
      <c r="X399" s="12">
        <v>15</v>
      </c>
      <c r="Y399" s="1" t="s">
        <v>1094</v>
      </c>
      <c r="Z399" s="1" t="s">
        <v>1095</v>
      </c>
      <c r="AA399" s="1" t="s">
        <v>1096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647</v>
      </c>
      <c r="AH399" s="75" t="s">
        <v>605</v>
      </c>
      <c r="AI399" s="74"/>
    </row>
    <row r="400" s="40" customFormat="1" spans="1:35">
      <c r="A400" s="12">
        <v>130720</v>
      </c>
      <c r="B400" s="12" t="s">
        <v>1132</v>
      </c>
      <c r="C400" s="12" t="s">
        <v>871</v>
      </c>
      <c r="D400" s="12" t="s">
        <v>872</v>
      </c>
      <c r="E400" s="12" t="s">
        <v>873</v>
      </c>
      <c r="F400" s="12" t="s">
        <v>874</v>
      </c>
      <c r="G400" s="85">
        <v>3</v>
      </c>
      <c r="H400" s="85">
        <v>4</v>
      </c>
      <c r="I400" s="85">
        <v>3</v>
      </c>
      <c r="J400" s="85">
        <v>20</v>
      </c>
      <c r="K400" s="85">
        <v>4925620</v>
      </c>
      <c r="L400" s="85">
        <v>600</v>
      </c>
      <c r="M400" s="85">
        <v>6110</v>
      </c>
      <c r="N400" s="85" t="s">
        <v>875</v>
      </c>
      <c r="O400" s="86" t="s">
        <v>876</v>
      </c>
      <c r="P400" s="85" t="s">
        <v>877</v>
      </c>
      <c r="Q400" s="88">
        <v>1100001</v>
      </c>
      <c r="R400" s="85">
        <v>0</v>
      </c>
      <c r="S400" s="85" t="s">
        <v>207</v>
      </c>
      <c r="T400" s="85">
        <v>1</v>
      </c>
      <c r="U400" s="85" t="s">
        <v>878</v>
      </c>
      <c r="V400" s="1" t="s">
        <v>786</v>
      </c>
      <c r="W400" s="85" t="s">
        <v>879</v>
      </c>
      <c r="X400" s="12">
        <v>15</v>
      </c>
      <c r="Y400" s="1" t="s">
        <v>1102</v>
      </c>
      <c r="Z400" s="1" t="s">
        <v>1103</v>
      </c>
      <c r="AA400" s="1" t="s">
        <v>1104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647</v>
      </c>
      <c r="AH400" s="75" t="s">
        <v>605</v>
      </c>
      <c r="AI400" s="74"/>
    </row>
    <row r="401" s="40" customFormat="1" spans="1:35">
      <c r="A401" s="12">
        <v>130721</v>
      </c>
      <c r="B401" s="12" t="s">
        <v>1133</v>
      </c>
      <c r="C401" s="12" t="s">
        <v>871</v>
      </c>
      <c r="D401" s="12" t="s">
        <v>872</v>
      </c>
      <c r="E401" s="12" t="s">
        <v>873</v>
      </c>
      <c r="F401" s="12" t="s">
        <v>874</v>
      </c>
      <c r="G401" s="85">
        <v>3</v>
      </c>
      <c r="H401" s="85">
        <v>4</v>
      </c>
      <c r="I401" s="85">
        <v>3</v>
      </c>
      <c r="J401" s="85">
        <v>21</v>
      </c>
      <c r="K401" s="85">
        <v>5427276</v>
      </c>
      <c r="L401" s="85">
        <v>600</v>
      </c>
      <c r="M401" s="85">
        <v>6111</v>
      </c>
      <c r="N401" s="85" t="s">
        <v>875</v>
      </c>
      <c r="O401" s="86" t="s">
        <v>876</v>
      </c>
      <c r="P401" s="85" t="s">
        <v>877</v>
      </c>
      <c r="Q401" s="88">
        <v>1100001</v>
      </c>
      <c r="R401" s="85">
        <v>0</v>
      </c>
      <c r="S401" s="85" t="s">
        <v>207</v>
      </c>
      <c r="T401" s="85">
        <v>1</v>
      </c>
      <c r="U401" s="85" t="s">
        <v>878</v>
      </c>
      <c r="V401" s="1" t="s">
        <v>786</v>
      </c>
      <c r="W401" s="85" t="s">
        <v>879</v>
      </c>
      <c r="X401" s="12">
        <v>15</v>
      </c>
      <c r="Y401" s="1" t="s">
        <v>1110</v>
      </c>
      <c r="Z401" s="1" t="s">
        <v>1111</v>
      </c>
      <c r="AA401" s="1" t="s">
        <v>1112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647</v>
      </c>
      <c r="AH401" s="75" t="s">
        <v>605</v>
      </c>
      <c r="AI401" s="74"/>
    </row>
    <row r="402" s="40" customFormat="1" spans="1:35">
      <c r="A402" s="12">
        <v>130722</v>
      </c>
      <c r="B402" s="12" t="s">
        <v>1134</v>
      </c>
      <c r="C402" s="12" t="s">
        <v>871</v>
      </c>
      <c r="D402" s="12" t="s">
        <v>872</v>
      </c>
      <c r="E402" s="12" t="s">
        <v>873</v>
      </c>
      <c r="F402" s="12" t="s">
        <v>874</v>
      </c>
      <c r="G402" s="85">
        <v>3</v>
      </c>
      <c r="H402" s="85">
        <v>4</v>
      </c>
      <c r="I402" s="85">
        <v>3</v>
      </c>
      <c r="J402" s="85">
        <v>22</v>
      </c>
      <c r="K402" s="85">
        <v>5742944</v>
      </c>
      <c r="L402" s="85">
        <v>600</v>
      </c>
      <c r="M402" s="85">
        <v>6112</v>
      </c>
      <c r="N402" s="85" t="s">
        <v>875</v>
      </c>
      <c r="O402" s="86" t="s">
        <v>876</v>
      </c>
      <c r="P402" s="85" t="s">
        <v>877</v>
      </c>
      <c r="Q402" s="88">
        <v>1100001</v>
      </c>
      <c r="R402" s="85">
        <v>0</v>
      </c>
      <c r="S402" s="85" t="s">
        <v>207</v>
      </c>
      <c r="T402" s="85">
        <v>1</v>
      </c>
      <c r="U402" s="85" t="s">
        <v>878</v>
      </c>
      <c r="V402" s="1" t="s">
        <v>786</v>
      </c>
      <c r="W402" s="85" t="s">
        <v>879</v>
      </c>
      <c r="X402" s="12">
        <v>15</v>
      </c>
      <c r="Y402" s="1" t="s">
        <v>1135</v>
      </c>
      <c r="Z402" s="1" t="s">
        <v>1136</v>
      </c>
      <c r="AA402" s="1" t="s">
        <v>1137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647</v>
      </c>
      <c r="AH402" s="75" t="s">
        <v>605</v>
      </c>
      <c r="AI402" s="74"/>
    </row>
    <row r="403" s="40" customFormat="1" spans="1:35">
      <c r="A403" s="12">
        <v>130723</v>
      </c>
      <c r="B403" s="12" t="s">
        <v>1138</v>
      </c>
      <c r="C403" s="12" t="s">
        <v>871</v>
      </c>
      <c r="D403" s="12" t="s">
        <v>872</v>
      </c>
      <c r="E403" s="12" t="s">
        <v>873</v>
      </c>
      <c r="F403" s="12" t="s">
        <v>874</v>
      </c>
      <c r="G403" s="85">
        <v>3</v>
      </c>
      <c r="H403" s="85">
        <v>4</v>
      </c>
      <c r="I403" s="85">
        <v>3</v>
      </c>
      <c r="J403" s="85">
        <v>23</v>
      </c>
      <c r="K403" s="85">
        <v>6058612</v>
      </c>
      <c r="L403" s="85">
        <v>600</v>
      </c>
      <c r="M403" s="85">
        <v>6113</v>
      </c>
      <c r="N403" s="85" t="s">
        <v>875</v>
      </c>
      <c r="O403" s="86" t="s">
        <v>876</v>
      </c>
      <c r="P403" s="85" t="s">
        <v>877</v>
      </c>
      <c r="Q403" s="88">
        <v>1100001</v>
      </c>
      <c r="R403" s="85">
        <v>0</v>
      </c>
      <c r="S403" s="85" t="s">
        <v>207</v>
      </c>
      <c r="T403" s="85">
        <v>1</v>
      </c>
      <c r="U403" s="85" t="s">
        <v>878</v>
      </c>
      <c r="V403" s="1" t="s">
        <v>786</v>
      </c>
      <c r="W403" s="85" t="s">
        <v>879</v>
      </c>
      <c r="X403" s="12">
        <v>15</v>
      </c>
      <c r="Y403" s="1" t="s">
        <v>1139</v>
      </c>
      <c r="Z403" s="1" t="s">
        <v>1140</v>
      </c>
      <c r="AA403" s="1" t="s">
        <v>1141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647</v>
      </c>
      <c r="AH403" s="75" t="s">
        <v>605</v>
      </c>
      <c r="AI403" s="74"/>
    </row>
    <row r="404" s="40" customFormat="1" spans="1:35">
      <c r="A404" s="12">
        <v>130724</v>
      </c>
      <c r="B404" s="12" t="s">
        <v>1142</v>
      </c>
      <c r="C404" s="12" t="s">
        <v>871</v>
      </c>
      <c r="D404" s="12" t="s">
        <v>872</v>
      </c>
      <c r="E404" s="12" t="s">
        <v>873</v>
      </c>
      <c r="F404" s="12" t="s">
        <v>874</v>
      </c>
      <c r="G404" s="85">
        <v>3</v>
      </c>
      <c r="H404" s="85">
        <v>4</v>
      </c>
      <c r="I404" s="85">
        <v>3</v>
      </c>
      <c r="J404" s="85">
        <v>24</v>
      </c>
      <c r="K404" s="85">
        <v>6374280</v>
      </c>
      <c r="L404" s="85">
        <v>600</v>
      </c>
      <c r="M404" s="85">
        <v>6114</v>
      </c>
      <c r="N404" s="85" t="s">
        <v>875</v>
      </c>
      <c r="O404" s="86" t="s">
        <v>876</v>
      </c>
      <c r="P404" s="85" t="s">
        <v>877</v>
      </c>
      <c r="Q404" s="88">
        <v>1100001</v>
      </c>
      <c r="R404" s="85">
        <v>0</v>
      </c>
      <c r="S404" s="85" t="s">
        <v>207</v>
      </c>
      <c r="T404" s="85">
        <v>1</v>
      </c>
      <c r="U404" s="85" t="s">
        <v>878</v>
      </c>
      <c r="V404" s="1" t="s">
        <v>786</v>
      </c>
      <c r="W404" s="85" t="s">
        <v>879</v>
      </c>
      <c r="X404" s="12">
        <v>15</v>
      </c>
      <c r="Y404" s="1" t="s">
        <v>1143</v>
      </c>
      <c r="Z404" s="1" t="s">
        <v>1144</v>
      </c>
      <c r="AA404" s="1" t="s">
        <v>1145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647</v>
      </c>
      <c r="AH404" s="75" t="s">
        <v>605</v>
      </c>
      <c r="AI404" s="74"/>
    </row>
    <row r="405" s="40" customFormat="1" spans="1:35">
      <c r="A405" s="12">
        <v>130725</v>
      </c>
      <c r="B405" s="12" t="s">
        <v>1146</v>
      </c>
      <c r="C405" s="12" t="s">
        <v>871</v>
      </c>
      <c r="D405" s="12" t="s">
        <v>872</v>
      </c>
      <c r="E405" s="12" t="s">
        <v>873</v>
      </c>
      <c r="F405" s="12" t="s">
        <v>874</v>
      </c>
      <c r="G405" s="85">
        <v>3</v>
      </c>
      <c r="H405" s="85">
        <v>4</v>
      </c>
      <c r="I405" s="85">
        <v>3</v>
      </c>
      <c r="J405" s="85">
        <v>25</v>
      </c>
      <c r="K405" s="85">
        <v>6689948</v>
      </c>
      <c r="L405" s="85">
        <v>600</v>
      </c>
      <c r="M405" s="85">
        <v>6115</v>
      </c>
      <c r="N405" s="85" t="s">
        <v>875</v>
      </c>
      <c r="O405" s="86" t="s">
        <v>876</v>
      </c>
      <c r="P405" s="85" t="s">
        <v>877</v>
      </c>
      <c r="Q405" s="88">
        <v>1100001</v>
      </c>
      <c r="R405" s="85">
        <v>0</v>
      </c>
      <c r="S405" s="85" t="s">
        <v>207</v>
      </c>
      <c r="T405" s="85">
        <v>1</v>
      </c>
      <c r="U405" s="85" t="s">
        <v>878</v>
      </c>
      <c r="V405" s="1" t="s">
        <v>786</v>
      </c>
      <c r="W405" s="85" t="s">
        <v>879</v>
      </c>
      <c r="X405" s="12">
        <v>15</v>
      </c>
      <c r="Y405" s="1" t="s">
        <v>1147</v>
      </c>
      <c r="Z405" s="1" t="s">
        <v>1148</v>
      </c>
      <c r="AA405" s="1" t="s">
        <v>1149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647</v>
      </c>
      <c r="AH405" s="75" t="s">
        <v>605</v>
      </c>
      <c r="AI405" s="74"/>
    </row>
    <row r="406" s="40" customFormat="1" spans="1:35">
      <c r="A406" s="12">
        <v>130726</v>
      </c>
      <c r="B406" s="12" t="s">
        <v>1150</v>
      </c>
      <c r="C406" s="12" t="s">
        <v>871</v>
      </c>
      <c r="D406" s="12" t="s">
        <v>872</v>
      </c>
      <c r="E406" s="12" t="s">
        <v>873</v>
      </c>
      <c r="F406" s="12" t="s">
        <v>874</v>
      </c>
      <c r="G406" s="85">
        <v>3</v>
      </c>
      <c r="H406" s="85">
        <v>4</v>
      </c>
      <c r="I406" s="85">
        <v>3</v>
      </c>
      <c r="J406" s="85">
        <v>26</v>
      </c>
      <c r="K406" s="85">
        <v>7005616</v>
      </c>
      <c r="L406" s="85">
        <v>600</v>
      </c>
      <c r="M406" s="85">
        <v>6116</v>
      </c>
      <c r="N406" s="85" t="s">
        <v>875</v>
      </c>
      <c r="O406" s="86" t="s">
        <v>876</v>
      </c>
      <c r="P406" s="85" t="s">
        <v>877</v>
      </c>
      <c r="Q406" s="88">
        <v>1100001</v>
      </c>
      <c r="R406" s="85">
        <v>0</v>
      </c>
      <c r="S406" s="85" t="s">
        <v>207</v>
      </c>
      <c r="T406" s="85">
        <v>1</v>
      </c>
      <c r="U406" s="85" t="s">
        <v>878</v>
      </c>
      <c r="V406" s="1" t="s">
        <v>786</v>
      </c>
      <c r="W406" s="85" t="s">
        <v>879</v>
      </c>
      <c r="X406" s="12">
        <v>15</v>
      </c>
      <c r="Y406" s="1" t="s">
        <v>1151</v>
      </c>
      <c r="Z406" s="1" t="s">
        <v>1152</v>
      </c>
      <c r="AA406" s="1" t="s">
        <v>1153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647</v>
      </c>
      <c r="AH406" s="75" t="s">
        <v>605</v>
      </c>
      <c r="AI406" s="74"/>
    </row>
    <row r="407" s="40" customFormat="1" spans="1:35">
      <c r="A407" s="12">
        <v>130727</v>
      </c>
      <c r="B407" s="12" t="s">
        <v>1154</v>
      </c>
      <c r="C407" s="12" t="s">
        <v>871</v>
      </c>
      <c r="D407" s="12" t="s">
        <v>872</v>
      </c>
      <c r="E407" s="12" t="s">
        <v>873</v>
      </c>
      <c r="F407" s="12" t="s">
        <v>874</v>
      </c>
      <c r="G407" s="85">
        <v>3</v>
      </c>
      <c r="H407" s="85">
        <v>4</v>
      </c>
      <c r="I407" s="85">
        <v>3</v>
      </c>
      <c r="J407" s="85">
        <v>27</v>
      </c>
      <c r="K407" s="85">
        <v>7321284</v>
      </c>
      <c r="L407" s="85">
        <v>600</v>
      </c>
      <c r="M407" s="85">
        <v>6117</v>
      </c>
      <c r="N407" s="85" t="s">
        <v>875</v>
      </c>
      <c r="O407" s="86" t="s">
        <v>876</v>
      </c>
      <c r="P407" s="85" t="s">
        <v>877</v>
      </c>
      <c r="Q407" s="88">
        <v>1100001</v>
      </c>
      <c r="R407" s="85">
        <v>0</v>
      </c>
      <c r="S407" s="85" t="s">
        <v>207</v>
      </c>
      <c r="T407" s="85">
        <v>1</v>
      </c>
      <c r="U407" s="85" t="s">
        <v>878</v>
      </c>
      <c r="V407" s="1" t="s">
        <v>786</v>
      </c>
      <c r="W407" s="85" t="s">
        <v>879</v>
      </c>
      <c r="X407" s="12">
        <v>15</v>
      </c>
      <c r="Y407" s="1" t="s">
        <v>1155</v>
      </c>
      <c r="Z407" s="1" t="s">
        <v>1156</v>
      </c>
      <c r="AA407" s="1" t="s">
        <v>1157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647</v>
      </c>
      <c r="AH407" s="75" t="s">
        <v>605</v>
      </c>
      <c r="AI407" s="74"/>
    </row>
    <row r="408" s="40" customFormat="1" spans="1:35">
      <c r="A408" s="12">
        <v>130728</v>
      </c>
      <c r="B408" s="12" t="s">
        <v>1158</v>
      </c>
      <c r="C408" s="12" t="s">
        <v>871</v>
      </c>
      <c r="D408" s="12" t="s">
        <v>872</v>
      </c>
      <c r="E408" s="12" t="s">
        <v>873</v>
      </c>
      <c r="F408" s="12" t="s">
        <v>874</v>
      </c>
      <c r="G408" s="85">
        <v>3</v>
      </c>
      <c r="H408" s="85">
        <v>4</v>
      </c>
      <c r="I408" s="85">
        <v>3</v>
      </c>
      <c r="J408" s="85">
        <v>28</v>
      </c>
      <c r="K408" s="85">
        <v>7636952</v>
      </c>
      <c r="L408" s="85">
        <v>600</v>
      </c>
      <c r="M408" s="85">
        <v>6118</v>
      </c>
      <c r="N408" s="85" t="s">
        <v>875</v>
      </c>
      <c r="O408" s="86" t="s">
        <v>876</v>
      </c>
      <c r="P408" s="85" t="s">
        <v>877</v>
      </c>
      <c r="Q408" s="88">
        <v>1100001</v>
      </c>
      <c r="R408" s="85">
        <v>0</v>
      </c>
      <c r="S408" s="85" t="s">
        <v>207</v>
      </c>
      <c r="T408" s="85">
        <v>1</v>
      </c>
      <c r="U408" s="85" t="s">
        <v>878</v>
      </c>
      <c r="V408" s="1" t="s">
        <v>786</v>
      </c>
      <c r="W408" s="85" t="s">
        <v>879</v>
      </c>
      <c r="X408" s="12">
        <v>15</v>
      </c>
      <c r="Y408" s="1" t="s">
        <v>1159</v>
      </c>
      <c r="Z408" s="1" t="s">
        <v>1160</v>
      </c>
      <c r="AA408" s="1" t="s">
        <v>1161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647</v>
      </c>
      <c r="AH408" s="75" t="s">
        <v>605</v>
      </c>
      <c r="AI408" s="74"/>
    </row>
    <row r="409" s="40" customFormat="1" spans="1:35">
      <c r="A409" s="12">
        <v>130729</v>
      </c>
      <c r="B409" s="12" t="s">
        <v>1162</v>
      </c>
      <c r="C409" s="12" t="s">
        <v>871</v>
      </c>
      <c r="D409" s="12" t="s">
        <v>872</v>
      </c>
      <c r="E409" s="12" t="s">
        <v>873</v>
      </c>
      <c r="F409" s="12" t="s">
        <v>874</v>
      </c>
      <c r="G409" s="85">
        <v>3</v>
      </c>
      <c r="H409" s="85">
        <v>4</v>
      </c>
      <c r="I409" s="85">
        <v>3</v>
      </c>
      <c r="J409" s="85">
        <v>29</v>
      </c>
      <c r="K409" s="85">
        <v>7952620</v>
      </c>
      <c r="L409" s="85">
        <v>600</v>
      </c>
      <c r="M409" s="85">
        <v>6119</v>
      </c>
      <c r="N409" s="85" t="s">
        <v>875</v>
      </c>
      <c r="O409" s="86" t="s">
        <v>876</v>
      </c>
      <c r="P409" s="85" t="s">
        <v>877</v>
      </c>
      <c r="Q409" s="88">
        <v>1100001</v>
      </c>
      <c r="R409" s="85">
        <v>0</v>
      </c>
      <c r="S409" s="85" t="s">
        <v>207</v>
      </c>
      <c r="T409" s="85">
        <v>1</v>
      </c>
      <c r="U409" s="85" t="s">
        <v>878</v>
      </c>
      <c r="V409" s="1" t="s">
        <v>786</v>
      </c>
      <c r="W409" s="85" t="s">
        <v>879</v>
      </c>
      <c r="X409" s="12">
        <v>15</v>
      </c>
      <c r="Y409" s="1" t="s">
        <v>1163</v>
      </c>
      <c r="Z409" s="1" t="s">
        <v>1164</v>
      </c>
      <c r="AA409" s="1" t="s">
        <v>1165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647</v>
      </c>
      <c r="AH409" s="75" t="s">
        <v>605</v>
      </c>
      <c r="AI409" s="74"/>
    </row>
    <row r="410" s="40" customFormat="1" spans="1:35">
      <c r="A410" s="12">
        <v>130730</v>
      </c>
      <c r="B410" s="12" t="s">
        <v>1166</v>
      </c>
      <c r="C410" s="12" t="s">
        <v>871</v>
      </c>
      <c r="D410" s="12" t="s">
        <v>872</v>
      </c>
      <c r="E410" s="12" t="s">
        <v>873</v>
      </c>
      <c r="F410" s="12" t="s">
        <v>874</v>
      </c>
      <c r="G410" s="85">
        <v>3</v>
      </c>
      <c r="H410" s="85">
        <v>4</v>
      </c>
      <c r="I410" s="85">
        <v>3</v>
      </c>
      <c r="J410" s="85">
        <v>30</v>
      </c>
      <c r="K410" s="85">
        <v>8267886</v>
      </c>
      <c r="L410" s="85">
        <v>600</v>
      </c>
      <c r="M410" s="85">
        <v>6120</v>
      </c>
      <c r="N410" s="85" t="s">
        <v>875</v>
      </c>
      <c r="O410" s="86" t="s">
        <v>876</v>
      </c>
      <c r="P410" s="85" t="s">
        <v>877</v>
      </c>
      <c r="Q410" s="88">
        <v>1100001</v>
      </c>
      <c r="R410" s="85">
        <v>0</v>
      </c>
      <c r="S410" s="85" t="s">
        <v>207</v>
      </c>
      <c r="T410" s="85">
        <v>1</v>
      </c>
      <c r="U410" s="85" t="s">
        <v>878</v>
      </c>
      <c r="V410" s="1" t="s">
        <v>786</v>
      </c>
      <c r="W410" s="85" t="s">
        <v>879</v>
      </c>
      <c r="X410" s="12">
        <v>15</v>
      </c>
      <c r="Y410" s="1" t="s">
        <v>1167</v>
      </c>
      <c r="Z410" s="1" t="s">
        <v>1168</v>
      </c>
      <c r="AA410" s="1" t="s">
        <v>1169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647</v>
      </c>
      <c r="AH410" s="75" t="s">
        <v>605</v>
      </c>
      <c r="AI410" s="74"/>
    </row>
    <row r="411" s="40" customFormat="1" spans="1:35">
      <c r="A411" s="12">
        <v>130801</v>
      </c>
      <c r="B411" s="12" t="s">
        <v>1170</v>
      </c>
      <c r="C411" s="12" t="s">
        <v>871</v>
      </c>
      <c r="D411" s="12" t="s">
        <v>872</v>
      </c>
      <c r="E411" s="12" t="s">
        <v>873</v>
      </c>
      <c r="F411" s="12" t="s">
        <v>874</v>
      </c>
      <c r="G411" s="85">
        <v>3</v>
      </c>
      <c r="H411" s="85">
        <v>4</v>
      </c>
      <c r="I411" s="85">
        <v>3</v>
      </c>
      <c r="J411" s="85">
        <v>1</v>
      </c>
      <c r="K411" s="85">
        <v>619744</v>
      </c>
      <c r="L411" s="85">
        <v>600</v>
      </c>
      <c r="M411" s="85">
        <v>6121</v>
      </c>
      <c r="N411" s="85" t="s">
        <v>875</v>
      </c>
      <c r="O411" s="86" t="s">
        <v>876</v>
      </c>
      <c r="P411" s="85" t="s">
        <v>877</v>
      </c>
      <c r="Q411" s="88">
        <v>1100001</v>
      </c>
      <c r="R411" s="85">
        <v>0</v>
      </c>
      <c r="S411" s="85" t="s">
        <v>207</v>
      </c>
      <c r="T411" s="85">
        <v>1</v>
      </c>
      <c r="U411" s="85" t="s">
        <v>878</v>
      </c>
      <c r="V411" s="1" t="s">
        <v>786</v>
      </c>
      <c r="W411" s="85" t="s">
        <v>879</v>
      </c>
      <c r="X411" s="12">
        <v>15</v>
      </c>
      <c r="Y411" s="1" t="s">
        <v>956</v>
      </c>
      <c r="Z411" s="1" t="s">
        <v>957</v>
      </c>
      <c r="AA411" s="1" t="s">
        <v>958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647</v>
      </c>
      <c r="AH411" s="75" t="s">
        <v>605</v>
      </c>
      <c r="AI411" s="74"/>
    </row>
    <row r="412" s="40" customFormat="1" spans="1:35">
      <c r="A412" s="12">
        <v>130802</v>
      </c>
      <c r="B412" s="12" t="s">
        <v>1171</v>
      </c>
      <c r="C412" s="12" t="s">
        <v>871</v>
      </c>
      <c r="D412" s="12" t="s">
        <v>872</v>
      </c>
      <c r="E412" s="12" t="s">
        <v>873</v>
      </c>
      <c r="F412" s="12" t="s">
        <v>874</v>
      </c>
      <c r="G412" s="85">
        <v>3</v>
      </c>
      <c r="H412" s="85">
        <v>4</v>
      </c>
      <c r="I412" s="85">
        <v>3</v>
      </c>
      <c r="J412" s="85">
        <v>2</v>
      </c>
      <c r="K412" s="85">
        <v>998283</v>
      </c>
      <c r="L412" s="85">
        <v>600</v>
      </c>
      <c r="M412" s="85">
        <v>6122</v>
      </c>
      <c r="N412" s="85" t="s">
        <v>875</v>
      </c>
      <c r="O412" s="86" t="s">
        <v>876</v>
      </c>
      <c r="P412" s="85" t="s">
        <v>877</v>
      </c>
      <c r="Q412" s="88">
        <v>1100001</v>
      </c>
      <c r="R412" s="85">
        <v>0</v>
      </c>
      <c r="S412" s="85" t="s">
        <v>207</v>
      </c>
      <c r="T412" s="85">
        <v>1</v>
      </c>
      <c r="U412" s="85" t="s">
        <v>878</v>
      </c>
      <c r="V412" s="1" t="s">
        <v>786</v>
      </c>
      <c r="W412" s="85" t="s">
        <v>879</v>
      </c>
      <c r="X412" s="12">
        <v>15</v>
      </c>
      <c r="Y412" s="1" t="s">
        <v>972</v>
      </c>
      <c r="Z412" s="1" t="s">
        <v>973</v>
      </c>
      <c r="AA412" s="1" t="s">
        <v>974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647</v>
      </c>
      <c r="AH412" s="75" t="s">
        <v>605</v>
      </c>
      <c r="AI412" s="74"/>
    </row>
    <row r="413" s="40" customFormat="1" spans="1:35">
      <c r="A413" s="12">
        <v>130803</v>
      </c>
      <c r="B413" s="12" t="s">
        <v>1172</v>
      </c>
      <c r="C413" s="12" t="s">
        <v>871</v>
      </c>
      <c r="D413" s="12" t="s">
        <v>872</v>
      </c>
      <c r="E413" s="12" t="s">
        <v>873</v>
      </c>
      <c r="F413" s="12" t="s">
        <v>874</v>
      </c>
      <c r="G413" s="85">
        <v>3</v>
      </c>
      <c r="H413" s="85">
        <v>4</v>
      </c>
      <c r="I413" s="85">
        <v>3</v>
      </c>
      <c r="J413" s="85">
        <v>3</v>
      </c>
      <c r="K413" s="85">
        <v>1481743</v>
      </c>
      <c r="L413" s="85">
        <v>600</v>
      </c>
      <c r="M413" s="85">
        <v>6123</v>
      </c>
      <c r="N413" s="85" t="s">
        <v>875</v>
      </c>
      <c r="O413" s="86" t="s">
        <v>876</v>
      </c>
      <c r="P413" s="85" t="s">
        <v>877</v>
      </c>
      <c r="Q413" s="88">
        <v>1100001</v>
      </c>
      <c r="R413" s="85">
        <v>0</v>
      </c>
      <c r="S413" s="85" t="s">
        <v>207</v>
      </c>
      <c r="T413" s="85">
        <v>1</v>
      </c>
      <c r="U413" s="85" t="s">
        <v>878</v>
      </c>
      <c r="V413" s="1" t="s">
        <v>786</v>
      </c>
      <c r="W413" s="85" t="s">
        <v>879</v>
      </c>
      <c r="X413" s="12">
        <v>15</v>
      </c>
      <c r="Y413" s="1" t="s">
        <v>988</v>
      </c>
      <c r="Z413" s="1" t="s">
        <v>989</v>
      </c>
      <c r="AA413" s="1" t="s">
        <v>990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647</v>
      </c>
      <c r="AH413" s="75" t="s">
        <v>605</v>
      </c>
      <c r="AI413" s="74"/>
    </row>
    <row r="414" s="40" customFormat="1" spans="1:35">
      <c r="A414" s="12">
        <v>130804</v>
      </c>
      <c r="B414" s="12" t="s">
        <v>1173</v>
      </c>
      <c r="C414" s="12" t="s">
        <v>871</v>
      </c>
      <c r="D414" s="12" t="s">
        <v>872</v>
      </c>
      <c r="E414" s="12" t="s">
        <v>873</v>
      </c>
      <c r="F414" s="12" t="s">
        <v>874</v>
      </c>
      <c r="G414" s="85">
        <v>3</v>
      </c>
      <c r="H414" s="85">
        <v>4</v>
      </c>
      <c r="I414" s="85">
        <v>3</v>
      </c>
      <c r="J414" s="85">
        <v>4</v>
      </c>
      <c r="K414" s="85">
        <v>2044910</v>
      </c>
      <c r="L414" s="85">
        <v>600</v>
      </c>
      <c r="M414" s="85">
        <v>6124</v>
      </c>
      <c r="N414" s="85" t="s">
        <v>875</v>
      </c>
      <c r="O414" s="86" t="s">
        <v>876</v>
      </c>
      <c r="P414" s="85" t="s">
        <v>877</v>
      </c>
      <c r="Q414" s="88">
        <v>1100001</v>
      </c>
      <c r="R414" s="85">
        <v>0</v>
      </c>
      <c r="S414" s="85" t="s">
        <v>207</v>
      </c>
      <c r="T414" s="85">
        <v>1</v>
      </c>
      <c r="U414" s="85" t="s">
        <v>878</v>
      </c>
      <c r="V414" s="1" t="s">
        <v>786</v>
      </c>
      <c r="W414" s="85" t="s">
        <v>879</v>
      </c>
      <c r="X414" s="12">
        <v>15</v>
      </c>
      <c r="Y414" s="1" t="s">
        <v>1025</v>
      </c>
      <c r="Z414" s="1" t="s">
        <v>1026</v>
      </c>
      <c r="AA414" s="1" t="s">
        <v>1027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647</v>
      </c>
      <c r="AH414" s="75" t="s">
        <v>605</v>
      </c>
      <c r="AI414" s="74"/>
    </row>
    <row r="415" s="40" customFormat="1" spans="1:35">
      <c r="A415" s="12">
        <v>130805</v>
      </c>
      <c r="B415" s="12" t="s">
        <v>1174</v>
      </c>
      <c r="C415" s="12" t="s">
        <v>871</v>
      </c>
      <c r="D415" s="12" t="s">
        <v>872</v>
      </c>
      <c r="E415" s="12" t="s">
        <v>873</v>
      </c>
      <c r="F415" s="12" t="s">
        <v>874</v>
      </c>
      <c r="G415" s="85">
        <v>3</v>
      </c>
      <c r="H415" s="85">
        <v>4</v>
      </c>
      <c r="I415" s="85">
        <v>3</v>
      </c>
      <c r="J415" s="85">
        <v>5</v>
      </c>
      <c r="K415" s="85">
        <v>2689110</v>
      </c>
      <c r="L415" s="85">
        <v>600</v>
      </c>
      <c r="M415" s="85">
        <v>6125</v>
      </c>
      <c r="N415" s="85" t="s">
        <v>875</v>
      </c>
      <c r="O415" s="86" t="s">
        <v>876</v>
      </c>
      <c r="P415" s="85" t="s">
        <v>877</v>
      </c>
      <c r="Q415" s="88">
        <v>1100001</v>
      </c>
      <c r="R415" s="85">
        <v>0</v>
      </c>
      <c r="S415" s="85" t="s">
        <v>207</v>
      </c>
      <c r="T415" s="85">
        <v>1</v>
      </c>
      <c r="U415" s="85" t="s">
        <v>878</v>
      </c>
      <c r="V415" s="1" t="s">
        <v>786</v>
      </c>
      <c r="W415" s="85" t="s">
        <v>879</v>
      </c>
      <c r="X415" s="12">
        <v>15</v>
      </c>
      <c r="Y415" s="1" t="s">
        <v>1041</v>
      </c>
      <c r="Z415" s="1" t="s">
        <v>1042</v>
      </c>
      <c r="AA415" s="1" t="s">
        <v>1043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647</v>
      </c>
      <c r="AH415" s="75" t="s">
        <v>605</v>
      </c>
      <c r="AI415" s="74"/>
    </row>
    <row r="416" s="40" customFormat="1" spans="1:35">
      <c r="A416" s="12">
        <v>130806</v>
      </c>
      <c r="B416" s="12" t="s">
        <v>1175</v>
      </c>
      <c r="C416" s="12" t="s">
        <v>871</v>
      </c>
      <c r="D416" s="12" t="s">
        <v>872</v>
      </c>
      <c r="E416" s="12" t="s">
        <v>873</v>
      </c>
      <c r="F416" s="12" t="s">
        <v>874</v>
      </c>
      <c r="G416" s="85">
        <v>3</v>
      </c>
      <c r="H416" s="85">
        <v>4</v>
      </c>
      <c r="I416" s="85">
        <v>3</v>
      </c>
      <c r="J416" s="85">
        <v>6</v>
      </c>
      <c r="K416" s="85">
        <v>3422464</v>
      </c>
      <c r="L416" s="85">
        <v>600</v>
      </c>
      <c r="M416" s="85">
        <v>6126</v>
      </c>
      <c r="N416" s="85" t="s">
        <v>875</v>
      </c>
      <c r="O416" s="86" t="s">
        <v>876</v>
      </c>
      <c r="P416" s="85" t="s">
        <v>877</v>
      </c>
      <c r="Q416" s="88">
        <v>1100001</v>
      </c>
      <c r="R416" s="85">
        <v>0</v>
      </c>
      <c r="S416" s="85" t="s">
        <v>207</v>
      </c>
      <c r="T416" s="85">
        <v>1</v>
      </c>
      <c r="U416" s="85" t="s">
        <v>878</v>
      </c>
      <c r="V416" s="1" t="s">
        <v>786</v>
      </c>
      <c r="W416" s="85" t="s">
        <v>879</v>
      </c>
      <c r="X416" s="12">
        <v>15</v>
      </c>
      <c r="Y416" s="1" t="s">
        <v>1078</v>
      </c>
      <c r="Z416" s="1" t="s">
        <v>1079</v>
      </c>
      <c r="AA416" s="1" t="s">
        <v>1080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647</v>
      </c>
      <c r="AH416" s="75" t="s">
        <v>605</v>
      </c>
      <c r="AI416" s="74"/>
    </row>
    <row r="417" s="40" customFormat="1" spans="1:35">
      <c r="A417" s="12">
        <v>130807</v>
      </c>
      <c r="B417" s="12" t="s">
        <v>1176</v>
      </c>
      <c r="C417" s="12" t="s">
        <v>871</v>
      </c>
      <c r="D417" s="12" t="s">
        <v>872</v>
      </c>
      <c r="E417" s="12" t="s">
        <v>873</v>
      </c>
      <c r="F417" s="12" t="s">
        <v>874</v>
      </c>
      <c r="G417" s="85">
        <v>3</v>
      </c>
      <c r="H417" s="85">
        <v>4</v>
      </c>
      <c r="I417" s="85">
        <v>3</v>
      </c>
      <c r="J417" s="85">
        <v>7</v>
      </c>
      <c r="K417" s="85">
        <v>3672990</v>
      </c>
      <c r="L417" s="85">
        <v>600</v>
      </c>
      <c r="M417" s="85">
        <v>6127</v>
      </c>
      <c r="N417" s="85" t="s">
        <v>875</v>
      </c>
      <c r="O417" s="86" t="s">
        <v>876</v>
      </c>
      <c r="P417" s="85" t="s">
        <v>877</v>
      </c>
      <c r="Q417" s="88">
        <v>1100001</v>
      </c>
      <c r="R417" s="85">
        <v>0</v>
      </c>
      <c r="S417" s="85" t="s">
        <v>207</v>
      </c>
      <c r="T417" s="85">
        <v>1</v>
      </c>
      <c r="U417" s="85" t="s">
        <v>878</v>
      </c>
      <c r="V417" s="1" t="s">
        <v>786</v>
      </c>
      <c r="W417" s="85" t="s">
        <v>879</v>
      </c>
      <c r="X417" s="12">
        <v>15</v>
      </c>
      <c r="Y417" s="1" t="s">
        <v>1082</v>
      </c>
      <c r="Z417" s="1" t="s">
        <v>1083</v>
      </c>
      <c r="AA417" s="1" t="s">
        <v>1084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647</v>
      </c>
      <c r="AH417" s="75" t="s">
        <v>605</v>
      </c>
      <c r="AI417" s="74"/>
    </row>
    <row r="418" s="40" customFormat="1" spans="1:35">
      <c r="A418" s="12">
        <v>130808</v>
      </c>
      <c r="B418" s="12" t="s">
        <v>1177</v>
      </c>
      <c r="C418" s="12" t="s">
        <v>871</v>
      </c>
      <c r="D418" s="12" t="s">
        <v>872</v>
      </c>
      <c r="E418" s="12" t="s">
        <v>873</v>
      </c>
      <c r="F418" s="12" t="s">
        <v>874</v>
      </c>
      <c r="G418" s="85">
        <v>3</v>
      </c>
      <c r="H418" s="85">
        <v>4</v>
      </c>
      <c r="I418" s="85">
        <v>3</v>
      </c>
      <c r="J418" s="85">
        <v>8</v>
      </c>
      <c r="K418" s="85">
        <v>3923516</v>
      </c>
      <c r="L418" s="85">
        <v>600</v>
      </c>
      <c r="M418" s="85">
        <v>6128</v>
      </c>
      <c r="N418" s="85" t="s">
        <v>875</v>
      </c>
      <c r="O418" s="86" t="s">
        <v>876</v>
      </c>
      <c r="P418" s="85" t="s">
        <v>877</v>
      </c>
      <c r="Q418" s="88">
        <v>1100001</v>
      </c>
      <c r="R418" s="85">
        <v>0</v>
      </c>
      <c r="S418" s="85" t="s">
        <v>207</v>
      </c>
      <c r="T418" s="85">
        <v>1</v>
      </c>
      <c r="U418" s="85" t="s">
        <v>878</v>
      </c>
      <c r="V418" s="1" t="s">
        <v>786</v>
      </c>
      <c r="W418" s="85" t="s">
        <v>879</v>
      </c>
      <c r="X418" s="12">
        <v>15</v>
      </c>
      <c r="Y418" s="1" t="s">
        <v>1086</v>
      </c>
      <c r="Z418" s="1" t="s">
        <v>1087</v>
      </c>
      <c r="AA418" s="1" t="s">
        <v>1088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647</v>
      </c>
      <c r="AH418" s="75" t="s">
        <v>605</v>
      </c>
      <c r="AI418" s="74"/>
    </row>
    <row r="419" s="40" customFormat="1" spans="1:35">
      <c r="A419" s="12">
        <v>130809</v>
      </c>
      <c r="B419" s="12" t="s">
        <v>1178</v>
      </c>
      <c r="C419" s="12" t="s">
        <v>871</v>
      </c>
      <c r="D419" s="12" t="s">
        <v>872</v>
      </c>
      <c r="E419" s="12" t="s">
        <v>873</v>
      </c>
      <c r="F419" s="12" t="s">
        <v>874</v>
      </c>
      <c r="G419" s="85">
        <v>3</v>
      </c>
      <c r="H419" s="85">
        <v>4</v>
      </c>
      <c r="I419" s="85">
        <v>3</v>
      </c>
      <c r="J419" s="85">
        <v>9</v>
      </c>
      <c r="K419" s="85">
        <v>4174042</v>
      </c>
      <c r="L419" s="85">
        <v>600</v>
      </c>
      <c r="M419" s="85">
        <v>6129</v>
      </c>
      <c r="N419" s="85" t="s">
        <v>875</v>
      </c>
      <c r="O419" s="86" t="s">
        <v>876</v>
      </c>
      <c r="P419" s="85" t="s">
        <v>877</v>
      </c>
      <c r="Q419" s="88">
        <v>1100001</v>
      </c>
      <c r="R419" s="85">
        <v>0</v>
      </c>
      <c r="S419" s="85" t="s">
        <v>207</v>
      </c>
      <c r="T419" s="85">
        <v>1</v>
      </c>
      <c r="U419" s="85" t="s">
        <v>878</v>
      </c>
      <c r="V419" s="1" t="s">
        <v>786</v>
      </c>
      <c r="W419" s="85" t="s">
        <v>879</v>
      </c>
      <c r="X419" s="12">
        <v>15</v>
      </c>
      <c r="Y419" s="1" t="s">
        <v>1090</v>
      </c>
      <c r="Z419" s="1" t="s">
        <v>1091</v>
      </c>
      <c r="AA419" s="1" t="s">
        <v>1092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647</v>
      </c>
      <c r="AH419" s="75" t="s">
        <v>605</v>
      </c>
      <c r="AI419" s="74"/>
    </row>
    <row r="420" s="40" customFormat="1" spans="1:35">
      <c r="A420" s="12">
        <v>130810</v>
      </c>
      <c r="B420" s="12" t="s">
        <v>1179</v>
      </c>
      <c r="C420" s="12" t="s">
        <v>871</v>
      </c>
      <c r="D420" s="12" t="s">
        <v>872</v>
      </c>
      <c r="E420" s="12" t="s">
        <v>873</v>
      </c>
      <c r="F420" s="12" t="s">
        <v>874</v>
      </c>
      <c r="G420" s="85">
        <v>3</v>
      </c>
      <c r="H420" s="85">
        <v>4</v>
      </c>
      <c r="I420" s="85">
        <v>3</v>
      </c>
      <c r="J420" s="85">
        <v>10</v>
      </c>
      <c r="K420" s="85">
        <v>4424568</v>
      </c>
      <c r="L420" s="85">
        <v>600</v>
      </c>
      <c r="M420" s="85">
        <v>6130</v>
      </c>
      <c r="N420" s="85" t="s">
        <v>875</v>
      </c>
      <c r="O420" s="86" t="s">
        <v>876</v>
      </c>
      <c r="P420" s="85" t="s">
        <v>877</v>
      </c>
      <c r="Q420" s="88">
        <v>1100001</v>
      </c>
      <c r="R420" s="85">
        <v>0</v>
      </c>
      <c r="S420" s="85" t="s">
        <v>207</v>
      </c>
      <c r="T420" s="85">
        <v>1</v>
      </c>
      <c r="U420" s="85" t="s">
        <v>878</v>
      </c>
      <c r="V420" s="1" t="s">
        <v>786</v>
      </c>
      <c r="W420" s="85" t="s">
        <v>879</v>
      </c>
      <c r="X420" s="12">
        <v>15</v>
      </c>
      <c r="Y420" s="1" t="s">
        <v>1094</v>
      </c>
      <c r="Z420" s="1" t="s">
        <v>1095</v>
      </c>
      <c r="AA420" s="1" t="s">
        <v>1096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647</v>
      </c>
      <c r="AH420" s="75" t="s">
        <v>605</v>
      </c>
      <c r="AI420" s="74"/>
    </row>
    <row r="421" s="40" customFormat="1" spans="1:35">
      <c r="A421" s="12">
        <v>130811</v>
      </c>
      <c r="B421" s="12" t="s">
        <v>1180</v>
      </c>
      <c r="C421" s="12" t="s">
        <v>871</v>
      </c>
      <c r="D421" s="12" t="s">
        <v>872</v>
      </c>
      <c r="E421" s="12" t="s">
        <v>873</v>
      </c>
      <c r="F421" s="12" t="s">
        <v>874</v>
      </c>
      <c r="G421" s="85">
        <v>3</v>
      </c>
      <c r="H421" s="85">
        <v>4</v>
      </c>
      <c r="I421" s="85">
        <v>3</v>
      </c>
      <c r="J421" s="85">
        <v>11</v>
      </c>
      <c r="K421" s="85">
        <v>4675094</v>
      </c>
      <c r="L421" s="85">
        <v>600</v>
      </c>
      <c r="M421" s="85">
        <v>6131</v>
      </c>
      <c r="N421" s="85" t="s">
        <v>875</v>
      </c>
      <c r="O421" s="86" t="s">
        <v>876</v>
      </c>
      <c r="P421" s="85" t="s">
        <v>877</v>
      </c>
      <c r="Q421" s="88">
        <v>1100001</v>
      </c>
      <c r="R421" s="85">
        <v>0</v>
      </c>
      <c r="S421" s="85" t="s">
        <v>207</v>
      </c>
      <c r="T421" s="85">
        <v>1</v>
      </c>
      <c r="U421" s="85" t="s">
        <v>878</v>
      </c>
      <c r="V421" s="1" t="s">
        <v>786</v>
      </c>
      <c r="W421" s="85" t="s">
        <v>879</v>
      </c>
      <c r="X421" s="12">
        <v>15</v>
      </c>
      <c r="Y421" s="1" t="s">
        <v>1098</v>
      </c>
      <c r="Z421" s="1" t="s">
        <v>1099</v>
      </c>
      <c r="AA421" s="1" t="s">
        <v>1100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647</v>
      </c>
      <c r="AH421" s="75" t="s">
        <v>605</v>
      </c>
      <c r="AI421" s="74"/>
    </row>
    <row r="422" s="40" customFormat="1" spans="1:35">
      <c r="A422" s="12">
        <v>130812</v>
      </c>
      <c r="B422" s="12" t="s">
        <v>1181</v>
      </c>
      <c r="C422" s="12" t="s">
        <v>871</v>
      </c>
      <c r="D422" s="12" t="s">
        <v>872</v>
      </c>
      <c r="E422" s="12" t="s">
        <v>873</v>
      </c>
      <c r="F422" s="12" t="s">
        <v>874</v>
      </c>
      <c r="G422" s="85">
        <v>3</v>
      </c>
      <c r="H422" s="85">
        <v>4</v>
      </c>
      <c r="I422" s="85">
        <v>3</v>
      </c>
      <c r="J422" s="85">
        <v>12</v>
      </c>
      <c r="K422" s="85">
        <v>4925620</v>
      </c>
      <c r="L422" s="85">
        <v>600</v>
      </c>
      <c r="M422" s="85">
        <v>6132</v>
      </c>
      <c r="N422" s="85" t="s">
        <v>875</v>
      </c>
      <c r="O422" s="86" t="s">
        <v>876</v>
      </c>
      <c r="P422" s="85" t="s">
        <v>877</v>
      </c>
      <c r="Q422" s="88">
        <v>1100001</v>
      </c>
      <c r="R422" s="85">
        <v>0</v>
      </c>
      <c r="S422" s="85" t="s">
        <v>207</v>
      </c>
      <c r="T422" s="85">
        <v>1</v>
      </c>
      <c r="U422" s="85" t="s">
        <v>878</v>
      </c>
      <c r="V422" s="1" t="s">
        <v>786</v>
      </c>
      <c r="W422" s="85" t="s">
        <v>879</v>
      </c>
      <c r="X422" s="12">
        <v>15</v>
      </c>
      <c r="Y422" s="1" t="s">
        <v>1102</v>
      </c>
      <c r="Z422" s="1" t="s">
        <v>1103</v>
      </c>
      <c r="AA422" s="1" t="s">
        <v>1104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647</v>
      </c>
      <c r="AH422" s="75" t="s">
        <v>605</v>
      </c>
      <c r="AI422" s="74"/>
    </row>
    <row r="423" s="40" customFormat="1" spans="1:35">
      <c r="A423" s="12">
        <v>130813</v>
      </c>
      <c r="B423" s="12" t="s">
        <v>1182</v>
      </c>
      <c r="C423" s="12" t="s">
        <v>871</v>
      </c>
      <c r="D423" s="12" t="s">
        <v>872</v>
      </c>
      <c r="E423" s="12" t="s">
        <v>873</v>
      </c>
      <c r="F423" s="12" t="s">
        <v>874</v>
      </c>
      <c r="G423" s="85">
        <v>3</v>
      </c>
      <c r="H423" s="85">
        <v>4</v>
      </c>
      <c r="I423" s="85">
        <v>3</v>
      </c>
      <c r="J423" s="85">
        <v>13</v>
      </c>
      <c r="K423" s="85">
        <v>5176146</v>
      </c>
      <c r="L423" s="85">
        <v>600</v>
      </c>
      <c r="M423" s="85">
        <v>6133</v>
      </c>
      <c r="N423" s="85" t="s">
        <v>875</v>
      </c>
      <c r="O423" s="86" t="s">
        <v>876</v>
      </c>
      <c r="P423" s="85" t="s">
        <v>877</v>
      </c>
      <c r="Q423" s="88">
        <v>1100001</v>
      </c>
      <c r="R423" s="85">
        <v>0</v>
      </c>
      <c r="S423" s="85" t="s">
        <v>207</v>
      </c>
      <c r="T423" s="85">
        <v>1</v>
      </c>
      <c r="U423" s="85" t="s">
        <v>878</v>
      </c>
      <c r="V423" s="1" t="s">
        <v>786</v>
      </c>
      <c r="W423" s="85" t="s">
        <v>879</v>
      </c>
      <c r="X423" s="12">
        <v>15</v>
      </c>
      <c r="Y423" s="1" t="s">
        <v>1106</v>
      </c>
      <c r="Z423" s="1" t="s">
        <v>1107</v>
      </c>
      <c r="AA423" s="1" t="s">
        <v>1108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647</v>
      </c>
      <c r="AH423" s="75" t="s">
        <v>605</v>
      </c>
      <c r="AI423" s="74"/>
    </row>
    <row r="424" s="40" customFormat="1" spans="1:35">
      <c r="A424" s="12">
        <v>130814</v>
      </c>
      <c r="B424" s="12" t="s">
        <v>1183</v>
      </c>
      <c r="C424" s="12" t="s">
        <v>871</v>
      </c>
      <c r="D424" s="12" t="s">
        <v>872</v>
      </c>
      <c r="E424" s="12" t="s">
        <v>873</v>
      </c>
      <c r="F424" s="12" t="s">
        <v>874</v>
      </c>
      <c r="G424" s="85">
        <v>3</v>
      </c>
      <c r="H424" s="85">
        <v>4</v>
      </c>
      <c r="I424" s="85">
        <v>3</v>
      </c>
      <c r="J424" s="85">
        <v>14</v>
      </c>
      <c r="K424" s="85">
        <v>5427276</v>
      </c>
      <c r="L424" s="85">
        <v>600</v>
      </c>
      <c r="M424" s="85">
        <v>6134</v>
      </c>
      <c r="N424" s="85" t="s">
        <v>875</v>
      </c>
      <c r="O424" s="86" t="s">
        <v>876</v>
      </c>
      <c r="P424" s="85" t="s">
        <v>877</v>
      </c>
      <c r="Q424" s="88">
        <v>1100001</v>
      </c>
      <c r="R424" s="85">
        <v>0</v>
      </c>
      <c r="S424" s="85" t="s">
        <v>207</v>
      </c>
      <c r="T424" s="85">
        <v>1</v>
      </c>
      <c r="U424" s="85" t="s">
        <v>878</v>
      </c>
      <c r="V424" s="1" t="s">
        <v>786</v>
      </c>
      <c r="W424" s="85" t="s">
        <v>879</v>
      </c>
      <c r="X424" s="12">
        <v>15</v>
      </c>
      <c r="Y424" s="1" t="s">
        <v>1110</v>
      </c>
      <c r="Z424" s="1" t="s">
        <v>1111</v>
      </c>
      <c r="AA424" s="1" t="s">
        <v>1112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647</v>
      </c>
      <c r="AH424" s="75" t="s">
        <v>605</v>
      </c>
      <c r="AI424" s="74"/>
    </row>
    <row r="425" s="40" customFormat="1" spans="1:35">
      <c r="A425" s="12">
        <v>130815</v>
      </c>
      <c r="B425" s="12" t="s">
        <v>1184</v>
      </c>
      <c r="C425" s="12" t="s">
        <v>871</v>
      </c>
      <c r="D425" s="12" t="s">
        <v>872</v>
      </c>
      <c r="E425" s="12" t="s">
        <v>873</v>
      </c>
      <c r="F425" s="12" t="s">
        <v>874</v>
      </c>
      <c r="G425" s="85">
        <v>3</v>
      </c>
      <c r="H425" s="85">
        <v>4</v>
      </c>
      <c r="I425" s="85">
        <v>3</v>
      </c>
      <c r="J425" s="85">
        <v>15</v>
      </c>
      <c r="K425" s="85">
        <v>5742944</v>
      </c>
      <c r="L425" s="85">
        <v>600</v>
      </c>
      <c r="M425" s="85">
        <v>6135</v>
      </c>
      <c r="N425" s="85" t="s">
        <v>875</v>
      </c>
      <c r="O425" s="86" t="s">
        <v>876</v>
      </c>
      <c r="P425" s="85" t="s">
        <v>877</v>
      </c>
      <c r="Q425" s="88">
        <v>1100001</v>
      </c>
      <c r="R425" s="85">
        <v>0</v>
      </c>
      <c r="S425" s="85" t="s">
        <v>207</v>
      </c>
      <c r="T425" s="85">
        <v>1</v>
      </c>
      <c r="U425" s="85" t="s">
        <v>878</v>
      </c>
      <c r="V425" s="1" t="s">
        <v>786</v>
      </c>
      <c r="W425" s="85" t="s">
        <v>879</v>
      </c>
      <c r="X425" s="12">
        <v>15</v>
      </c>
      <c r="Y425" s="1" t="s">
        <v>1135</v>
      </c>
      <c r="Z425" s="1" t="s">
        <v>1136</v>
      </c>
      <c r="AA425" s="1" t="s">
        <v>1137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647</v>
      </c>
      <c r="AH425" s="75" t="s">
        <v>605</v>
      </c>
      <c r="AI425" s="74"/>
    </row>
    <row r="426" s="40" customFormat="1" spans="1:35">
      <c r="A426" s="12">
        <v>130816</v>
      </c>
      <c r="B426" s="12" t="s">
        <v>1185</v>
      </c>
      <c r="C426" s="12" t="s">
        <v>871</v>
      </c>
      <c r="D426" s="12" t="s">
        <v>872</v>
      </c>
      <c r="E426" s="12" t="s">
        <v>873</v>
      </c>
      <c r="F426" s="12" t="s">
        <v>874</v>
      </c>
      <c r="G426" s="85">
        <v>3</v>
      </c>
      <c r="H426" s="85">
        <v>4</v>
      </c>
      <c r="I426" s="85">
        <v>3</v>
      </c>
      <c r="J426" s="85">
        <v>16</v>
      </c>
      <c r="K426" s="85">
        <v>6058612</v>
      </c>
      <c r="L426" s="85">
        <v>600</v>
      </c>
      <c r="M426" s="85">
        <v>6136</v>
      </c>
      <c r="N426" s="85" t="s">
        <v>875</v>
      </c>
      <c r="O426" s="86" t="s">
        <v>876</v>
      </c>
      <c r="P426" s="85" t="s">
        <v>877</v>
      </c>
      <c r="Q426" s="88">
        <v>1100001</v>
      </c>
      <c r="R426" s="85">
        <v>0</v>
      </c>
      <c r="S426" s="85" t="s">
        <v>207</v>
      </c>
      <c r="T426" s="85">
        <v>1</v>
      </c>
      <c r="U426" s="85" t="s">
        <v>878</v>
      </c>
      <c r="V426" s="1" t="s">
        <v>786</v>
      </c>
      <c r="W426" s="85" t="s">
        <v>879</v>
      </c>
      <c r="X426" s="12">
        <v>15</v>
      </c>
      <c r="Y426" s="1" t="s">
        <v>1139</v>
      </c>
      <c r="Z426" s="1" t="s">
        <v>1140</v>
      </c>
      <c r="AA426" s="1" t="s">
        <v>1141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647</v>
      </c>
      <c r="AH426" s="75" t="s">
        <v>605</v>
      </c>
      <c r="AI426" s="74"/>
    </row>
    <row r="427" s="40" customFormat="1" spans="1:35">
      <c r="A427" s="12">
        <v>130817</v>
      </c>
      <c r="B427" s="12" t="s">
        <v>1186</v>
      </c>
      <c r="C427" s="12" t="s">
        <v>871</v>
      </c>
      <c r="D427" s="12" t="s">
        <v>872</v>
      </c>
      <c r="E427" s="12" t="s">
        <v>873</v>
      </c>
      <c r="F427" s="12" t="s">
        <v>874</v>
      </c>
      <c r="G427" s="85">
        <v>3</v>
      </c>
      <c r="H427" s="85">
        <v>4</v>
      </c>
      <c r="I427" s="85">
        <v>3</v>
      </c>
      <c r="J427" s="85">
        <v>17</v>
      </c>
      <c r="K427" s="85">
        <v>6374280</v>
      </c>
      <c r="L427" s="85">
        <v>600</v>
      </c>
      <c r="M427" s="85">
        <v>6137</v>
      </c>
      <c r="N427" s="85" t="s">
        <v>875</v>
      </c>
      <c r="O427" s="86" t="s">
        <v>876</v>
      </c>
      <c r="P427" s="85" t="s">
        <v>877</v>
      </c>
      <c r="Q427" s="88">
        <v>1100001</v>
      </c>
      <c r="R427" s="85">
        <v>0</v>
      </c>
      <c r="S427" s="85" t="s">
        <v>207</v>
      </c>
      <c r="T427" s="85">
        <v>1</v>
      </c>
      <c r="U427" s="85" t="s">
        <v>878</v>
      </c>
      <c r="V427" s="1" t="s">
        <v>786</v>
      </c>
      <c r="W427" s="85" t="s">
        <v>879</v>
      </c>
      <c r="X427" s="12">
        <v>15</v>
      </c>
      <c r="Y427" s="1" t="s">
        <v>1143</v>
      </c>
      <c r="Z427" s="1" t="s">
        <v>1144</v>
      </c>
      <c r="AA427" s="1" t="s">
        <v>1145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647</v>
      </c>
      <c r="AH427" s="75" t="s">
        <v>605</v>
      </c>
      <c r="AI427" s="74"/>
    </row>
    <row r="428" s="40" customFormat="1" spans="1:35">
      <c r="A428" s="12">
        <v>130818</v>
      </c>
      <c r="B428" s="12" t="s">
        <v>1187</v>
      </c>
      <c r="C428" s="12" t="s">
        <v>871</v>
      </c>
      <c r="D428" s="12" t="s">
        <v>872</v>
      </c>
      <c r="E428" s="12" t="s">
        <v>873</v>
      </c>
      <c r="F428" s="12" t="s">
        <v>874</v>
      </c>
      <c r="G428" s="85">
        <v>3</v>
      </c>
      <c r="H428" s="85">
        <v>4</v>
      </c>
      <c r="I428" s="85">
        <v>3</v>
      </c>
      <c r="J428" s="85">
        <v>18</v>
      </c>
      <c r="K428" s="85">
        <v>6689948</v>
      </c>
      <c r="L428" s="85">
        <v>600</v>
      </c>
      <c r="M428" s="85">
        <v>6138</v>
      </c>
      <c r="N428" s="85" t="s">
        <v>875</v>
      </c>
      <c r="O428" s="86" t="s">
        <v>876</v>
      </c>
      <c r="P428" s="85" t="s">
        <v>877</v>
      </c>
      <c r="Q428" s="88">
        <v>1100001</v>
      </c>
      <c r="R428" s="85">
        <v>0</v>
      </c>
      <c r="S428" s="85" t="s">
        <v>207</v>
      </c>
      <c r="T428" s="85">
        <v>1</v>
      </c>
      <c r="U428" s="85" t="s">
        <v>878</v>
      </c>
      <c r="V428" s="1" t="s">
        <v>786</v>
      </c>
      <c r="W428" s="85" t="s">
        <v>879</v>
      </c>
      <c r="X428" s="12">
        <v>15</v>
      </c>
      <c r="Y428" s="1" t="s">
        <v>1147</v>
      </c>
      <c r="Z428" s="1" t="s">
        <v>1148</v>
      </c>
      <c r="AA428" s="1" t="s">
        <v>1149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647</v>
      </c>
      <c r="AH428" s="75" t="s">
        <v>605</v>
      </c>
      <c r="AI428" s="74"/>
    </row>
    <row r="429" s="40" customFormat="1" spans="1:35">
      <c r="A429" s="12">
        <v>130819</v>
      </c>
      <c r="B429" s="12" t="s">
        <v>1188</v>
      </c>
      <c r="C429" s="12" t="s">
        <v>871</v>
      </c>
      <c r="D429" s="12" t="s">
        <v>872</v>
      </c>
      <c r="E429" s="12" t="s">
        <v>873</v>
      </c>
      <c r="F429" s="12" t="s">
        <v>874</v>
      </c>
      <c r="G429" s="85">
        <v>3</v>
      </c>
      <c r="H429" s="85">
        <v>4</v>
      </c>
      <c r="I429" s="85">
        <v>3</v>
      </c>
      <c r="J429" s="85">
        <v>19</v>
      </c>
      <c r="K429" s="85">
        <v>7636952</v>
      </c>
      <c r="L429" s="85">
        <v>600</v>
      </c>
      <c r="M429" s="85">
        <v>6139</v>
      </c>
      <c r="N429" s="85" t="s">
        <v>875</v>
      </c>
      <c r="O429" s="86" t="s">
        <v>876</v>
      </c>
      <c r="P429" s="85" t="s">
        <v>877</v>
      </c>
      <c r="Q429" s="88">
        <v>1100001</v>
      </c>
      <c r="R429" s="85">
        <v>0</v>
      </c>
      <c r="S429" s="85" t="s">
        <v>207</v>
      </c>
      <c r="T429" s="85">
        <v>1</v>
      </c>
      <c r="U429" s="85" t="s">
        <v>878</v>
      </c>
      <c r="V429" s="1" t="s">
        <v>786</v>
      </c>
      <c r="W429" s="85" t="s">
        <v>879</v>
      </c>
      <c r="X429" s="12">
        <v>15</v>
      </c>
      <c r="Y429" s="1" t="s">
        <v>1159</v>
      </c>
      <c r="Z429" s="1" t="s">
        <v>1160</v>
      </c>
      <c r="AA429" s="1" t="s">
        <v>1161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647</v>
      </c>
      <c r="AH429" s="75" t="s">
        <v>605</v>
      </c>
      <c r="AI429" s="74"/>
    </row>
    <row r="430" s="40" customFormat="1" spans="1:35">
      <c r="A430" s="12">
        <v>130820</v>
      </c>
      <c r="B430" s="12" t="s">
        <v>1189</v>
      </c>
      <c r="C430" s="12" t="s">
        <v>871</v>
      </c>
      <c r="D430" s="12" t="s">
        <v>872</v>
      </c>
      <c r="E430" s="12" t="s">
        <v>873</v>
      </c>
      <c r="F430" s="12" t="s">
        <v>874</v>
      </c>
      <c r="G430" s="85">
        <v>3</v>
      </c>
      <c r="H430" s="85">
        <v>4</v>
      </c>
      <c r="I430" s="85">
        <v>3</v>
      </c>
      <c r="J430" s="85">
        <v>20</v>
      </c>
      <c r="K430" s="85">
        <v>7952620</v>
      </c>
      <c r="L430" s="85">
        <v>600</v>
      </c>
      <c r="M430" s="85">
        <v>6140</v>
      </c>
      <c r="N430" s="85" t="s">
        <v>875</v>
      </c>
      <c r="O430" s="86" t="s">
        <v>876</v>
      </c>
      <c r="P430" s="85" t="s">
        <v>877</v>
      </c>
      <c r="Q430" s="88">
        <v>1100001</v>
      </c>
      <c r="R430" s="85">
        <v>0</v>
      </c>
      <c r="S430" s="85" t="s">
        <v>207</v>
      </c>
      <c r="T430" s="85">
        <v>1</v>
      </c>
      <c r="U430" s="85" t="s">
        <v>878</v>
      </c>
      <c r="V430" s="1" t="s">
        <v>786</v>
      </c>
      <c r="W430" s="85" t="s">
        <v>879</v>
      </c>
      <c r="X430" s="12">
        <v>15</v>
      </c>
      <c r="Y430" s="1" t="s">
        <v>1163</v>
      </c>
      <c r="Z430" s="1" t="s">
        <v>1164</v>
      </c>
      <c r="AA430" s="1" t="s">
        <v>1165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647</v>
      </c>
      <c r="AH430" s="75" t="s">
        <v>605</v>
      </c>
      <c r="AI430" s="74"/>
    </row>
    <row r="431" s="40" customFormat="1" spans="1:35">
      <c r="A431" s="12">
        <v>130821</v>
      </c>
      <c r="B431" s="12" t="s">
        <v>1190</v>
      </c>
      <c r="C431" s="12" t="s">
        <v>871</v>
      </c>
      <c r="D431" s="12" t="s">
        <v>872</v>
      </c>
      <c r="E431" s="12" t="s">
        <v>873</v>
      </c>
      <c r="F431" s="12" t="s">
        <v>874</v>
      </c>
      <c r="G431" s="85">
        <v>3</v>
      </c>
      <c r="H431" s="85">
        <v>4</v>
      </c>
      <c r="I431" s="85">
        <v>3</v>
      </c>
      <c r="J431" s="85">
        <v>21</v>
      </c>
      <c r="K431" s="85">
        <v>8267886</v>
      </c>
      <c r="L431" s="85">
        <v>600</v>
      </c>
      <c r="M431" s="85">
        <v>6141</v>
      </c>
      <c r="N431" s="85" t="s">
        <v>875</v>
      </c>
      <c r="O431" s="86" t="s">
        <v>876</v>
      </c>
      <c r="P431" s="85" t="s">
        <v>877</v>
      </c>
      <c r="Q431" s="88">
        <v>1100001</v>
      </c>
      <c r="R431" s="85">
        <v>0</v>
      </c>
      <c r="S431" s="85" t="s">
        <v>207</v>
      </c>
      <c r="T431" s="85">
        <v>1</v>
      </c>
      <c r="U431" s="85" t="s">
        <v>878</v>
      </c>
      <c r="V431" s="1" t="s">
        <v>786</v>
      </c>
      <c r="W431" s="85" t="s">
        <v>879</v>
      </c>
      <c r="X431" s="12">
        <v>15</v>
      </c>
      <c r="Y431" s="1" t="s">
        <v>1167</v>
      </c>
      <c r="Z431" s="1" t="s">
        <v>1168</v>
      </c>
      <c r="AA431" s="1" t="s">
        <v>1169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647</v>
      </c>
      <c r="AH431" s="75" t="s">
        <v>605</v>
      </c>
      <c r="AI431" s="74"/>
    </row>
    <row r="432" s="40" customFormat="1" spans="1:35">
      <c r="A432" s="12">
        <v>130822</v>
      </c>
      <c r="B432" s="12" t="s">
        <v>1191</v>
      </c>
      <c r="C432" s="12" t="s">
        <v>871</v>
      </c>
      <c r="D432" s="12" t="s">
        <v>872</v>
      </c>
      <c r="E432" s="12" t="s">
        <v>873</v>
      </c>
      <c r="F432" s="12" t="s">
        <v>874</v>
      </c>
      <c r="G432" s="85">
        <v>3</v>
      </c>
      <c r="H432" s="85">
        <v>4</v>
      </c>
      <c r="I432" s="85">
        <v>3</v>
      </c>
      <c r="J432" s="85">
        <v>22</v>
      </c>
      <c r="K432" s="85">
        <v>8650636</v>
      </c>
      <c r="L432" s="85">
        <v>600</v>
      </c>
      <c r="M432" s="85">
        <v>6142</v>
      </c>
      <c r="N432" s="85" t="s">
        <v>875</v>
      </c>
      <c r="O432" s="86" t="s">
        <v>876</v>
      </c>
      <c r="P432" s="85" t="s">
        <v>877</v>
      </c>
      <c r="Q432" s="88">
        <v>1100001</v>
      </c>
      <c r="R432" s="85">
        <v>0</v>
      </c>
      <c r="S432" s="85" t="s">
        <v>207</v>
      </c>
      <c r="T432" s="85">
        <v>1</v>
      </c>
      <c r="U432" s="85" t="s">
        <v>878</v>
      </c>
      <c r="V432" s="1" t="s">
        <v>786</v>
      </c>
      <c r="W432" s="85" t="s">
        <v>879</v>
      </c>
      <c r="X432" s="12">
        <v>15</v>
      </c>
      <c r="Y432" s="1" t="s">
        <v>1192</v>
      </c>
      <c r="Z432" s="1" t="s">
        <v>1193</v>
      </c>
      <c r="AA432" s="1" t="s">
        <v>1194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647</v>
      </c>
      <c r="AH432" s="75" t="s">
        <v>605</v>
      </c>
      <c r="AI432" s="74"/>
    </row>
    <row r="433" s="40" customFormat="1" spans="1:35">
      <c r="A433" s="12">
        <v>130823</v>
      </c>
      <c r="B433" s="12" t="s">
        <v>1195</v>
      </c>
      <c r="C433" s="12" t="s">
        <v>871</v>
      </c>
      <c r="D433" s="12" t="s">
        <v>872</v>
      </c>
      <c r="E433" s="12" t="s">
        <v>873</v>
      </c>
      <c r="F433" s="12" t="s">
        <v>874</v>
      </c>
      <c r="G433" s="85">
        <v>3</v>
      </c>
      <c r="H433" s="85">
        <v>4</v>
      </c>
      <c r="I433" s="85">
        <v>3</v>
      </c>
      <c r="J433" s="85">
        <v>23</v>
      </c>
      <c r="K433" s="85">
        <v>9033386</v>
      </c>
      <c r="L433" s="85">
        <v>600</v>
      </c>
      <c r="M433" s="85">
        <v>6143</v>
      </c>
      <c r="N433" s="85" t="s">
        <v>875</v>
      </c>
      <c r="O433" s="86" t="s">
        <v>876</v>
      </c>
      <c r="P433" s="85" t="s">
        <v>877</v>
      </c>
      <c r="Q433" s="88">
        <v>1100001</v>
      </c>
      <c r="R433" s="85">
        <v>0</v>
      </c>
      <c r="S433" s="85" t="s">
        <v>207</v>
      </c>
      <c r="T433" s="85">
        <v>1</v>
      </c>
      <c r="U433" s="85" t="s">
        <v>878</v>
      </c>
      <c r="V433" s="1" t="s">
        <v>786</v>
      </c>
      <c r="W433" s="85" t="s">
        <v>879</v>
      </c>
      <c r="X433" s="12">
        <v>15</v>
      </c>
      <c r="Y433" s="1" t="s">
        <v>1196</v>
      </c>
      <c r="Z433" s="1" t="s">
        <v>1197</v>
      </c>
      <c r="AA433" s="1" t="s">
        <v>1198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647</v>
      </c>
      <c r="AH433" s="75" t="s">
        <v>605</v>
      </c>
      <c r="AI433" s="74"/>
    </row>
    <row r="434" s="40" customFormat="1" spans="1:35">
      <c r="A434" s="12">
        <v>130824</v>
      </c>
      <c r="B434" s="12" t="s">
        <v>1199</v>
      </c>
      <c r="C434" s="12" t="s">
        <v>871</v>
      </c>
      <c r="D434" s="12" t="s">
        <v>872</v>
      </c>
      <c r="E434" s="12" t="s">
        <v>873</v>
      </c>
      <c r="F434" s="12" t="s">
        <v>874</v>
      </c>
      <c r="G434" s="85">
        <v>3</v>
      </c>
      <c r="H434" s="85">
        <v>4</v>
      </c>
      <c r="I434" s="85">
        <v>3</v>
      </c>
      <c r="J434" s="85">
        <v>24</v>
      </c>
      <c r="K434" s="85">
        <v>9416136</v>
      </c>
      <c r="L434" s="85">
        <v>600</v>
      </c>
      <c r="M434" s="85">
        <v>6144</v>
      </c>
      <c r="N434" s="85" t="s">
        <v>875</v>
      </c>
      <c r="O434" s="86" t="s">
        <v>876</v>
      </c>
      <c r="P434" s="85" t="s">
        <v>877</v>
      </c>
      <c r="Q434" s="88">
        <v>1100001</v>
      </c>
      <c r="R434" s="85">
        <v>0</v>
      </c>
      <c r="S434" s="85" t="s">
        <v>207</v>
      </c>
      <c r="T434" s="85">
        <v>1</v>
      </c>
      <c r="U434" s="85" t="s">
        <v>878</v>
      </c>
      <c r="V434" s="1" t="s">
        <v>786</v>
      </c>
      <c r="W434" s="85" t="s">
        <v>879</v>
      </c>
      <c r="X434" s="12">
        <v>15</v>
      </c>
      <c r="Y434" s="1" t="s">
        <v>1200</v>
      </c>
      <c r="Z434" s="1" t="s">
        <v>1201</v>
      </c>
      <c r="AA434" s="1" t="s">
        <v>1202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647</v>
      </c>
      <c r="AH434" s="75" t="s">
        <v>605</v>
      </c>
      <c r="AI434" s="74"/>
    </row>
    <row r="435" s="40" customFormat="1" spans="1:35">
      <c r="A435" s="12">
        <v>130825</v>
      </c>
      <c r="B435" s="12" t="s">
        <v>1203</v>
      </c>
      <c r="C435" s="12" t="s">
        <v>871</v>
      </c>
      <c r="D435" s="12" t="s">
        <v>872</v>
      </c>
      <c r="E435" s="12" t="s">
        <v>873</v>
      </c>
      <c r="F435" s="12" t="s">
        <v>874</v>
      </c>
      <c r="G435" s="85">
        <v>3</v>
      </c>
      <c r="H435" s="85">
        <v>4</v>
      </c>
      <c r="I435" s="85">
        <v>3</v>
      </c>
      <c r="J435" s="85">
        <v>25</v>
      </c>
      <c r="K435" s="85">
        <v>9798886</v>
      </c>
      <c r="L435" s="85">
        <v>600</v>
      </c>
      <c r="M435" s="85">
        <v>6145</v>
      </c>
      <c r="N435" s="85" t="s">
        <v>875</v>
      </c>
      <c r="O435" s="86" t="s">
        <v>876</v>
      </c>
      <c r="P435" s="85" t="s">
        <v>877</v>
      </c>
      <c r="Q435" s="88">
        <v>1100001</v>
      </c>
      <c r="R435" s="85">
        <v>0</v>
      </c>
      <c r="S435" s="85" t="s">
        <v>207</v>
      </c>
      <c r="T435" s="85">
        <v>1</v>
      </c>
      <c r="U435" s="85" t="s">
        <v>878</v>
      </c>
      <c r="V435" s="1" t="s">
        <v>786</v>
      </c>
      <c r="W435" s="85" t="s">
        <v>879</v>
      </c>
      <c r="X435" s="12">
        <v>15</v>
      </c>
      <c r="Y435" s="1" t="s">
        <v>1204</v>
      </c>
      <c r="Z435" s="1" t="s">
        <v>1205</v>
      </c>
      <c r="AA435" s="1" t="s">
        <v>1206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647</v>
      </c>
      <c r="AH435" s="75" t="s">
        <v>605</v>
      </c>
      <c r="AI435" s="74"/>
    </row>
    <row r="436" s="40" customFormat="1" spans="1:35">
      <c r="A436" s="12">
        <v>130826</v>
      </c>
      <c r="B436" s="12" t="s">
        <v>1207</v>
      </c>
      <c r="C436" s="12" t="s">
        <v>871</v>
      </c>
      <c r="D436" s="12" t="s">
        <v>872</v>
      </c>
      <c r="E436" s="12" t="s">
        <v>873</v>
      </c>
      <c r="F436" s="12" t="s">
        <v>874</v>
      </c>
      <c r="G436" s="85">
        <v>3</v>
      </c>
      <c r="H436" s="85">
        <v>4</v>
      </c>
      <c r="I436" s="85">
        <v>3</v>
      </c>
      <c r="J436" s="85">
        <v>26</v>
      </c>
      <c r="K436" s="85">
        <v>10181636</v>
      </c>
      <c r="L436" s="85">
        <v>600</v>
      </c>
      <c r="M436" s="85">
        <v>6146</v>
      </c>
      <c r="N436" s="85" t="s">
        <v>875</v>
      </c>
      <c r="O436" s="86" t="s">
        <v>876</v>
      </c>
      <c r="P436" s="85" t="s">
        <v>877</v>
      </c>
      <c r="Q436" s="88">
        <v>1100001</v>
      </c>
      <c r="R436" s="85">
        <v>0</v>
      </c>
      <c r="S436" s="85" t="s">
        <v>207</v>
      </c>
      <c r="T436" s="85">
        <v>1</v>
      </c>
      <c r="U436" s="85" t="s">
        <v>878</v>
      </c>
      <c r="V436" s="1" t="s">
        <v>786</v>
      </c>
      <c r="W436" s="85" t="s">
        <v>879</v>
      </c>
      <c r="X436" s="12">
        <v>15</v>
      </c>
      <c r="Y436" s="1" t="s">
        <v>1208</v>
      </c>
      <c r="Z436" s="1" t="s">
        <v>1209</v>
      </c>
      <c r="AA436" s="1" t="s">
        <v>1210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647</v>
      </c>
      <c r="AH436" s="75" t="s">
        <v>605</v>
      </c>
      <c r="AI436" s="74"/>
    </row>
    <row r="437" s="40" customFormat="1" spans="1:35">
      <c r="A437" s="12">
        <v>130827</v>
      </c>
      <c r="B437" s="12" t="s">
        <v>1211</v>
      </c>
      <c r="C437" s="12" t="s">
        <v>871</v>
      </c>
      <c r="D437" s="12" t="s">
        <v>872</v>
      </c>
      <c r="E437" s="12" t="s">
        <v>873</v>
      </c>
      <c r="F437" s="12" t="s">
        <v>874</v>
      </c>
      <c r="G437" s="85">
        <v>3</v>
      </c>
      <c r="H437" s="85">
        <v>4</v>
      </c>
      <c r="I437" s="85">
        <v>3</v>
      </c>
      <c r="J437" s="85">
        <v>27</v>
      </c>
      <c r="K437" s="85">
        <v>10564386</v>
      </c>
      <c r="L437" s="85">
        <v>600</v>
      </c>
      <c r="M437" s="85">
        <v>6147</v>
      </c>
      <c r="N437" s="85" t="s">
        <v>875</v>
      </c>
      <c r="O437" s="86" t="s">
        <v>876</v>
      </c>
      <c r="P437" s="85" t="s">
        <v>877</v>
      </c>
      <c r="Q437" s="88">
        <v>1100001</v>
      </c>
      <c r="R437" s="85">
        <v>0</v>
      </c>
      <c r="S437" s="85" t="s">
        <v>207</v>
      </c>
      <c r="T437" s="85">
        <v>1</v>
      </c>
      <c r="U437" s="85" t="s">
        <v>878</v>
      </c>
      <c r="V437" s="1" t="s">
        <v>786</v>
      </c>
      <c r="W437" s="85" t="s">
        <v>879</v>
      </c>
      <c r="X437" s="12">
        <v>15</v>
      </c>
      <c r="Y437" s="1" t="s">
        <v>1212</v>
      </c>
      <c r="Z437" s="1" t="s">
        <v>1213</v>
      </c>
      <c r="AA437" s="1" t="s">
        <v>1214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647</v>
      </c>
      <c r="AH437" s="75" t="s">
        <v>605</v>
      </c>
      <c r="AI437" s="74"/>
    </row>
    <row r="438" s="40" customFormat="1" spans="1:35">
      <c r="A438" s="12">
        <v>130828</v>
      </c>
      <c r="B438" s="12" t="s">
        <v>1215</v>
      </c>
      <c r="C438" s="12" t="s">
        <v>871</v>
      </c>
      <c r="D438" s="12" t="s">
        <v>872</v>
      </c>
      <c r="E438" s="12" t="s">
        <v>873</v>
      </c>
      <c r="F438" s="12" t="s">
        <v>874</v>
      </c>
      <c r="G438" s="85">
        <v>3</v>
      </c>
      <c r="H438" s="85">
        <v>4</v>
      </c>
      <c r="I438" s="85">
        <v>3</v>
      </c>
      <c r="J438" s="85">
        <v>28</v>
      </c>
      <c r="K438" s="85">
        <v>10947136</v>
      </c>
      <c r="L438" s="85">
        <v>600</v>
      </c>
      <c r="M438" s="85">
        <v>6148</v>
      </c>
      <c r="N438" s="85" t="s">
        <v>875</v>
      </c>
      <c r="O438" s="86" t="s">
        <v>876</v>
      </c>
      <c r="P438" s="85" t="s">
        <v>877</v>
      </c>
      <c r="Q438" s="88">
        <v>1100001</v>
      </c>
      <c r="R438" s="85">
        <v>0</v>
      </c>
      <c r="S438" s="85" t="s">
        <v>207</v>
      </c>
      <c r="T438" s="85">
        <v>1</v>
      </c>
      <c r="U438" s="85" t="s">
        <v>878</v>
      </c>
      <c r="V438" s="1" t="s">
        <v>786</v>
      </c>
      <c r="W438" s="85" t="s">
        <v>879</v>
      </c>
      <c r="X438" s="12">
        <v>15</v>
      </c>
      <c r="Y438" s="1" t="s">
        <v>1216</v>
      </c>
      <c r="Z438" s="1" t="s">
        <v>1217</v>
      </c>
      <c r="AA438" s="1" t="s">
        <v>1218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647</v>
      </c>
      <c r="AH438" s="75" t="s">
        <v>605</v>
      </c>
      <c r="AI438" s="74"/>
    </row>
    <row r="439" s="40" customFormat="1" spans="1:35">
      <c r="A439" s="12">
        <v>130829</v>
      </c>
      <c r="B439" s="12" t="s">
        <v>1219</v>
      </c>
      <c r="C439" s="12" t="s">
        <v>871</v>
      </c>
      <c r="D439" s="12" t="s">
        <v>872</v>
      </c>
      <c r="E439" s="12" t="s">
        <v>873</v>
      </c>
      <c r="F439" s="12" t="s">
        <v>874</v>
      </c>
      <c r="G439" s="85">
        <v>3</v>
      </c>
      <c r="H439" s="85">
        <v>4</v>
      </c>
      <c r="I439" s="85">
        <v>3</v>
      </c>
      <c r="J439" s="85">
        <v>29</v>
      </c>
      <c r="K439" s="85">
        <v>11329886</v>
      </c>
      <c r="L439" s="85">
        <v>600</v>
      </c>
      <c r="M439" s="85">
        <v>6149</v>
      </c>
      <c r="N439" s="85" t="s">
        <v>875</v>
      </c>
      <c r="O439" s="86" t="s">
        <v>876</v>
      </c>
      <c r="P439" s="85" t="s">
        <v>877</v>
      </c>
      <c r="Q439" s="88">
        <v>1100001</v>
      </c>
      <c r="R439" s="85">
        <v>0</v>
      </c>
      <c r="S439" s="85" t="s">
        <v>207</v>
      </c>
      <c r="T439" s="85">
        <v>1</v>
      </c>
      <c r="U439" s="85" t="s">
        <v>878</v>
      </c>
      <c r="V439" s="1" t="s">
        <v>786</v>
      </c>
      <c r="W439" s="85" t="s">
        <v>879</v>
      </c>
      <c r="X439" s="12">
        <v>15</v>
      </c>
      <c r="Y439" s="1" t="s">
        <v>1220</v>
      </c>
      <c r="Z439" s="1" t="s">
        <v>1221</v>
      </c>
      <c r="AA439" s="1" t="s">
        <v>1222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647</v>
      </c>
      <c r="AH439" s="75" t="s">
        <v>605</v>
      </c>
      <c r="AI439" s="74"/>
    </row>
    <row r="440" s="40" customFormat="1" spans="1:35">
      <c r="A440" s="12">
        <v>130830</v>
      </c>
      <c r="B440" s="12" t="s">
        <v>1223</v>
      </c>
      <c r="C440" s="12" t="s">
        <v>871</v>
      </c>
      <c r="D440" s="12" t="s">
        <v>872</v>
      </c>
      <c r="E440" s="12" t="s">
        <v>873</v>
      </c>
      <c r="F440" s="12" t="s">
        <v>874</v>
      </c>
      <c r="G440" s="85">
        <v>3</v>
      </c>
      <c r="H440" s="85">
        <v>4</v>
      </c>
      <c r="I440" s="85">
        <v>3</v>
      </c>
      <c r="J440" s="85">
        <v>30</v>
      </c>
      <c r="K440" s="85">
        <v>11713077</v>
      </c>
      <c r="L440" s="85">
        <v>600</v>
      </c>
      <c r="M440" s="85">
        <v>6150</v>
      </c>
      <c r="N440" s="85" t="s">
        <v>875</v>
      </c>
      <c r="O440" s="86" t="s">
        <v>876</v>
      </c>
      <c r="P440" s="85" t="s">
        <v>877</v>
      </c>
      <c r="Q440" s="88">
        <v>1100001</v>
      </c>
      <c r="R440" s="85">
        <v>0</v>
      </c>
      <c r="S440" s="85" t="s">
        <v>207</v>
      </c>
      <c r="T440" s="85">
        <v>1</v>
      </c>
      <c r="U440" s="85" t="s">
        <v>878</v>
      </c>
      <c r="V440" s="1" t="s">
        <v>786</v>
      </c>
      <c r="W440" s="85" t="s">
        <v>879</v>
      </c>
      <c r="X440" s="12">
        <v>15</v>
      </c>
      <c r="Y440" s="1" t="s">
        <v>1224</v>
      </c>
      <c r="Z440" s="1" t="s">
        <v>1225</v>
      </c>
      <c r="AA440" s="1" t="s">
        <v>1226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647</v>
      </c>
      <c r="AH440" s="75" t="s">
        <v>605</v>
      </c>
      <c r="AI440" s="74"/>
    </row>
    <row r="441" s="40" customFormat="1" spans="1:35">
      <c r="A441" s="12">
        <v>130901</v>
      </c>
      <c r="B441" s="12" t="s">
        <v>1227</v>
      </c>
      <c r="C441" s="12" t="s">
        <v>871</v>
      </c>
      <c r="D441" s="12" t="s">
        <v>872</v>
      </c>
      <c r="E441" s="12" t="s">
        <v>873</v>
      </c>
      <c r="F441" s="12" t="s">
        <v>874</v>
      </c>
      <c r="G441" s="85">
        <v>3</v>
      </c>
      <c r="H441" s="85">
        <v>4</v>
      </c>
      <c r="I441" s="85">
        <v>3</v>
      </c>
      <c r="J441" s="85">
        <v>1</v>
      </c>
      <c r="K441" s="85">
        <v>1722810</v>
      </c>
      <c r="L441" s="85">
        <v>600</v>
      </c>
      <c r="M441" s="85">
        <v>6151</v>
      </c>
      <c r="N441" s="85" t="s">
        <v>875</v>
      </c>
      <c r="O441" s="86" t="s">
        <v>876</v>
      </c>
      <c r="P441" s="85" t="s">
        <v>877</v>
      </c>
      <c r="Q441" s="88">
        <v>1100001</v>
      </c>
      <c r="R441" s="85">
        <v>0</v>
      </c>
      <c r="S441" s="85" t="s">
        <v>207</v>
      </c>
      <c r="T441" s="85">
        <v>1</v>
      </c>
      <c r="U441" s="85" t="s">
        <v>878</v>
      </c>
      <c r="V441" s="1" t="s">
        <v>786</v>
      </c>
      <c r="W441" s="85" t="s">
        <v>879</v>
      </c>
      <c r="X441" s="12">
        <v>15</v>
      </c>
      <c r="Y441" s="1" t="s">
        <v>996</v>
      </c>
      <c r="Z441" s="1" t="s">
        <v>997</v>
      </c>
      <c r="AA441" s="1" t="s">
        <v>998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647</v>
      </c>
      <c r="AH441" s="75" t="s">
        <v>605</v>
      </c>
      <c r="AI441" s="74"/>
    </row>
    <row r="442" s="40" customFormat="1" spans="1:35">
      <c r="A442" s="12">
        <v>130902</v>
      </c>
      <c r="B442" s="12" t="s">
        <v>1228</v>
      </c>
      <c r="C442" s="12" t="s">
        <v>871</v>
      </c>
      <c r="D442" s="12" t="s">
        <v>872</v>
      </c>
      <c r="E442" s="12" t="s">
        <v>873</v>
      </c>
      <c r="F442" s="12" t="s">
        <v>874</v>
      </c>
      <c r="G442" s="85">
        <v>3</v>
      </c>
      <c r="H442" s="85">
        <v>4</v>
      </c>
      <c r="I442" s="85">
        <v>3</v>
      </c>
      <c r="J442" s="85">
        <v>2</v>
      </c>
      <c r="K442" s="85">
        <v>2528060</v>
      </c>
      <c r="L442" s="85">
        <v>600</v>
      </c>
      <c r="M442" s="85">
        <v>6152</v>
      </c>
      <c r="N442" s="85" t="s">
        <v>875</v>
      </c>
      <c r="O442" s="86" t="s">
        <v>876</v>
      </c>
      <c r="P442" s="85" t="s">
        <v>877</v>
      </c>
      <c r="Q442" s="88">
        <v>1100001</v>
      </c>
      <c r="R442" s="85">
        <v>0</v>
      </c>
      <c r="S442" s="85" t="s">
        <v>207</v>
      </c>
      <c r="T442" s="85">
        <v>1</v>
      </c>
      <c r="U442" s="85" t="s">
        <v>878</v>
      </c>
      <c r="V442" s="1" t="s">
        <v>786</v>
      </c>
      <c r="W442" s="85" t="s">
        <v>879</v>
      </c>
      <c r="X442" s="12">
        <v>15</v>
      </c>
      <c r="Y442" s="1" t="s">
        <v>1037</v>
      </c>
      <c r="Z442" s="1" t="s">
        <v>1038</v>
      </c>
      <c r="AA442" s="1" t="s">
        <v>1039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647</v>
      </c>
      <c r="AH442" s="75" t="s">
        <v>605</v>
      </c>
      <c r="AI442" s="74"/>
    </row>
    <row r="443" s="40" customFormat="1" spans="1:35">
      <c r="A443" s="12">
        <v>130903</v>
      </c>
      <c r="B443" s="12" t="s">
        <v>1229</v>
      </c>
      <c r="C443" s="12" t="s">
        <v>871</v>
      </c>
      <c r="D443" s="12" t="s">
        <v>872</v>
      </c>
      <c r="E443" s="12" t="s">
        <v>873</v>
      </c>
      <c r="F443" s="12" t="s">
        <v>874</v>
      </c>
      <c r="G443" s="85">
        <v>3</v>
      </c>
      <c r="H443" s="85">
        <v>4</v>
      </c>
      <c r="I443" s="85">
        <v>3</v>
      </c>
      <c r="J443" s="85">
        <v>3</v>
      </c>
      <c r="K443" s="85">
        <v>3422464</v>
      </c>
      <c r="L443" s="85">
        <v>600</v>
      </c>
      <c r="M443" s="85">
        <v>6153</v>
      </c>
      <c r="N443" s="85" t="s">
        <v>875</v>
      </c>
      <c r="O443" s="86" t="s">
        <v>876</v>
      </c>
      <c r="P443" s="85" t="s">
        <v>877</v>
      </c>
      <c r="Q443" s="88">
        <v>1100001</v>
      </c>
      <c r="R443" s="85">
        <v>0</v>
      </c>
      <c r="S443" s="85" t="s">
        <v>207</v>
      </c>
      <c r="T443" s="85">
        <v>1</v>
      </c>
      <c r="U443" s="85" t="s">
        <v>878</v>
      </c>
      <c r="V443" s="1" t="s">
        <v>786</v>
      </c>
      <c r="W443" s="85" t="s">
        <v>879</v>
      </c>
      <c r="X443" s="12">
        <v>15</v>
      </c>
      <c r="Y443" s="1" t="s">
        <v>1078</v>
      </c>
      <c r="Z443" s="1" t="s">
        <v>1079</v>
      </c>
      <c r="AA443" s="1" t="s">
        <v>1080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647</v>
      </c>
      <c r="AH443" s="75" t="s">
        <v>605</v>
      </c>
      <c r="AI443" s="74"/>
    </row>
    <row r="444" s="40" customFormat="1" spans="1:35">
      <c r="A444" s="12">
        <v>130904</v>
      </c>
      <c r="B444" s="12" t="s">
        <v>1230</v>
      </c>
      <c r="C444" s="12" t="s">
        <v>871</v>
      </c>
      <c r="D444" s="12" t="s">
        <v>872</v>
      </c>
      <c r="E444" s="12" t="s">
        <v>873</v>
      </c>
      <c r="F444" s="12" t="s">
        <v>874</v>
      </c>
      <c r="G444" s="85">
        <v>3</v>
      </c>
      <c r="H444" s="85">
        <v>4</v>
      </c>
      <c r="I444" s="85">
        <v>3</v>
      </c>
      <c r="J444" s="85">
        <v>4</v>
      </c>
      <c r="K444" s="85">
        <v>4675094</v>
      </c>
      <c r="L444" s="85">
        <v>600</v>
      </c>
      <c r="M444" s="85">
        <v>6154</v>
      </c>
      <c r="N444" s="85" t="s">
        <v>875</v>
      </c>
      <c r="O444" s="86" t="s">
        <v>876</v>
      </c>
      <c r="P444" s="85" t="s">
        <v>877</v>
      </c>
      <c r="Q444" s="88">
        <v>1100001</v>
      </c>
      <c r="R444" s="85">
        <v>0</v>
      </c>
      <c r="S444" s="85" t="s">
        <v>207</v>
      </c>
      <c r="T444" s="85">
        <v>1</v>
      </c>
      <c r="U444" s="85" t="s">
        <v>878</v>
      </c>
      <c r="V444" s="1" t="s">
        <v>786</v>
      </c>
      <c r="W444" s="85" t="s">
        <v>879</v>
      </c>
      <c r="X444" s="12">
        <v>15</v>
      </c>
      <c r="Y444" s="1" t="s">
        <v>1098</v>
      </c>
      <c r="Z444" s="1" t="s">
        <v>1099</v>
      </c>
      <c r="AA444" s="1" t="s">
        <v>1100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647</v>
      </c>
      <c r="AH444" s="75" t="s">
        <v>605</v>
      </c>
      <c r="AI444" s="74"/>
    </row>
    <row r="445" s="40" customFormat="1" spans="1:35">
      <c r="A445" s="12">
        <v>130905</v>
      </c>
      <c r="B445" s="12" t="s">
        <v>1231</v>
      </c>
      <c r="C445" s="12" t="s">
        <v>871</v>
      </c>
      <c r="D445" s="12" t="s">
        <v>872</v>
      </c>
      <c r="E445" s="12" t="s">
        <v>873</v>
      </c>
      <c r="F445" s="12" t="s">
        <v>874</v>
      </c>
      <c r="G445" s="85">
        <v>3</v>
      </c>
      <c r="H445" s="85">
        <v>4</v>
      </c>
      <c r="I445" s="85">
        <v>3</v>
      </c>
      <c r="J445" s="85">
        <v>5</v>
      </c>
      <c r="K445" s="85">
        <v>6058612</v>
      </c>
      <c r="L445" s="85">
        <v>600</v>
      </c>
      <c r="M445" s="85">
        <v>6155</v>
      </c>
      <c r="N445" s="85" t="s">
        <v>875</v>
      </c>
      <c r="O445" s="86" t="s">
        <v>876</v>
      </c>
      <c r="P445" s="85" t="s">
        <v>877</v>
      </c>
      <c r="Q445" s="88">
        <v>1100001</v>
      </c>
      <c r="R445" s="85">
        <v>0</v>
      </c>
      <c r="S445" s="85" t="s">
        <v>207</v>
      </c>
      <c r="T445" s="85">
        <v>1</v>
      </c>
      <c r="U445" s="85" t="s">
        <v>878</v>
      </c>
      <c r="V445" s="1" t="s">
        <v>786</v>
      </c>
      <c r="W445" s="85" t="s">
        <v>879</v>
      </c>
      <c r="X445" s="12">
        <v>15</v>
      </c>
      <c r="Y445" s="1" t="s">
        <v>1139</v>
      </c>
      <c r="Z445" s="1" t="s">
        <v>1140</v>
      </c>
      <c r="AA445" s="1" t="s">
        <v>1141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647</v>
      </c>
      <c r="AH445" s="75" t="s">
        <v>605</v>
      </c>
      <c r="AI445" s="74"/>
    </row>
    <row r="446" s="40" customFormat="1" spans="1:35">
      <c r="A446" s="12">
        <v>130906</v>
      </c>
      <c r="B446" s="12" t="s">
        <v>1232</v>
      </c>
      <c r="C446" s="12" t="s">
        <v>871</v>
      </c>
      <c r="D446" s="12" t="s">
        <v>872</v>
      </c>
      <c r="E446" s="12" t="s">
        <v>873</v>
      </c>
      <c r="F446" s="12" t="s">
        <v>874</v>
      </c>
      <c r="G446" s="85">
        <v>3</v>
      </c>
      <c r="H446" s="85">
        <v>4</v>
      </c>
      <c r="I446" s="85">
        <v>3</v>
      </c>
      <c r="J446" s="85">
        <v>6</v>
      </c>
      <c r="K446" s="85">
        <v>6689948</v>
      </c>
      <c r="L446" s="85">
        <v>600</v>
      </c>
      <c r="M446" s="85">
        <v>6156</v>
      </c>
      <c r="N446" s="85" t="s">
        <v>875</v>
      </c>
      <c r="O446" s="86" t="s">
        <v>876</v>
      </c>
      <c r="P446" s="85" t="s">
        <v>877</v>
      </c>
      <c r="Q446" s="88">
        <v>1100001</v>
      </c>
      <c r="R446" s="85">
        <v>0</v>
      </c>
      <c r="S446" s="85" t="s">
        <v>207</v>
      </c>
      <c r="T446" s="85">
        <v>1</v>
      </c>
      <c r="U446" s="85" t="s">
        <v>878</v>
      </c>
      <c r="V446" s="1" t="s">
        <v>786</v>
      </c>
      <c r="W446" s="85" t="s">
        <v>879</v>
      </c>
      <c r="X446" s="12">
        <v>15</v>
      </c>
      <c r="Y446" s="1" t="s">
        <v>1147</v>
      </c>
      <c r="Z446" s="1" t="s">
        <v>1148</v>
      </c>
      <c r="AA446" s="1" t="s">
        <v>1149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647</v>
      </c>
      <c r="AH446" s="75" t="s">
        <v>605</v>
      </c>
      <c r="AI446" s="74"/>
    </row>
    <row r="447" s="40" customFormat="1" spans="1:35">
      <c r="A447" s="12">
        <v>130907</v>
      </c>
      <c r="B447" s="12" t="s">
        <v>1233</v>
      </c>
      <c r="C447" s="12" t="s">
        <v>871</v>
      </c>
      <c r="D447" s="12" t="s">
        <v>872</v>
      </c>
      <c r="E447" s="12" t="s">
        <v>873</v>
      </c>
      <c r="F447" s="12" t="s">
        <v>874</v>
      </c>
      <c r="G447" s="85">
        <v>3</v>
      </c>
      <c r="H447" s="85">
        <v>4</v>
      </c>
      <c r="I447" s="85">
        <v>3</v>
      </c>
      <c r="J447" s="85">
        <v>7</v>
      </c>
      <c r="K447" s="85">
        <v>7321284</v>
      </c>
      <c r="L447" s="85">
        <v>600</v>
      </c>
      <c r="M447" s="85">
        <v>6157</v>
      </c>
      <c r="N447" s="85" t="s">
        <v>875</v>
      </c>
      <c r="O447" s="86" t="s">
        <v>876</v>
      </c>
      <c r="P447" s="85" t="s">
        <v>877</v>
      </c>
      <c r="Q447" s="88">
        <v>1100001</v>
      </c>
      <c r="R447" s="85">
        <v>0</v>
      </c>
      <c r="S447" s="85" t="s">
        <v>207</v>
      </c>
      <c r="T447" s="85">
        <v>1</v>
      </c>
      <c r="U447" s="85" t="s">
        <v>878</v>
      </c>
      <c r="V447" s="1" t="s">
        <v>786</v>
      </c>
      <c r="W447" s="85" t="s">
        <v>879</v>
      </c>
      <c r="X447" s="12">
        <v>15</v>
      </c>
      <c r="Y447" s="1" t="s">
        <v>1155</v>
      </c>
      <c r="Z447" s="1" t="s">
        <v>1156</v>
      </c>
      <c r="AA447" s="1" t="s">
        <v>1157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647</v>
      </c>
      <c r="AH447" s="75" t="s">
        <v>605</v>
      </c>
      <c r="AI447" s="74"/>
    </row>
    <row r="448" s="40" customFormat="1" spans="1:35">
      <c r="A448" s="12">
        <v>130908</v>
      </c>
      <c r="B448" s="12" t="s">
        <v>1234</v>
      </c>
      <c r="C448" s="12" t="s">
        <v>871</v>
      </c>
      <c r="D448" s="12" t="s">
        <v>872</v>
      </c>
      <c r="E448" s="12" t="s">
        <v>873</v>
      </c>
      <c r="F448" s="12" t="s">
        <v>874</v>
      </c>
      <c r="G448" s="85">
        <v>3</v>
      </c>
      <c r="H448" s="85">
        <v>4</v>
      </c>
      <c r="I448" s="85">
        <v>3</v>
      </c>
      <c r="J448" s="85">
        <v>8</v>
      </c>
      <c r="K448" s="85">
        <v>7952620</v>
      </c>
      <c r="L448" s="85">
        <v>600</v>
      </c>
      <c r="M448" s="85">
        <v>6158</v>
      </c>
      <c r="N448" s="85" t="s">
        <v>875</v>
      </c>
      <c r="O448" s="86" t="s">
        <v>876</v>
      </c>
      <c r="P448" s="85" t="s">
        <v>877</v>
      </c>
      <c r="Q448" s="88">
        <v>1100001</v>
      </c>
      <c r="R448" s="85">
        <v>0</v>
      </c>
      <c r="S448" s="85" t="s">
        <v>207</v>
      </c>
      <c r="T448" s="85">
        <v>1</v>
      </c>
      <c r="U448" s="85" t="s">
        <v>878</v>
      </c>
      <c r="V448" s="1" t="s">
        <v>786</v>
      </c>
      <c r="W448" s="85" t="s">
        <v>879</v>
      </c>
      <c r="X448" s="12">
        <v>15</v>
      </c>
      <c r="Y448" s="1" t="s">
        <v>1163</v>
      </c>
      <c r="Z448" s="1" t="s">
        <v>1164</v>
      </c>
      <c r="AA448" s="1" t="s">
        <v>1165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647</v>
      </c>
      <c r="AH448" s="75" t="s">
        <v>605</v>
      </c>
      <c r="AI448" s="74"/>
    </row>
    <row r="449" s="40" customFormat="1" spans="1:35">
      <c r="A449" s="12">
        <v>130909</v>
      </c>
      <c r="B449" s="12" t="s">
        <v>1235</v>
      </c>
      <c r="C449" s="12" t="s">
        <v>871</v>
      </c>
      <c r="D449" s="12" t="s">
        <v>872</v>
      </c>
      <c r="E449" s="12" t="s">
        <v>873</v>
      </c>
      <c r="F449" s="12" t="s">
        <v>874</v>
      </c>
      <c r="G449" s="85">
        <v>3</v>
      </c>
      <c r="H449" s="85">
        <v>4</v>
      </c>
      <c r="I449" s="85">
        <v>3</v>
      </c>
      <c r="J449" s="85">
        <v>9</v>
      </c>
      <c r="K449" s="85">
        <v>8267886</v>
      </c>
      <c r="L449" s="85">
        <v>600</v>
      </c>
      <c r="M449" s="85">
        <v>6159</v>
      </c>
      <c r="N449" s="85" t="s">
        <v>875</v>
      </c>
      <c r="O449" s="86" t="s">
        <v>876</v>
      </c>
      <c r="P449" s="85" t="s">
        <v>877</v>
      </c>
      <c r="Q449" s="88">
        <v>1100001</v>
      </c>
      <c r="R449" s="85">
        <v>0</v>
      </c>
      <c r="S449" s="85" t="s">
        <v>207</v>
      </c>
      <c r="T449" s="85">
        <v>1</v>
      </c>
      <c r="U449" s="85" t="s">
        <v>878</v>
      </c>
      <c r="V449" s="1" t="s">
        <v>786</v>
      </c>
      <c r="W449" s="85" t="s">
        <v>879</v>
      </c>
      <c r="X449" s="12">
        <v>15</v>
      </c>
      <c r="Y449" s="1" t="s">
        <v>1167</v>
      </c>
      <c r="Z449" s="1" t="s">
        <v>1168</v>
      </c>
      <c r="AA449" s="1" t="s">
        <v>1169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647</v>
      </c>
      <c r="AH449" s="75" t="s">
        <v>605</v>
      </c>
      <c r="AI449" s="74"/>
    </row>
    <row r="450" s="40" customFormat="1" spans="1:35">
      <c r="A450" s="12">
        <v>130910</v>
      </c>
      <c r="B450" s="12" t="s">
        <v>1236</v>
      </c>
      <c r="C450" s="12" t="s">
        <v>871</v>
      </c>
      <c r="D450" s="12" t="s">
        <v>872</v>
      </c>
      <c r="E450" s="12" t="s">
        <v>873</v>
      </c>
      <c r="F450" s="12" t="s">
        <v>874</v>
      </c>
      <c r="G450" s="85">
        <v>3</v>
      </c>
      <c r="H450" s="85">
        <v>4</v>
      </c>
      <c r="I450" s="85">
        <v>3</v>
      </c>
      <c r="J450" s="85">
        <v>10</v>
      </c>
      <c r="K450" s="85">
        <v>8650636</v>
      </c>
      <c r="L450" s="85">
        <v>600</v>
      </c>
      <c r="M450" s="85">
        <v>6160</v>
      </c>
      <c r="N450" s="85" t="s">
        <v>875</v>
      </c>
      <c r="O450" s="86" t="s">
        <v>876</v>
      </c>
      <c r="P450" s="85" t="s">
        <v>877</v>
      </c>
      <c r="Q450" s="88">
        <v>1100001</v>
      </c>
      <c r="R450" s="85">
        <v>0</v>
      </c>
      <c r="S450" s="85" t="s">
        <v>207</v>
      </c>
      <c r="T450" s="85">
        <v>1</v>
      </c>
      <c r="U450" s="85" t="s">
        <v>878</v>
      </c>
      <c r="V450" s="1" t="s">
        <v>786</v>
      </c>
      <c r="W450" s="85" t="s">
        <v>879</v>
      </c>
      <c r="X450" s="12">
        <v>15</v>
      </c>
      <c r="Y450" s="1" t="s">
        <v>1192</v>
      </c>
      <c r="Z450" s="1" t="s">
        <v>1193</v>
      </c>
      <c r="AA450" s="1" t="s">
        <v>1194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647</v>
      </c>
      <c r="AH450" s="75" t="s">
        <v>605</v>
      </c>
      <c r="AI450" s="74"/>
    </row>
    <row r="451" s="40" customFormat="1" spans="1:35">
      <c r="A451" s="12">
        <v>130911</v>
      </c>
      <c r="B451" s="12" t="s">
        <v>1237</v>
      </c>
      <c r="C451" s="12" t="s">
        <v>871</v>
      </c>
      <c r="D451" s="12" t="s">
        <v>872</v>
      </c>
      <c r="E451" s="12" t="s">
        <v>873</v>
      </c>
      <c r="F451" s="12" t="s">
        <v>874</v>
      </c>
      <c r="G451" s="85">
        <v>3</v>
      </c>
      <c r="H451" s="85">
        <v>4</v>
      </c>
      <c r="I451" s="85">
        <v>3</v>
      </c>
      <c r="J451" s="85">
        <v>11</v>
      </c>
      <c r="K451" s="85">
        <v>9033386</v>
      </c>
      <c r="L451" s="85">
        <v>600</v>
      </c>
      <c r="M451" s="85">
        <v>6161</v>
      </c>
      <c r="N451" s="85" t="s">
        <v>875</v>
      </c>
      <c r="O451" s="86" t="s">
        <v>876</v>
      </c>
      <c r="P451" s="85" t="s">
        <v>877</v>
      </c>
      <c r="Q451" s="88">
        <v>1100001</v>
      </c>
      <c r="R451" s="85">
        <v>0</v>
      </c>
      <c r="S451" s="85" t="s">
        <v>207</v>
      </c>
      <c r="T451" s="85">
        <v>1</v>
      </c>
      <c r="U451" s="85" t="s">
        <v>878</v>
      </c>
      <c r="V451" s="1" t="s">
        <v>786</v>
      </c>
      <c r="W451" s="85" t="s">
        <v>879</v>
      </c>
      <c r="X451" s="12">
        <v>15</v>
      </c>
      <c r="Y451" s="1" t="s">
        <v>1196</v>
      </c>
      <c r="Z451" s="1" t="s">
        <v>1197</v>
      </c>
      <c r="AA451" s="1" t="s">
        <v>1198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647</v>
      </c>
      <c r="AH451" s="75" t="s">
        <v>605</v>
      </c>
      <c r="AI451" s="74"/>
    </row>
    <row r="452" s="40" customFormat="1" spans="1:35">
      <c r="A452" s="12">
        <v>130912</v>
      </c>
      <c r="B452" s="12" t="s">
        <v>1238</v>
      </c>
      <c r="C452" s="12" t="s">
        <v>871</v>
      </c>
      <c r="D452" s="12" t="s">
        <v>872</v>
      </c>
      <c r="E452" s="12" t="s">
        <v>873</v>
      </c>
      <c r="F452" s="12" t="s">
        <v>874</v>
      </c>
      <c r="G452" s="85">
        <v>3</v>
      </c>
      <c r="H452" s="85">
        <v>4</v>
      </c>
      <c r="I452" s="85">
        <v>3</v>
      </c>
      <c r="J452" s="85">
        <v>12</v>
      </c>
      <c r="K452" s="85">
        <v>9416136</v>
      </c>
      <c r="L452" s="85">
        <v>600</v>
      </c>
      <c r="M452" s="85">
        <v>6162</v>
      </c>
      <c r="N452" s="85" t="s">
        <v>875</v>
      </c>
      <c r="O452" s="86" t="s">
        <v>876</v>
      </c>
      <c r="P452" s="85" t="s">
        <v>877</v>
      </c>
      <c r="Q452" s="88">
        <v>1100001</v>
      </c>
      <c r="R452" s="85">
        <v>0</v>
      </c>
      <c r="S452" s="85" t="s">
        <v>207</v>
      </c>
      <c r="T452" s="85">
        <v>1</v>
      </c>
      <c r="U452" s="85" t="s">
        <v>878</v>
      </c>
      <c r="V452" s="1" t="s">
        <v>786</v>
      </c>
      <c r="W452" s="85" t="s">
        <v>879</v>
      </c>
      <c r="X452" s="12">
        <v>15</v>
      </c>
      <c r="Y452" s="1" t="s">
        <v>1200</v>
      </c>
      <c r="Z452" s="1" t="s">
        <v>1201</v>
      </c>
      <c r="AA452" s="1" t="s">
        <v>1202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647</v>
      </c>
      <c r="AH452" s="75" t="s">
        <v>605</v>
      </c>
      <c r="AI452" s="74"/>
    </row>
    <row r="453" s="40" customFormat="1" spans="1:35">
      <c r="A453" s="12">
        <v>130913</v>
      </c>
      <c r="B453" s="12" t="s">
        <v>1239</v>
      </c>
      <c r="C453" s="12" t="s">
        <v>871</v>
      </c>
      <c r="D453" s="12" t="s">
        <v>872</v>
      </c>
      <c r="E453" s="12" t="s">
        <v>873</v>
      </c>
      <c r="F453" s="12" t="s">
        <v>874</v>
      </c>
      <c r="G453" s="85">
        <v>3</v>
      </c>
      <c r="H453" s="85">
        <v>4</v>
      </c>
      <c r="I453" s="85">
        <v>3</v>
      </c>
      <c r="J453" s="85">
        <v>13</v>
      </c>
      <c r="K453" s="85">
        <v>9798886</v>
      </c>
      <c r="L453" s="85">
        <v>600</v>
      </c>
      <c r="M453" s="85">
        <v>6163</v>
      </c>
      <c r="N453" s="85" t="s">
        <v>875</v>
      </c>
      <c r="O453" s="86" t="s">
        <v>876</v>
      </c>
      <c r="P453" s="85" t="s">
        <v>877</v>
      </c>
      <c r="Q453" s="88">
        <v>1100001</v>
      </c>
      <c r="R453" s="85">
        <v>0</v>
      </c>
      <c r="S453" s="85" t="s">
        <v>207</v>
      </c>
      <c r="T453" s="85">
        <v>1</v>
      </c>
      <c r="U453" s="85" t="s">
        <v>878</v>
      </c>
      <c r="V453" s="1" t="s">
        <v>786</v>
      </c>
      <c r="W453" s="85" t="s">
        <v>879</v>
      </c>
      <c r="X453" s="12">
        <v>15</v>
      </c>
      <c r="Y453" s="1" t="s">
        <v>1204</v>
      </c>
      <c r="Z453" s="1" t="s">
        <v>1205</v>
      </c>
      <c r="AA453" s="1" t="s">
        <v>1206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647</v>
      </c>
      <c r="AH453" s="75" t="s">
        <v>605</v>
      </c>
      <c r="AI453" s="74"/>
    </row>
    <row r="454" s="40" customFormat="1" spans="1:35">
      <c r="A454" s="12">
        <v>130914</v>
      </c>
      <c r="B454" s="12" t="s">
        <v>1240</v>
      </c>
      <c r="C454" s="12" t="s">
        <v>871</v>
      </c>
      <c r="D454" s="12" t="s">
        <v>872</v>
      </c>
      <c r="E454" s="12" t="s">
        <v>873</v>
      </c>
      <c r="F454" s="12" t="s">
        <v>874</v>
      </c>
      <c r="G454" s="85">
        <v>3</v>
      </c>
      <c r="H454" s="85">
        <v>4</v>
      </c>
      <c r="I454" s="85">
        <v>3</v>
      </c>
      <c r="J454" s="85">
        <v>14</v>
      </c>
      <c r="K454" s="85">
        <v>10181636</v>
      </c>
      <c r="L454" s="85">
        <v>600</v>
      </c>
      <c r="M454" s="85">
        <v>6164</v>
      </c>
      <c r="N454" s="85" t="s">
        <v>875</v>
      </c>
      <c r="O454" s="86" t="s">
        <v>876</v>
      </c>
      <c r="P454" s="85" t="s">
        <v>877</v>
      </c>
      <c r="Q454" s="88">
        <v>1100001</v>
      </c>
      <c r="R454" s="85">
        <v>0</v>
      </c>
      <c r="S454" s="85" t="s">
        <v>207</v>
      </c>
      <c r="T454" s="85">
        <v>1</v>
      </c>
      <c r="U454" s="85" t="s">
        <v>878</v>
      </c>
      <c r="V454" s="1" t="s">
        <v>786</v>
      </c>
      <c r="W454" s="85" t="s">
        <v>879</v>
      </c>
      <c r="X454" s="12">
        <v>15</v>
      </c>
      <c r="Y454" s="1" t="s">
        <v>1208</v>
      </c>
      <c r="Z454" s="1" t="s">
        <v>1209</v>
      </c>
      <c r="AA454" s="1" t="s">
        <v>1210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647</v>
      </c>
      <c r="AH454" s="75" t="s">
        <v>605</v>
      </c>
      <c r="AI454" s="74"/>
    </row>
    <row r="455" s="40" customFormat="1" spans="1:35">
      <c r="A455" s="12">
        <v>130915</v>
      </c>
      <c r="B455" s="12" t="s">
        <v>1241</v>
      </c>
      <c r="C455" s="12" t="s">
        <v>871</v>
      </c>
      <c r="D455" s="12" t="s">
        <v>872</v>
      </c>
      <c r="E455" s="12" t="s">
        <v>873</v>
      </c>
      <c r="F455" s="12" t="s">
        <v>874</v>
      </c>
      <c r="G455" s="85">
        <v>3</v>
      </c>
      <c r="H455" s="85">
        <v>4</v>
      </c>
      <c r="I455" s="85">
        <v>3</v>
      </c>
      <c r="J455" s="85">
        <v>15</v>
      </c>
      <c r="K455" s="85">
        <v>10564386</v>
      </c>
      <c r="L455" s="85">
        <v>600</v>
      </c>
      <c r="M455" s="85">
        <v>6165</v>
      </c>
      <c r="N455" s="85" t="s">
        <v>875</v>
      </c>
      <c r="O455" s="86" t="s">
        <v>876</v>
      </c>
      <c r="P455" s="85" t="s">
        <v>877</v>
      </c>
      <c r="Q455" s="88">
        <v>1100001</v>
      </c>
      <c r="R455" s="85">
        <v>0</v>
      </c>
      <c r="S455" s="85" t="s">
        <v>207</v>
      </c>
      <c r="T455" s="85">
        <v>1</v>
      </c>
      <c r="U455" s="85" t="s">
        <v>878</v>
      </c>
      <c r="V455" s="1" t="s">
        <v>786</v>
      </c>
      <c r="W455" s="85" t="s">
        <v>879</v>
      </c>
      <c r="X455" s="12">
        <v>15</v>
      </c>
      <c r="Y455" s="1" t="s">
        <v>1212</v>
      </c>
      <c r="Z455" s="1" t="s">
        <v>1213</v>
      </c>
      <c r="AA455" s="1" t="s">
        <v>1214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647</v>
      </c>
      <c r="AH455" s="75" t="s">
        <v>605</v>
      </c>
      <c r="AI455" s="74"/>
    </row>
    <row r="456" s="40" customFormat="1" spans="1:35">
      <c r="A456" s="12">
        <v>130916</v>
      </c>
      <c r="B456" s="12" t="s">
        <v>1242</v>
      </c>
      <c r="C456" s="12" t="s">
        <v>871</v>
      </c>
      <c r="D456" s="12" t="s">
        <v>872</v>
      </c>
      <c r="E456" s="12" t="s">
        <v>873</v>
      </c>
      <c r="F456" s="12" t="s">
        <v>874</v>
      </c>
      <c r="G456" s="85">
        <v>3</v>
      </c>
      <c r="H456" s="85">
        <v>4</v>
      </c>
      <c r="I456" s="85">
        <v>3</v>
      </c>
      <c r="J456" s="85">
        <v>16</v>
      </c>
      <c r="K456" s="85">
        <v>10947136</v>
      </c>
      <c r="L456" s="85">
        <v>600</v>
      </c>
      <c r="M456" s="85">
        <v>6166</v>
      </c>
      <c r="N456" s="85" t="s">
        <v>875</v>
      </c>
      <c r="O456" s="86" t="s">
        <v>876</v>
      </c>
      <c r="P456" s="85" t="s">
        <v>877</v>
      </c>
      <c r="Q456" s="88">
        <v>1100001</v>
      </c>
      <c r="R456" s="85">
        <v>0</v>
      </c>
      <c r="S456" s="85" t="s">
        <v>207</v>
      </c>
      <c r="T456" s="85">
        <v>1</v>
      </c>
      <c r="U456" s="85" t="s">
        <v>878</v>
      </c>
      <c r="V456" s="1" t="s">
        <v>786</v>
      </c>
      <c r="W456" s="85" t="s">
        <v>879</v>
      </c>
      <c r="X456" s="12">
        <v>15</v>
      </c>
      <c r="Y456" s="1" t="s">
        <v>1216</v>
      </c>
      <c r="Z456" s="1" t="s">
        <v>1217</v>
      </c>
      <c r="AA456" s="1" t="s">
        <v>1218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647</v>
      </c>
      <c r="AH456" s="75" t="s">
        <v>605</v>
      </c>
      <c r="AI456" s="74"/>
    </row>
    <row r="457" s="40" customFormat="1" spans="1:35">
      <c r="A457" s="12">
        <v>130917</v>
      </c>
      <c r="B457" s="12" t="s">
        <v>1243</v>
      </c>
      <c r="C457" s="12" t="s">
        <v>871</v>
      </c>
      <c r="D457" s="12" t="s">
        <v>872</v>
      </c>
      <c r="E457" s="12" t="s">
        <v>873</v>
      </c>
      <c r="F457" s="12" t="s">
        <v>874</v>
      </c>
      <c r="G457" s="85">
        <v>3</v>
      </c>
      <c r="H457" s="85">
        <v>4</v>
      </c>
      <c r="I457" s="85">
        <v>3</v>
      </c>
      <c r="J457" s="85">
        <v>17</v>
      </c>
      <c r="K457" s="85">
        <v>11329886</v>
      </c>
      <c r="L457" s="85">
        <v>600</v>
      </c>
      <c r="M457" s="85">
        <v>6167</v>
      </c>
      <c r="N457" s="85" t="s">
        <v>875</v>
      </c>
      <c r="O457" s="86" t="s">
        <v>876</v>
      </c>
      <c r="P457" s="85" t="s">
        <v>877</v>
      </c>
      <c r="Q457" s="88">
        <v>1100001</v>
      </c>
      <c r="R457" s="85">
        <v>0</v>
      </c>
      <c r="S457" s="85" t="s">
        <v>207</v>
      </c>
      <c r="T457" s="85">
        <v>1</v>
      </c>
      <c r="U457" s="85" t="s">
        <v>878</v>
      </c>
      <c r="V457" s="1" t="s">
        <v>786</v>
      </c>
      <c r="W457" s="85" t="s">
        <v>879</v>
      </c>
      <c r="X457" s="12">
        <v>15</v>
      </c>
      <c r="Y457" s="1" t="s">
        <v>1220</v>
      </c>
      <c r="Z457" s="1" t="s">
        <v>1221</v>
      </c>
      <c r="AA457" s="1" t="s">
        <v>1222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647</v>
      </c>
      <c r="AH457" s="75" t="s">
        <v>605</v>
      </c>
      <c r="AI457" s="74"/>
    </row>
    <row r="458" s="40" customFormat="1" spans="1:35">
      <c r="A458" s="12">
        <v>130918</v>
      </c>
      <c r="B458" s="12" t="s">
        <v>1244</v>
      </c>
      <c r="C458" s="12" t="s">
        <v>871</v>
      </c>
      <c r="D458" s="12" t="s">
        <v>872</v>
      </c>
      <c r="E458" s="12" t="s">
        <v>873</v>
      </c>
      <c r="F458" s="12" t="s">
        <v>874</v>
      </c>
      <c r="G458" s="85">
        <v>3</v>
      </c>
      <c r="H458" s="85">
        <v>4</v>
      </c>
      <c r="I458" s="85">
        <v>3</v>
      </c>
      <c r="J458" s="85">
        <v>18</v>
      </c>
      <c r="K458" s="85">
        <v>11713077</v>
      </c>
      <c r="L458" s="85">
        <v>600</v>
      </c>
      <c r="M458" s="85">
        <v>6168</v>
      </c>
      <c r="N458" s="85" t="s">
        <v>875</v>
      </c>
      <c r="O458" s="86" t="s">
        <v>876</v>
      </c>
      <c r="P458" s="85" t="s">
        <v>877</v>
      </c>
      <c r="Q458" s="88">
        <v>1100001</v>
      </c>
      <c r="R458" s="85">
        <v>0</v>
      </c>
      <c r="S458" s="85" t="s">
        <v>207</v>
      </c>
      <c r="T458" s="85">
        <v>1</v>
      </c>
      <c r="U458" s="85" t="s">
        <v>878</v>
      </c>
      <c r="V458" s="1" t="s">
        <v>786</v>
      </c>
      <c r="W458" s="85" t="s">
        <v>879</v>
      </c>
      <c r="X458" s="12">
        <v>15</v>
      </c>
      <c r="Y458" s="1" t="s">
        <v>1224</v>
      </c>
      <c r="Z458" s="1" t="s">
        <v>1225</v>
      </c>
      <c r="AA458" s="1" t="s">
        <v>1226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647</v>
      </c>
      <c r="AH458" s="75" t="s">
        <v>605</v>
      </c>
      <c r="AI458" s="74"/>
    </row>
    <row r="459" s="40" customFormat="1" spans="1:35">
      <c r="A459" s="12">
        <v>130919</v>
      </c>
      <c r="B459" s="12" t="s">
        <v>1245</v>
      </c>
      <c r="C459" s="12" t="s">
        <v>871</v>
      </c>
      <c r="D459" s="12" t="s">
        <v>872</v>
      </c>
      <c r="E459" s="12" t="s">
        <v>873</v>
      </c>
      <c r="F459" s="12" t="s">
        <v>874</v>
      </c>
      <c r="G459" s="85">
        <v>3</v>
      </c>
      <c r="H459" s="85">
        <v>4</v>
      </c>
      <c r="I459" s="85">
        <v>3</v>
      </c>
      <c r="J459" s="85">
        <v>19</v>
      </c>
      <c r="K459" s="85">
        <v>12169389</v>
      </c>
      <c r="L459" s="85">
        <v>600</v>
      </c>
      <c r="M459" s="85">
        <v>6169</v>
      </c>
      <c r="N459" s="85" t="s">
        <v>875</v>
      </c>
      <c r="O459" s="86" t="s">
        <v>876</v>
      </c>
      <c r="P459" s="85" t="s">
        <v>877</v>
      </c>
      <c r="Q459" s="88">
        <v>1100001</v>
      </c>
      <c r="R459" s="85">
        <v>0</v>
      </c>
      <c r="S459" s="85" t="s">
        <v>207</v>
      </c>
      <c r="T459" s="85">
        <v>1</v>
      </c>
      <c r="U459" s="85" t="s">
        <v>878</v>
      </c>
      <c r="V459" s="1" t="s">
        <v>786</v>
      </c>
      <c r="W459" s="85" t="s">
        <v>879</v>
      </c>
      <c r="X459" s="12">
        <v>15</v>
      </c>
      <c r="Y459" s="1" t="s">
        <v>1246</v>
      </c>
      <c r="Z459" s="1" t="s">
        <v>1247</v>
      </c>
      <c r="AA459" s="1" t="s">
        <v>1248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647</v>
      </c>
      <c r="AH459" s="75" t="s">
        <v>605</v>
      </c>
      <c r="AI459" s="74"/>
    </row>
    <row r="460" s="40" customFormat="1" spans="1:35">
      <c r="A460" s="12">
        <v>130920</v>
      </c>
      <c r="B460" s="12" t="s">
        <v>1249</v>
      </c>
      <c r="C460" s="12" t="s">
        <v>871</v>
      </c>
      <c r="D460" s="12" t="s">
        <v>872</v>
      </c>
      <c r="E460" s="12" t="s">
        <v>873</v>
      </c>
      <c r="F460" s="12" t="s">
        <v>874</v>
      </c>
      <c r="G460" s="85">
        <v>3</v>
      </c>
      <c r="H460" s="85">
        <v>4</v>
      </c>
      <c r="I460" s="85">
        <v>3</v>
      </c>
      <c r="J460" s="85">
        <v>20</v>
      </c>
      <c r="K460" s="85">
        <v>12625701</v>
      </c>
      <c r="L460" s="85">
        <v>600</v>
      </c>
      <c r="M460" s="85">
        <v>6170</v>
      </c>
      <c r="N460" s="85" t="s">
        <v>875</v>
      </c>
      <c r="O460" s="86" t="s">
        <v>876</v>
      </c>
      <c r="P460" s="85" t="s">
        <v>877</v>
      </c>
      <c r="Q460" s="88">
        <v>1100001</v>
      </c>
      <c r="R460" s="85">
        <v>0</v>
      </c>
      <c r="S460" s="85" t="s">
        <v>207</v>
      </c>
      <c r="T460" s="85">
        <v>1</v>
      </c>
      <c r="U460" s="85" t="s">
        <v>878</v>
      </c>
      <c r="V460" s="1" t="s">
        <v>786</v>
      </c>
      <c r="W460" s="85" t="s">
        <v>879</v>
      </c>
      <c r="X460" s="12">
        <v>15</v>
      </c>
      <c r="Y460" s="1" t="s">
        <v>1250</v>
      </c>
      <c r="Z460" s="1" t="s">
        <v>1251</v>
      </c>
      <c r="AA460" s="1" t="s">
        <v>1252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647</v>
      </c>
      <c r="AH460" s="75" t="s">
        <v>605</v>
      </c>
      <c r="AI460" s="74"/>
    </row>
    <row r="461" s="40" customFormat="1" spans="1:35">
      <c r="A461" s="12">
        <v>130921</v>
      </c>
      <c r="B461" s="12" t="s">
        <v>1253</v>
      </c>
      <c r="C461" s="12" t="s">
        <v>871</v>
      </c>
      <c r="D461" s="12" t="s">
        <v>872</v>
      </c>
      <c r="E461" s="12" t="s">
        <v>873</v>
      </c>
      <c r="F461" s="12" t="s">
        <v>874</v>
      </c>
      <c r="G461" s="85">
        <v>3</v>
      </c>
      <c r="H461" s="85">
        <v>4</v>
      </c>
      <c r="I461" s="85">
        <v>3</v>
      </c>
      <c r="J461" s="85">
        <v>21</v>
      </c>
      <c r="K461" s="85">
        <v>13082013</v>
      </c>
      <c r="L461" s="85">
        <v>600</v>
      </c>
      <c r="M461" s="85">
        <v>6171</v>
      </c>
      <c r="N461" s="85" t="s">
        <v>875</v>
      </c>
      <c r="O461" s="86" t="s">
        <v>876</v>
      </c>
      <c r="P461" s="85" t="s">
        <v>877</v>
      </c>
      <c r="Q461" s="88">
        <v>1100001</v>
      </c>
      <c r="R461" s="85">
        <v>0</v>
      </c>
      <c r="S461" s="85" t="s">
        <v>207</v>
      </c>
      <c r="T461" s="85">
        <v>1</v>
      </c>
      <c r="U461" s="85" t="s">
        <v>878</v>
      </c>
      <c r="V461" s="1" t="s">
        <v>786</v>
      </c>
      <c r="W461" s="85" t="s">
        <v>879</v>
      </c>
      <c r="X461" s="12">
        <v>15</v>
      </c>
      <c r="Y461" s="1" t="s">
        <v>1254</v>
      </c>
      <c r="Z461" s="1" t="s">
        <v>1255</v>
      </c>
      <c r="AA461" s="1" t="s">
        <v>1256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647</v>
      </c>
      <c r="AH461" s="75" t="s">
        <v>605</v>
      </c>
      <c r="AI461" s="74"/>
    </row>
    <row r="462" s="40" customFormat="1" spans="1:35">
      <c r="A462" s="12">
        <v>130922</v>
      </c>
      <c r="B462" s="12" t="s">
        <v>1257</v>
      </c>
      <c r="C462" s="12" t="s">
        <v>871</v>
      </c>
      <c r="D462" s="12" t="s">
        <v>872</v>
      </c>
      <c r="E462" s="12" t="s">
        <v>873</v>
      </c>
      <c r="F462" s="12" t="s">
        <v>874</v>
      </c>
      <c r="G462" s="85">
        <v>3</v>
      </c>
      <c r="H462" s="85">
        <v>4</v>
      </c>
      <c r="I462" s="85">
        <v>3</v>
      </c>
      <c r="J462" s="85">
        <v>22</v>
      </c>
      <c r="K462" s="85">
        <v>13538325</v>
      </c>
      <c r="L462" s="85">
        <v>600</v>
      </c>
      <c r="M462" s="85">
        <v>6172</v>
      </c>
      <c r="N462" s="85" t="s">
        <v>875</v>
      </c>
      <c r="O462" s="86" t="s">
        <v>876</v>
      </c>
      <c r="P462" s="85" t="s">
        <v>877</v>
      </c>
      <c r="Q462" s="88">
        <v>1100001</v>
      </c>
      <c r="R462" s="85">
        <v>0</v>
      </c>
      <c r="S462" s="85" t="s">
        <v>207</v>
      </c>
      <c r="T462" s="85">
        <v>1</v>
      </c>
      <c r="U462" s="85" t="s">
        <v>878</v>
      </c>
      <c r="V462" s="1" t="s">
        <v>786</v>
      </c>
      <c r="W462" s="85" t="s">
        <v>879</v>
      </c>
      <c r="X462" s="12">
        <v>15</v>
      </c>
      <c r="Y462" s="1" t="s">
        <v>1258</v>
      </c>
      <c r="Z462" s="1" t="s">
        <v>1259</v>
      </c>
      <c r="AA462" s="1" t="s">
        <v>1260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647</v>
      </c>
      <c r="AH462" s="75" t="s">
        <v>605</v>
      </c>
      <c r="AI462" s="74"/>
    </row>
    <row r="463" s="40" customFormat="1" spans="1:35">
      <c r="A463" s="12">
        <v>130923</v>
      </c>
      <c r="B463" s="12" t="s">
        <v>1261</v>
      </c>
      <c r="C463" s="12" t="s">
        <v>871</v>
      </c>
      <c r="D463" s="12" t="s">
        <v>872</v>
      </c>
      <c r="E463" s="12" t="s">
        <v>873</v>
      </c>
      <c r="F463" s="12" t="s">
        <v>874</v>
      </c>
      <c r="G463" s="85">
        <v>3</v>
      </c>
      <c r="H463" s="85">
        <v>4</v>
      </c>
      <c r="I463" s="85">
        <v>3</v>
      </c>
      <c r="J463" s="85">
        <v>23</v>
      </c>
      <c r="K463" s="85">
        <v>13994637</v>
      </c>
      <c r="L463" s="85">
        <v>600</v>
      </c>
      <c r="M463" s="85">
        <v>6173</v>
      </c>
      <c r="N463" s="85" t="s">
        <v>875</v>
      </c>
      <c r="O463" s="86" t="s">
        <v>876</v>
      </c>
      <c r="P463" s="85" t="s">
        <v>877</v>
      </c>
      <c r="Q463" s="88">
        <v>1100001</v>
      </c>
      <c r="R463" s="85">
        <v>0</v>
      </c>
      <c r="S463" s="85" t="s">
        <v>207</v>
      </c>
      <c r="T463" s="85">
        <v>1</v>
      </c>
      <c r="U463" s="85" t="s">
        <v>878</v>
      </c>
      <c r="V463" s="1" t="s">
        <v>786</v>
      </c>
      <c r="W463" s="85" t="s">
        <v>879</v>
      </c>
      <c r="X463" s="12">
        <v>15</v>
      </c>
      <c r="Y463" s="1" t="s">
        <v>1262</v>
      </c>
      <c r="Z463" s="1" t="s">
        <v>1263</v>
      </c>
      <c r="AA463" s="1" t="s">
        <v>1264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647</v>
      </c>
      <c r="AH463" s="75" t="s">
        <v>605</v>
      </c>
      <c r="AI463" s="74"/>
    </row>
    <row r="464" s="40" customFormat="1" spans="1:35">
      <c r="A464" s="12">
        <v>130924</v>
      </c>
      <c r="B464" s="12" t="s">
        <v>1265</v>
      </c>
      <c r="C464" s="12" t="s">
        <v>871</v>
      </c>
      <c r="D464" s="12" t="s">
        <v>872</v>
      </c>
      <c r="E464" s="12" t="s">
        <v>873</v>
      </c>
      <c r="F464" s="12" t="s">
        <v>874</v>
      </c>
      <c r="G464" s="85">
        <v>3</v>
      </c>
      <c r="H464" s="85">
        <v>4</v>
      </c>
      <c r="I464" s="85">
        <v>3</v>
      </c>
      <c r="J464" s="85">
        <v>24</v>
      </c>
      <c r="K464" s="85">
        <v>14450949</v>
      </c>
      <c r="L464" s="85">
        <v>600</v>
      </c>
      <c r="M464" s="85">
        <v>6174</v>
      </c>
      <c r="N464" s="85" t="s">
        <v>875</v>
      </c>
      <c r="O464" s="86" t="s">
        <v>876</v>
      </c>
      <c r="P464" s="85" t="s">
        <v>877</v>
      </c>
      <c r="Q464" s="88">
        <v>1100001</v>
      </c>
      <c r="R464" s="85">
        <v>0</v>
      </c>
      <c r="S464" s="85" t="s">
        <v>207</v>
      </c>
      <c r="T464" s="85">
        <v>1</v>
      </c>
      <c r="U464" s="85" t="s">
        <v>878</v>
      </c>
      <c r="V464" s="1" t="s">
        <v>786</v>
      </c>
      <c r="W464" s="85" t="s">
        <v>879</v>
      </c>
      <c r="X464" s="12">
        <v>15</v>
      </c>
      <c r="Y464" s="1" t="s">
        <v>1266</v>
      </c>
      <c r="Z464" s="1" t="s">
        <v>1267</v>
      </c>
      <c r="AA464" s="1" t="s">
        <v>1268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647</v>
      </c>
      <c r="AH464" s="75" t="s">
        <v>605</v>
      </c>
      <c r="AI464" s="74"/>
    </row>
    <row r="465" s="40" customFormat="1" spans="1:35">
      <c r="A465" s="12">
        <v>130925</v>
      </c>
      <c r="B465" s="12" t="s">
        <v>1269</v>
      </c>
      <c r="C465" s="12" t="s">
        <v>871</v>
      </c>
      <c r="D465" s="12" t="s">
        <v>872</v>
      </c>
      <c r="E465" s="12" t="s">
        <v>873</v>
      </c>
      <c r="F465" s="12" t="s">
        <v>874</v>
      </c>
      <c r="G465" s="85">
        <v>3</v>
      </c>
      <c r="H465" s="85">
        <v>4</v>
      </c>
      <c r="I465" s="85">
        <v>3</v>
      </c>
      <c r="J465" s="85">
        <v>25</v>
      </c>
      <c r="K465" s="85">
        <v>14907261</v>
      </c>
      <c r="L465" s="85">
        <v>600</v>
      </c>
      <c r="M465" s="85">
        <v>6175</v>
      </c>
      <c r="N465" s="85" t="s">
        <v>875</v>
      </c>
      <c r="O465" s="86" t="s">
        <v>876</v>
      </c>
      <c r="P465" s="85" t="s">
        <v>877</v>
      </c>
      <c r="Q465" s="88">
        <v>1100001</v>
      </c>
      <c r="R465" s="85">
        <v>0</v>
      </c>
      <c r="S465" s="85" t="s">
        <v>207</v>
      </c>
      <c r="T465" s="85">
        <v>1</v>
      </c>
      <c r="U465" s="85" t="s">
        <v>878</v>
      </c>
      <c r="V465" s="1" t="s">
        <v>786</v>
      </c>
      <c r="W465" s="85" t="s">
        <v>879</v>
      </c>
      <c r="X465" s="12">
        <v>15</v>
      </c>
      <c r="Y465" s="1" t="s">
        <v>1270</v>
      </c>
      <c r="Z465" s="1" t="s">
        <v>1271</v>
      </c>
      <c r="AA465" s="1" t="s">
        <v>1272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647</v>
      </c>
      <c r="AH465" s="75" t="s">
        <v>605</v>
      </c>
      <c r="AI465" s="74"/>
    </row>
    <row r="466" s="40" customFormat="1" spans="1:35">
      <c r="A466" s="12">
        <v>130926</v>
      </c>
      <c r="B466" s="12" t="s">
        <v>1273</v>
      </c>
      <c r="C466" s="12" t="s">
        <v>871</v>
      </c>
      <c r="D466" s="12" t="s">
        <v>872</v>
      </c>
      <c r="E466" s="12" t="s">
        <v>873</v>
      </c>
      <c r="F466" s="12" t="s">
        <v>874</v>
      </c>
      <c r="G466" s="85">
        <v>3</v>
      </c>
      <c r="H466" s="85">
        <v>4</v>
      </c>
      <c r="I466" s="85">
        <v>3</v>
      </c>
      <c r="J466" s="85">
        <v>26</v>
      </c>
      <c r="K466" s="85">
        <v>15363573</v>
      </c>
      <c r="L466" s="85">
        <v>600</v>
      </c>
      <c r="M466" s="85">
        <v>6176</v>
      </c>
      <c r="N466" s="85" t="s">
        <v>875</v>
      </c>
      <c r="O466" s="86" t="s">
        <v>876</v>
      </c>
      <c r="P466" s="85" t="s">
        <v>877</v>
      </c>
      <c r="Q466" s="88">
        <v>1100001</v>
      </c>
      <c r="R466" s="85">
        <v>0</v>
      </c>
      <c r="S466" s="85" t="s">
        <v>207</v>
      </c>
      <c r="T466" s="85">
        <v>1</v>
      </c>
      <c r="U466" s="85" t="s">
        <v>878</v>
      </c>
      <c r="V466" s="1" t="s">
        <v>786</v>
      </c>
      <c r="W466" s="85" t="s">
        <v>879</v>
      </c>
      <c r="X466" s="12">
        <v>15</v>
      </c>
      <c r="Y466" s="1" t="s">
        <v>1274</v>
      </c>
      <c r="Z466" s="1" t="s">
        <v>1275</v>
      </c>
      <c r="AA466" s="1" t="s">
        <v>1276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647</v>
      </c>
      <c r="AH466" s="75" t="s">
        <v>605</v>
      </c>
      <c r="AI466" s="74"/>
    </row>
    <row r="467" s="40" customFormat="1" spans="1:35">
      <c r="A467" s="12">
        <v>130927</v>
      </c>
      <c r="B467" s="12" t="s">
        <v>1277</v>
      </c>
      <c r="C467" s="12" t="s">
        <v>871</v>
      </c>
      <c r="D467" s="12" t="s">
        <v>872</v>
      </c>
      <c r="E467" s="12" t="s">
        <v>873</v>
      </c>
      <c r="F467" s="12" t="s">
        <v>874</v>
      </c>
      <c r="G467" s="85">
        <v>3</v>
      </c>
      <c r="H467" s="85">
        <v>4</v>
      </c>
      <c r="I467" s="85">
        <v>3</v>
      </c>
      <c r="J467" s="85">
        <v>27</v>
      </c>
      <c r="K467" s="85">
        <v>15819885</v>
      </c>
      <c r="L467" s="85">
        <v>600</v>
      </c>
      <c r="M467" s="85">
        <v>6177</v>
      </c>
      <c r="N467" s="85" t="s">
        <v>875</v>
      </c>
      <c r="O467" s="86" t="s">
        <v>876</v>
      </c>
      <c r="P467" s="85" t="s">
        <v>877</v>
      </c>
      <c r="Q467" s="88">
        <v>1100001</v>
      </c>
      <c r="R467" s="85">
        <v>0</v>
      </c>
      <c r="S467" s="85" t="s">
        <v>207</v>
      </c>
      <c r="T467" s="85">
        <v>1</v>
      </c>
      <c r="U467" s="85" t="s">
        <v>878</v>
      </c>
      <c r="V467" s="1" t="s">
        <v>786</v>
      </c>
      <c r="W467" s="85" t="s">
        <v>879</v>
      </c>
      <c r="X467" s="12">
        <v>15</v>
      </c>
      <c r="Y467" s="1" t="s">
        <v>1278</v>
      </c>
      <c r="Z467" s="1" t="s">
        <v>1279</v>
      </c>
      <c r="AA467" s="1" t="s">
        <v>1280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647</v>
      </c>
      <c r="AH467" s="75" t="s">
        <v>605</v>
      </c>
      <c r="AI467" s="74"/>
    </row>
    <row r="468" s="40" customFormat="1" spans="1:35">
      <c r="A468" s="12">
        <v>130928</v>
      </c>
      <c r="B468" s="12" t="s">
        <v>1281</v>
      </c>
      <c r="C468" s="12" t="s">
        <v>871</v>
      </c>
      <c r="D468" s="12" t="s">
        <v>872</v>
      </c>
      <c r="E468" s="12" t="s">
        <v>873</v>
      </c>
      <c r="F468" s="12" t="s">
        <v>874</v>
      </c>
      <c r="G468" s="85">
        <v>3</v>
      </c>
      <c r="H468" s="85">
        <v>4</v>
      </c>
      <c r="I468" s="85">
        <v>3</v>
      </c>
      <c r="J468" s="85">
        <v>28</v>
      </c>
      <c r="K468" s="85">
        <v>16276197</v>
      </c>
      <c r="L468" s="85">
        <v>600</v>
      </c>
      <c r="M468" s="85">
        <v>6178</v>
      </c>
      <c r="N468" s="85" t="s">
        <v>875</v>
      </c>
      <c r="O468" s="86" t="s">
        <v>876</v>
      </c>
      <c r="P468" s="85" t="s">
        <v>877</v>
      </c>
      <c r="Q468" s="88">
        <v>1100001</v>
      </c>
      <c r="R468" s="85">
        <v>0</v>
      </c>
      <c r="S468" s="85" t="s">
        <v>207</v>
      </c>
      <c r="T468" s="85">
        <v>1</v>
      </c>
      <c r="U468" s="85" t="s">
        <v>878</v>
      </c>
      <c r="V468" s="1" t="s">
        <v>786</v>
      </c>
      <c r="W468" s="85" t="s">
        <v>879</v>
      </c>
      <c r="X468" s="12">
        <v>15</v>
      </c>
      <c r="Y468" s="1" t="s">
        <v>1282</v>
      </c>
      <c r="Z468" s="1" t="s">
        <v>1283</v>
      </c>
      <c r="AA468" s="1" t="s">
        <v>1284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647</v>
      </c>
      <c r="AH468" s="75" t="s">
        <v>605</v>
      </c>
      <c r="AI468" s="74"/>
    </row>
    <row r="469" s="40" customFormat="1" spans="1:35">
      <c r="A469" s="12">
        <v>130929</v>
      </c>
      <c r="B469" s="12" t="s">
        <v>1285</v>
      </c>
      <c r="C469" s="12" t="s">
        <v>871</v>
      </c>
      <c r="D469" s="12" t="s">
        <v>872</v>
      </c>
      <c r="E469" s="12" t="s">
        <v>873</v>
      </c>
      <c r="F469" s="12" t="s">
        <v>874</v>
      </c>
      <c r="G469" s="85">
        <v>3</v>
      </c>
      <c r="H469" s="85">
        <v>4</v>
      </c>
      <c r="I469" s="85">
        <v>3</v>
      </c>
      <c r="J469" s="85">
        <v>29</v>
      </c>
      <c r="K469" s="85">
        <v>16732509</v>
      </c>
      <c r="L469" s="85">
        <v>600</v>
      </c>
      <c r="M469" s="85">
        <v>6179</v>
      </c>
      <c r="N469" s="85" t="s">
        <v>875</v>
      </c>
      <c r="O469" s="86" t="s">
        <v>876</v>
      </c>
      <c r="P469" s="85" t="s">
        <v>877</v>
      </c>
      <c r="Q469" s="88">
        <v>1100001</v>
      </c>
      <c r="R469" s="85">
        <v>0</v>
      </c>
      <c r="S469" s="85" t="s">
        <v>207</v>
      </c>
      <c r="T469" s="85">
        <v>1</v>
      </c>
      <c r="U469" s="85" t="s">
        <v>878</v>
      </c>
      <c r="V469" s="1" t="s">
        <v>786</v>
      </c>
      <c r="W469" s="85" t="s">
        <v>879</v>
      </c>
      <c r="X469" s="12">
        <v>15</v>
      </c>
      <c r="Y469" s="1" t="s">
        <v>1286</v>
      </c>
      <c r="Z469" s="1" t="s">
        <v>1287</v>
      </c>
      <c r="AA469" s="1" t="s">
        <v>1288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647</v>
      </c>
      <c r="AH469" s="75" t="s">
        <v>605</v>
      </c>
      <c r="AI469" s="74"/>
    </row>
    <row r="470" s="40" customFormat="1" spans="1:35">
      <c r="A470" s="12">
        <v>130930</v>
      </c>
      <c r="B470" s="12" t="s">
        <v>1289</v>
      </c>
      <c r="C470" s="12" t="s">
        <v>871</v>
      </c>
      <c r="D470" s="12" t="s">
        <v>872</v>
      </c>
      <c r="E470" s="12" t="s">
        <v>873</v>
      </c>
      <c r="F470" s="12" t="s">
        <v>874</v>
      </c>
      <c r="G470" s="85">
        <v>3</v>
      </c>
      <c r="H470" s="85">
        <v>4</v>
      </c>
      <c r="I470" s="85">
        <v>3</v>
      </c>
      <c r="J470" s="85">
        <v>30</v>
      </c>
      <c r="K470" s="85">
        <v>17188757</v>
      </c>
      <c r="L470" s="85">
        <v>600</v>
      </c>
      <c r="M470" s="85">
        <v>6180</v>
      </c>
      <c r="N470" s="85" t="s">
        <v>875</v>
      </c>
      <c r="O470" s="86" t="s">
        <v>876</v>
      </c>
      <c r="P470" s="85" t="s">
        <v>877</v>
      </c>
      <c r="Q470" s="88">
        <v>1100001</v>
      </c>
      <c r="R470" s="85">
        <v>0</v>
      </c>
      <c r="S470" s="85" t="s">
        <v>207</v>
      </c>
      <c r="T470" s="85">
        <v>1</v>
      </c>
      <c r="U470" s="85" t="s">
        <v>878</v>
      </c>
      <c r="V470" s="1" t="s">
        <v>786</v>
      </c>
      <c r="W470" s="85" t="s">
        <v>879</v>
      </c>
      <c r="X470" s="12">
        <v>15</v>
      </c>
      <c r="Y470" s="1" t="s">
        <v>1290</v>
      </c>
      <c r="Z470" s="1" t="s">
        <v>1291</v>
      </c>
      <c r="AA470" s="1" t="s">
        <v>1292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647</v>
      </c>
      <c r="AH470" s="75" t="s">
        <v>605</v>
      </c>
      <c r="AI470" s="74"/>
    </row>
    <row r="471" s="40" customFormat="1" spans="1:35">
      <c r="A471" s="12">
        <v>131001</v>
      </c>
      <c r="B471" s="12" t="s">
        <v>1293</v>
      </c>
      <c r="C471" s="12" t="s">
        <v>871</v>
      </c>
      <c r="D471" s="12" t="s">
        <v>872</v>
      </c>
      <c r="E471" s="12" t="s">
        <v>873</v>
      </c>
      <c r="F471" s="12" t="s">
        <v>874</v>
      </c>
      <c r="G471" s="85">
        <v>3</v>
      </c>
      <c r="H471" s="85">
        <v>4</v>
      </c>
      <c r="I471" s="85">
        <v>3</v>
      </c>
      <c r="J471" s="85">
        <v>1</v>
      </c>
      <c r="K471" s="85">
        <v>3422464</v>
      </c>
      <c r="L471" s="85">
        <v>600</v>
      </c>
      <c r="M471" s="85">
        <v>6181</v>
      </c>
      <c r="N471" s="85" t="s">
        <v>875</v>
      </c>
      <c r="O471" s="86" t="s">
        <v>876</v>
      </c>
      <c r="P471" s="85" t="s">
        <v>877</v>
      </c>
      <c r="Q471" s="88">
        <v>1100001</v>
      </c>
      <c r="R471" s="85">
        <v>0</v>
      </c>
      <c r="S471" s="85" t="s">
        <v>207</v>
      </c>
      <c r="T471" s="85">
        <v>1</v>
      </c>
      <c r="U471" s="85" t="s">
        <v>878</v>
      </c>
      <c r="V471" s="1" t="s">
        <v>786</v>
      </c>
      <c r="W471" s="85" t="s">
        <v>879</v>
      </c>
      <c r="X471" s="12">
        <v>15</v>
      </c>
      <c r="Y471" s="1" t="s">
        <v>1078</v>
      </c>
      <c r="Z471" s="1" t="s">
        <v>1079</v>
      </c>
      <c r="AA471" s="1" t="s">
        <v>1080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647</v>
      </c>
      <c r="AH471" s="75" t="s">
        <v>605</v>
      </c>
      <c r="AI471" s="74"/>
    </row>
    <row r="472" s="40" customFormat="1" spans="1:35">
      <c r="A472" s="12">
        <v>131002</v>
      </c>
      <c r="B472" s="12" t="s">
        <v>1294</v>
      </c>
      <c r="C472" s="12" t="s">
        <v>871</v>
      </c>
      <c r="D472" s="12" t="s">
        <v>872</v>
      </c>
      <c r="E472" s="12" t="s">
        <v>873</v>
      </c>
      <c r="F472" s="12" t="s">
        <v>874</v>
      </c>
      <c r="G472" s="85">
        <v>3</v>
      </c>
      <c r="H472" s="85">
        <v>4</v>
      </c>
      <c r="I472" s="85">
        <v>3</v>
      </c>
      <c r="J472" s="85">
        <v>2</v>
      </c>
      <c r="K472" s="85">
        <v>4675094</v>
      </c>
      <c r="L472" s="85">
        <v>600</v>
      </c>
      <c r="M472" s="85">
        <v>6182</v>
      </c>
      <c r="N472" s="85" t="s">
        <v>875</v>
      </c>
      <c r="O472" s="86" t="s">
        <v>876</v>
      </c>
      <c r="P472" s="85" t="s">
        <v>877</v>
      </c>
      <c r="Q472" s="88">
        <v>1100001</v>
      </c>
      <c r="R472" s="85">
        <v>0</v>
      </c>
      <c r="S472" s="85" t="s">
        <v>207</v>
      </c>
      <c r="T472" s="85">
        <v>1</v>
      </c>
      <c r="U472" s="85" t="s">
        <v>878</v>
      </c>
      <c r="V472" s="1" t="s">
        <v>786</v>
      </c>
      <c r="W472" s="85" t="s">
        <v>879</v>
      </c>
      <c r="X472" s="12">
        <v>15</v>
      </c>
      <c r="Y472" s="1" t="s">
        <v>1098</v>
      </c>
      <c r="Z472" s="1" t="s">
        <v>1099</v>
      </c>
      <c r="AA472" s="1" t="s">
        <v>1100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647</v>
      </c>
      <c r="AH472" s="75" t="s">
        <v>605</v>
      </c>
      <c r="AI472" s="74"/>
    </row>
    <row r="473" s="40" customFormat="1" spans="1:35">
      <c r="A473" s="12">
        <v>131003</v>
      </c>
      <c r="B473" s="12" t="s">
        <v>1295</v>
      </c>
      <c r="C473" s="12" t="s">
        <v>871</v>
      </c>
      <c r="D473" s="12" t="s">
        <v>872</v>
      </c>
      <c r="E473" s="12" t="s">
        <v>873</v>
      </c>
      <c r="F473" s="12" t="s">
        <v>874</v>
      </c>
      <c r="G473" s="85">
        <v>3</v>
      </c>
      <c r="H473" s="85">
        <v>4</v>
      </c>
      <c r="I473" s="85">
        <v>3</v>
      </c>
      <c r="J473" s="85">
        <v>3</v>
      </c>
      <c r="K473" s="85">
        <v>6058612</v>
      </c>
      <c r="L473" s="85">
        <v>600</v>
      </c>
      <c r="M473" s="85">
        <v>6183</v>
      </c>
      <c r="N473" s="85" t="s">
        <v>875</v>
      </c>
      <c r="O473" s="86" t="s">
        <v>876</v>
      </c>
      <c r="P473" s="85" t="s">
        <v>877</v>
      </c>
      <c r="Q473" s="88">
        <v>1100001</v>
      </c>
      <c r="R473" s="85">
        <v>0</v>
      </c>
      <c r="S473" s="85" t="s">
        <v>207</v>
      </c>
      <c r="T473" s="85">
        <v>1</v>
      </c>
      <c r="U473" s="85" t="s">
        <v>878</v>
      </c>
      <c r="V473" s="1" t="s">
        <v>786</v>
      </c>
      <c r="W473" s="85" t="s">
        <v>879</v>
      </c>
      <c r="X473" s="12">
        <v>15</v>
      </c>
      <c r="Y473" s="1" t="s">
        <v>1139</v>
      </c>
      <c r="Z473" s="1" t="s">
        <v>1140</v>
      </c>
      <c r="AA473" s="1" t="s">
        <v>1141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647</v>
      </c>
      <c r="AH473" s="75" t="s">
        <v>605</v>
      </c>
      <c r="AI473" s="74"/>
    </row>
    <row r="474" s="40" customFormat="1" spans="1:35">
      <c r="A474" s="12">
        <v>131004</v>
      </c>
      <c r="B474" s="12" t="s">
        <v>1296</v>
      </c>
      <c r="C474" s="12" t="s">
        <v>871</v>
      </c>
      <c r="D474" s="12" t="s">
        <v>872</v>
      </c>
      <c r="E474" s="12" t="s">
        <v>873</v>
      </c>
      <c r="F474" s="12" t="s">
        <v>874</v>
      </c>
      <c r="G474" s="85">
        <v>3</v>
      </c>
      <c r="H474" s="85">
        <v>4</v>
      </c>
      <c r="I474" s="85">
        <v>3</v>
      </c>
      <c r="J474" s="85">
        <v>4</v>
      </c>
      <c r="K474" s="85">
        <v>7636952</v>
      </c>
      <c r="L474" s="85">
        <v>600</v>
      </c>
      <c r="M474" s="85">
        <v>6184</v>
      </c>
      <c r="N474" s="85" t="s">
        <v>875</v>
      </c>
      <c r="O474" s="86" t="s">
        <v>876</v>
      </c>
      <c r="P474" s="85" t="s">
        <v>877</v>
      </c>
      <c r="Q474" s="88">
        <v>1100001</v>
      </c>
      <c r="R474" s="85">
        <v>0</v>
      </c>
      <c r="S474" s="85" t="s">
        <v>207</v>
      </c>
      <c r="T474" s="85">
        <v>1</v>
      </c>
      <c r="U474" s="85" t="s">
        <v>878</v>
      </c>
      <c r="V474" s="1" t="s">
        <v>786</v>
      </c>
      <c r="W474" s="85" t="s">
        <v>879</v>
      </c>
      <c r="X474" s="12">
        <v>15</v>
      </c>
      <c r="Y474" s="1" t="s">
        <v>1159</v>
      </c>
      <c r="Z474" s="1" t="s">
        <v>1160</v>
      </c>
      <c r="AA474" s="1" t="s">
        <v>1161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647</v>
      </c>
      <c r="AH474" s="75" t="s">
        <v>605</v>
      </c>
      <c r="AI474" s="74"/>
    </row>
    <row r="475" s="40" customFormat="1" spans="1:35">
      <c r="A475" s="12">
        <v>131005</v>
      </c>
      <c r="B475" s="12" t="s">
        <v>1297</v>
      </c>
      <c r="C475" s="12" t="s">
        <v>871</v>
      </c>
      <c r="D475" s="12" t="s">
        <v>872</v>
      </c>
      <c r="E475" s="12" t="s">
        <v>873</v>
      </c>
      <c r="F475" s="12" t="s">
        <v>874</v>
      </c>
      <c r="G475" s="85">
        <v>3</v>
      </c>
      <c r="H475" s="85">
        <v>4</v>
      </c>
      <c r="I475" s="85">
        <v>3</v>
      </c>
      <c r="J475" s="85">
        <v>5</v>
      </c>
      <c r="K475" s="85">
        <v>9416136</v>
      </c>
      <c r="L475" s="85">
        <v>600</v>
      </c>
      <c r="M475" s="85">
        <v>6185</v>
      </c>
      <c r="N475" s="85" t="s">
        <v>875</v>
      </c>
      <c r="O475" s="86" t="s">
        <v>876</v>
      </c>
      <c r="P475" s="85" t="s">
        <v>877</v>
      </c>
      <c r="Q475" s="88">
        <v>1100001</v>
      </c>
      <c r="R475" s="85">
        <v>0</v>
      </c>
      <c r="S475" s="85" t="s">
        <v>207</v>
      </c>
      <c r="T475" s="85">
        <v>1</v>
      </c>
      <c r="U475" s="85" t="s">
        <v>878</v>
      </c>
      <c r="V475" s="1" t="s">
        <v>786</v>
      </c>
      <c r="W475" s="85" t="s">
        <v>879</v>
      </c>
      <c r="X475" s="12">
        <v>15</v>
      </c>
      <c r="Y475" s="1" t="s">
        <v>1200</v>
      </c>
      <c r="Z475" s="1" t="s">
        <v>1201</v>
      </c>
      <c r="AA475" s="1" t="s">
        <v>1202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647</v>
      </c>
      <c r="AH475" s="75" t="s">
        <v>605</v>
      </c>
      <c r="AI475" s="74"/>
    </row>
    <row r="476" s="40" customFormat="1" spans="1:35">
      <c r="A476" s="12">
        <v>131006</v>
      </c>
      <c r="B476" s="12" t="s">
        <v>1298</v>
      </c>
      <c r="C476" s="12" t="s">
        <v>871</v>
      </c>
      <c r="D476" s="12" t="s">
        <v>872</v>
      </c>
      <c r="E476" s="12" t="s">
        <v>873</v>
      </c>
      <c r="F476" s="12" t="s">
        <v>874</v>
      </c>
      <c r="G476" s="85">
        <v>3</v>
      </c>
      <c r="H476" s="85">
        <v>4</v>
      </c>
      <c r="I476" s="85">
        <v>3</v>
      </c>
      <c r="J476" s="85">
        <v>6</v>
      </c>
      <c r="K476" s="85">
        <v>10564386</v>
      </c>
      <c r="L476" s="85">
        <v>600</v>
      </c>
      <c r="M476" s="85">
        <v>6186</v>
      </c>
      <c r="N476" s="85" t="s">
        <v>875</v>
      </c>
      <c r="O476" s="86" t="s">
        <v>876</v>
      </c>
      <c r="P476" s="85" t="s">
        <v>877</v>
      </c>
      <c r="Q476" s="88">
        <v>1100001</v>
      </c>
      <c r="R476" s="85">
        <v>0</v>
      </c>
      <c r="S476" s="85" t="s">
        <v>207</v>
      </c>
      <c r="T476" s="85">
        <v>1</v>
      </c>
      <c r="U476" s="85" t="s">
        <v>878</v>
      </c>
      <c r="V476" s="1" t="s">
        <v>786</v>
      </c>
      <c r="W476" s="85" t="s">
        <v>879</v>
      </c>
      <c r="X476" s="12">
        <v>15</v>
      </c>
      <c r="Y476" s="1" t="s">
        <v>1212</v>
      </c>
      <c r="Z476" s="1" t="s">
        <v>1213</v>
      </c>
      <c r="AA476" s="1" t="s">
        <v>1214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647</v>
      </c>
      <c r="AH476" s="75" t="s">
        <v>605</v>
      </c>
      <c r="AI476" s="74"/>
    </row>
    <row r="477" s="40" customFormat="1" spans="1:35">
      <c r="A477" s="12">
        <v>131007</v>
      </c>
      <c r="B477" s="12" t="s">
        <v>1299</v>
      </c>
      <c r="C477" s="12" t="s">
        <v>871</v>
      </c>
      <c r="D477" s="12" t="s">
        <v>872</v>
      </c>
      <c r="E477" s="12" t="s">
        <v>873</v>
      </c>
      <c r="F477" s="12" t="s">
        <v>874</v>
      </c>
      <c r="G477" s="85">
        <v>3</v>
      </c>
      <c r="H477" s="85">
        <v>4</v>
      </c>
      <c r="I477" s="85">
        <v>3</v>
      </c>
      <c r="J477" s="85">
        <v>7</v>
      </c>
      <c r="K477" s="85">
        <v>11713077</v>
      </c>
      <c r="L477" s="85">
        <v>600</v>
      </c>
      <c r="M477" s="85">
        <v>6187</v>
      </c>
      <c r="N477" s="85" t="s">
        <v>875</v>
      </c>
      <c r="O477" s="86" t="s">
        <v>876</v>
      </c>
      <c r="P477" s="85" t="s">
        <v>877</v>
      </c>
      <c r="Q477" s="88">
        <v>1100001</v>
      </c>
      <c r="R477" s="85">
        <v>0</v>
      </c>
      <c r="S477" s="85" t="s">
        <v>207</v>
      </c>
      <c r="T477" s="85">
        <v>1</v>
      </c>
      <c r="U477" s="85" t="s">
        <v>878</v>
      </c>
      <c r="V477" s="1" t="s">
        <v>786</v>
      </c>
      <c r="W477" s="85" t="s">
        <v>879</v>
      </c>
      <c r="X477" s="12">
        <v>15</v>
      </c>
      <c r="Y477" s="1" t="s">
        <v>1224</v>
      </c>
      <c r="Z477" s="1" t="s">
        <v>1225</v>
      </c>
      <c r="AA477" s="1" t="s">
        <v>1226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647</v>
      </c>
      <c r="AH477" s="75" t="s">
        <v>605</v>
      </c>
      <c r="AI477" s="74"/>
    </row>
    <row r="478" s="40" customFormat="1" spans="1:35">
      <c r="A478" s="12">
        <v>131008</v>
      </c>
      <c r="B478" s="12" t="s">
        <v>1300</v>
      </c>
      <c r="C478" s="12" t="s">
        <v>871</v>
      </c>
      <c r="D478" s="12" t="s">
        <v>872</v>
      </c>
      <c r="E478" s="12" t="s">
        <v>873</v>
      </c>
      <c r="F478" s="12" t="s">
        <v>874</v>
      </c>
      <c r="G478" s="85">
        <v>3</v>
      </c>
      <c r="H478" s="85">
        <v>4</v>
      </c>
      <c r="I478" s="85">
        <v>3</v>
      </c>
      <c r="J478" s="85">
        <v>8</v>
      </c>
      <c r="K478" s="85">
        <v>13082013</v>
      </c>
      <c r="L478" s="85">
        <v>600</v>
      </c>
      <c r="M478" s="85">
        <v>6188</v>
      </c>
      <c r="N478" s="85" t="s">
        <v>875</v>
      </c>
      <c r="O478" s="86" t="s">
        <v>876</v>
      </c>
      <c r="P478" s="85" t="s">
        <v>877</v>
      </c>
      <c r="Q478" s="88">
        <v>1100001</v>
      </c>
      <c r="R478" s="85">
        <v>0</v>
      </c>
      <c r="S478" s="85" t="s">
        <v>207</v>
      </c>
      <c r="T478" s="85">
        <v>1</v>
      </c>
      <c r="U478" s="85" t="s">
        <v>878</v>
      </c>
      <c r="V478" s="1" t="s">
        <v>786</v>
      </c>
      <c r="W478" s="85" t="s">
        <v>879</v>
      </c>
      <c r="X478" s="12">
        <v>15</v>
      </c>
      <c r="Y478" s="1" t="s">
        <v>1254</v>
      </c>
      <c r="Z478" s="1" t="s">
        <v>1255</v>
      </c>
      <c r="AA478" s="1" t="s">
        <v>1256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647</v>
      </c>
      <c r="AH478" s="75" t="s">
        <v>605</v>
      </c>
      <c r="AI478" s="74"/>
    </row>
    <row r="479" s="40" customFormat="1" spans="1:35">
      <c r="A479" s="12">
        <v>131009</v>
      </c>
      <c r="B479" s="12" t="s">
        <v>1301</v>
      </c>
      <c r="C479" s="12" t="s">
        <v>871</v>
      </c>
      <c r="D479" s="12" t="s">
        <v>872</v>
      </c>
      <c r="E479" s="12" t="s">
        <v>873</v>
      </c>
      <c r="F479" s="12" t="s">
        <v>874</v>
      </c>
      <c r="G479" s="85">
        <v>3</v>
      </c>
      <c r="H479" s="85">
        <v>4</v>
      </c>
      <c r="I479" s="85">
        <v>3</v>
      </c>
      <c r="J479" s="85">
        <v>9</v>
      </c>
      <c r="K479" s="85">
        <v>14450949</v>
      </c>
      <c r="L479" s="85">
        <v>600</v>
      </c>
      <c r="M479" s="85">
        <v>6189</v>
      </c>
      <c r="N479" s="85" t="s">
        <v>875</v>
      </c>
      <c r="O479" s="86" t="s">
        <v>876</v>
      </c>
      <c r="P479" s="85" t="s">
        <v>877</v>
      </c>
      <c r="Q479" s="88">
        <v>1100001</v>
      </c>
      <c r="R479" s="85">
        <v>0</v>
      </c>
      <c r="S479" s="85" t="s">
        <v>207</v>
      </c>
      <c r="T479" s="85">
        <v>1</v>
      </c>
      <c r="U479" s="85" t="s">
        <v>878</v>
      </c>
      <c r="V479" s="1" t="s">
        <v>786</v>
      </c>
      <c r="W479" s="85" t="s">
        <v>879</v>
      </c>
      <c r="X479" s="12">
        <v>15</v>
      </c>
      <c r="Y479" s="1" t="s">
        <v>1266</v>
      </c>
      <c r="Z479" s="1" t="s">
        <v>1267</v>
      </c>
      <c r="AA479" s="1" t="s">
        <v>1268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647</v>
      </c>
      <c r="AH479" s="75" t="s">
        <v>605</v>
      </c>
      <c r="AI479" s="74"/>
    </row>
    <row r="480" s="40" customFormat="1" spans="1:35">
      <c r="A480" s="12">
        <v>131010</v>
      </c>
      <c r="B480" s="12" t="s">
        <v>1302</v>
      </c>
      <c r="C480" s="12" t="s">
        <v>871</v>
      </c>
      <c r="D480" s="12" t="s">
        <v>872</v>
      </c>
      <c r="E480" s="12" t="s">
        <v>873</v>
      </c>
      <c r="F480" s="12" t="s">
        <v>874</v>
      </c>
      <c r="G480" s="85">
        <v>3</v>
      </c>
      <c r="H480" s="85">
        <v>4</v>
      </c>
      <c r="I480" s="85">
        <v>3</v>
      </c>
      <c r="J480" s="85">
        <v>10</v>
      </c>
      <c r="K480" s="85">
        <v>14907261</v>
      </c>
      <c r="L480" s="85">
        <v>600</v>
      </c>
      <c r="M480" s="85">
        <v>6190</v>
      </c>
      <c r="N480" s="85" t="s">
        <v>875</v>
      </c>
      <c r="O480" s="86" t="s">
        <v>876</v>
      </c>
      <c r="P480" s="85" t="s">
        <v>877</v>
      </c>
      <c r="Q480" s="88">
        <v>1100001</v>
      </c>
      <c r="R480" s="85">
        <v>0</v>
      </c>
      <c r="S480" s="85" t="s">
        <v>207</v>
      </c>
      <c r="T480" s="85">
        <v>1</v>
      </c>
      <c r="U480" s="85" t="s">
        <v>878</v>
      </c>
      <c r="V480" s="1" t="s">
        <v>786</v>
      </c>
      <c r="W480" s="85" t="s">
        <v>879</v>
      </c>
      <c r="X480" s="12">
        <v>15</v>
      </c>
      <c r="Y480" s="1" t="s">
        <v>1270</v>
      </c>
      <c r="Z480" s="1" t="s">
        <v>1271</v>
      </c>
      <c r="AA480" s="1" t="s">
        <v>1272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647</v>
      </c>
      <c r="AH480" s="75" t="s">
        <v>605</v>
      </c>
      <c r="AI480" s="74"/>
    </row>
    <row r="481" s="40" customFormat="1" spans="1:35">
      <c r="A481" s="12">
        <v>131011</v>
      </c>
      <c r="B481" s="12" t="s">
        <v>1303</v>
      </c>
      <c r="C481" s="12" t="s">
        <v>871</v>
      </c>
      <c r="D481" s="12" t="s">
        <v>872</v>
      </c>
      <c r="E481" s="12" t="s">
        <v>873</v>
      </c>
      <c r="F481" s="12" t="s">
        <v>874</v>
      </c>
      <c r="G481" s="85">
        <v>3</v>
      </c>
      <c r="H481" s="85">
        <v>4</v>
      </c>
      <c r="I481" s="85">
        <v>3</v>
      </c>
      <c r="J481" s="85">
        <v>11</v>
      </c>
      <c r="K481" s="85">
        <v>15363573</v>
      </c>
      <c r="L481" s="85">
        <v>600</v>
      </c>
      <c r="M481" s="85">
        <v>6191</v>
      </c>
      <c r="N481" s="85" t="s">
        <v>875</v>
      </c>
      <c r="O481" s="86" t="s">
        <v>876</v>
      </c>
      <c r="P481" s="85" t="s">
        <v>877</v>
      </c>
      <c r="Q481" s="88">
        <v>1100001</v>
      </c>
      <c r="R481" s="85">
        <v>0</v>
      </c>
      <c r="S481" s="85" t="s">
        <v>207</v>
      </c>
      <c r="T481" s="85">
        <v>1</v>
      </c>
      <c r="U481" s="85" t="s">
        <v>878</v>
      </c>
      <c r="V481" s="1" t="s">
        <v>786</v>
      </c>
      <c r="W481" s="85" t="s">
        <v>879</v>
      </c>
      <c r="X481" s="12">
        <v>15</v>
      </c>
      <c r="Y481" s="1" t="s">
        <v>1274</v>
      </c>
      <c r="Z481" s="1" t="s">
        <v>1275</v>
      </c>
      <c r="AA481" s="1" t="s">
        <v>1276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647</v>
      </c>
      <c r="AH481" s="75" t="s">
        <v>605</v>
      </c>
      <c r="AI481" s="74"/>
    </row>
    <row r="482" s="40" customFormat="1" spans="1:35">
      <c r="A482" s="12">
        <v>131012</v>
      </c>
      <c r="B482" s="12" t="s">
        <v>1304</v>
      </c>
      <c r="C482" s="12" t="s">
        <v>871</v>
      </c>
      <c r="D482" s="12" t="s">
        <v>872</v>
      </c>
      <c r="E482" s="12" t="s">
        <v>873</v>
      </c>
      <c r="F482" s="12" t="s">
        <v>874</v>
      </c>
      <c r="G482" s="85">
        <v>3</v>
      </c>
      <c r="H482" s="85">
        <v>4</v>
      </c>
      <c r="I482" s="85">
        <v>3</v>
      </c>
      <c r="J482" s="85">
        <v>12</v>
      </c>
      <c r="K482" s="85">
        <v>15819885</v>
      </c>
      <c r="L482" s="85">
        <v>600</v>
      </c>
      <c r="M482" s="85">
        <v>6192</v>
      </c>
      <c r="N482" s="85" t="s">
        <v>875</v>
      </c>
      <c r="O482" s="86" t="s">
        <v>876</v>
      </c>
      <c r="P482" s="85" t="s">
        <v>877</v>
      </c>
      <c r="Q482" s="88">
        <v>1100001</v>
      </c>
      <c r="R482" s="85">
        <v>0</v>
      </c>
      <c r="S482" s="85" t="s">
        <v>207</v>
      </c>
      <c r="T482" s="85">
        <v>1</v>
      </c>
      <c r="U482" s="85" t="s">
        <v>878</v>
      </c>
      <c r="V482" s="1" t="s">
        <v>786</v>
      </c>
      <c r="W482" s="85" t="s">
        <v>879</v>
      </c>
      <c r="X482" s="12">
        <v>15</v>
      </c>
      <c r="Y482" s="1" t="s">
        <v>1278</v>
      </c>
      <c r="Z482" s="1" t="s">
        <v>1279</v>
      </c>
      <c r="AA482" s="1" t="s">
        <v>1280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647</v>
      </c>
      <c r="AH482" s="75" t="s">
        <v>605</v>
      </c>
      <c r="AI482" s="74"/>
    </row>
    <row r="483" s="40" customFormat="1" spans="1:35">
      <c r="A483" s="12">
        <v>131013</v>
      </c>
      <c r="B483" s="12" t="s">
        <v>1305</v>
      </c>
      <c r="C483" s="12" t="s">
        <v>871</v>
      </c>
      <c r="D483" s="12" t="s">
        <v>872</v>
      </c>
      <c r="E483" s="12" t="s">
        <v>873</v>
      </c>
      <c r="F483" s="12" t="s">
        <v>874</v>
      </c>
      <c r="G483" s="85">
        <v>3</v>
      </c>
      <c r="H483" s="85">
        <v>4</v>
      </c>
      <c r="I483" s="85">
        <v>3</v>
      </c>
      <c r="J483" s="85">
        <v>13</v>
      </c>
      <c r="K483" s="85">
        <v>16276197</v>
      </c>
      <c r="L483" s="85">
        <v>600</v>
      </c>
      <c r="M483" s="85">
        <v>6193</v>
      </c>
      <c r="N483" s="85" t="s">
        <v>875</v>
      </c>
      <c r="O483" s="86" t="s">
        <v>876</v>
      </c>
      <c r="P483" s="85" t="s">
        <v>877</v>
      </c>
      <c r="Q483" s="88">
        <v>1100001</v>
      </c>
      <c r="R483" s="85">
        <v>0</v>
      </c>
      <c r="S483" s="85" t="s">
        <v>207</v>
      </c>
      <c r="T483" s="85">
        <v>1</v>
      </c>
      <c r="U483" s="85" t="s">
        <v>878</v>
      </c>
      <c r="V483" s="1" t="s">
        <v>786</v>
      </c>
      <c r="W483" s="85" t="s">
        <v>879</v>
      </c>
      <c r="X483" s="12">
        <v>15</v>
      </c>
      <c r="Y483" s="1" t="s">
        <v>1282</v>
      </c>
      <c r="Z483" s="1" t="s">
        <v>1283</v>
      </c>
      <c r="AA483" s="1" t="s">
        <v>1284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647</v>
      </c>
      <c r="AH483" s="75" t="s">
        <v>605</v>
      </c>
      <c r="AI483" s="74"/>
    </row>
    <row r="484" s="40" customFormat="1" spans="1:35">
      <c r="A484" s="12">
        <v>131014</v>
      </c>
      <c r="B484" s="12" t="s">
        <v>1306</v>
      </c>
      <c r="C484" s="12" t="s">
        <v>871</v>
      </c>
      <c r="D484" s="12" t="s">
        <v>872</v>
      </c>
      <c r="E484" s="12" t="s">
        <v>873</v>
      </c>
      <c r="F484" s="12" t="s">
        <v>874</v>
      </c>
      <c r="G484" s="85">
        <v>3</v>
      </c>
      <c r="H484" s="85">
        <v>4</v>
      </c>
      <c r="I484" s="85">
        <v>3</v>
      </c>
      <c r="J484" s="85">
        <v>14</v>
      </c>
      <c r="K484" s="85">
        <v>16732509</v>
      </c>
      <c r="L484" s="85">
        <v>600</v>
      </c>
      <c r="M484" s="85">
        <v>6194</v>
      </c>
      <c r="N484" s="85" t="s">
        <v>875</v>
      </c>
      <c r="O484" s="86" t="s">
        <v>876</v>
      </c>
      <c r="P484" s="85" t="s">
        <v>877</v>
      </c>
      <c r="Q484" s="88">
        <v>1100001</v>
      </c>
      <c r="R484" s="85">
        <v>0</v>
      </c>
      <c r="S484" s="85" t="s">
        <v>207</v>
      </c>
      <c r="T484" s="85">
        <v>1</v>
      </c>
      <c r="U484" s="85" t="s">
        <v>878</v>
      </c>
      <c r="V484" s="1" t="s">
        <v>786</v>
      </c>
      <c r="W484" s="85" t="s">
        <v>879</v>
      </c>
      <c r="X484" s="12">
        <v>15</v>
      </c>
      <c r="Y484" s="1" t="s">
        <v>1286</v>
      </c>
      <c r="Z484" s="1" t="s">
        <v>1287</v>
      </c>
      <c r="AA484" s="1" t="s">
        <v>1288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647</v>
      </c>
      <c r="AH484" s="75" t="s">
        <v>605</v>
      </c>
      <c r="AI484" s="74"/>
    </row>
    <row r="485" s="40" customFormat="1" spans="1:35">
      <c r="A485" s="12">
        <v>131015</v>
      </c>
      <c r="B485" s="12" t="s">
        <v>1307</v>
      </c>
      <c r="C485" s="12" t="s">
        <v>871</v>
      </c>
      <c r="D485" s="12" t="s">
        <v>872</v>
      </c>
      <c r="E485" s="12" t="s">
        <v>873</v>
      </c>
      <c r="F485" s="12" t="s">
        <v>874</v>
      </c>
      <c r="G485" s="85">
        <v>3</v>
      </c>
      <c r="H485" s="85">
        <v>4</v>
      </c>
      <c r="I485" s="85">
        <v>3</v>
      </c>
      <c r="J485" s="85">
        <v>15</v>
      </c>
      <c r="K485" s="85">
        <v>17188757</v>
      </c>
      <c r="L485" s="85">
        <v>600</v>
      </c>
      <c r="M485" s="85">
        <v>6195</v>
      </c>
      <c r="N485" s="85" t="s">
        <v>875</v>
      </c>
      <c r="O485" s="86" t="s">
        <v>876</v>
      </c>
      <c r="P485" s="85" t="s">
        <v>877</v>
      </c>
      <c r="Q485" s="88">
        <v>1100001</v>
      </c>
      <c r="R485" s="85">
        <v>0</v>
      </c>
      <c r="S485" s="85" t="s">
        <v>207</v>
      </c>
      <c r="T485" s="85">
        <v>1</v>
      </c>
      <c r="U485" s="85" t="s">
        <v>878</v>
      </c>
      <c r="V485" s="1" t="s">
        <v>786</v>
      </c>
      <c r="W485" s="85" t="s">
        <v>879</v>
      </c>
      <c r="X485" s="12">
        <v>15</v>
      </c>
      <c r="Y485" s="1" t="s">
        <v>1290</v>
      </c>
      <c r="Z485" s="1" t="s">
        <v>1291</v>
      </c>
      <c r="AA485" s="1" t="s">
        <v>1292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647</v>
      </c>
      <c r="AH485" s="75" t="s">
        <v>605</v>
      </c>
      <c r="AI485" s="74"/>
    </row>
    <row r="486" s="40" customFormat="1" spans="1:35">
      <c r="A486" s="12">
        <v>131016</v>
      </c>
      <c r="B486" s="12" t="s">
        <v>1308</v>
      </c>
      <c r="C486" s="12" t="s">
        <v>871</v>
      </c>
      <c r="D486" s="12" t="s">
        <v>872</v>
      </c>
      <c r="E486" s="12" t="s">
        <v>873</v>
      </c>
      <c r="F486" s="12" t="s">
        <v>874</v>
      </c>
      <c r="G486" s="85">
        <v>3</v>
      </c>
      <c r="H486" s="85">
        <v>4</v>
      </c>
      <c r="I486" s="85">
        <v>3</v>
      </c>
      <c r="J486" s="85">
        <v>16</v>
      </c>
      <c r="K486" s="85">
        <v>17707320</v>
      </c>
      <c r="L486" s="85">
        <v>600</v>
      </c>
      <c r="M486" s="85">
        <v>6196</v>
      </c>
      <c r="N486" s="85" t="s">
        <v>875</v>
      </c>
      <c r="O486" s="86" t="s">
        <v>876</v>
      </c>
      <c r="P486" s="85" t="s">
        <v>877</v>
      </c>
      <c r="Q486" s="88">
        <v>1100001</v>
      </c>
      <c r="R486" s="85">
        <v>0</v>
      </c>
      <c r="S486" s="85" t="s">
        <v>207</v>
      </c>
      <c r="T486" s="85">
        <v>1</v>
      </c>
      <c r="U486" s="85" t="s">
        <v>878</v>
      </c>
      <c r="V486" s="1" t="s">
        <v>786</v>
      </c>
      <c r="W486" s="85" t="s">
        <v>879</v>
      </c>
      <c r="X486" s="12">
        <v>15</v>
      </c>
      <c r="Y486" s="1" t="s">
        <v>1309</v>
      </c>
      <c r="Z486" s="1" t="s">
        <v>1310</v>
      </c>
      <c r="AA486" s="1" t="s">
        <v>1311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647</v>
      </c>
      <c r="AH486" s="75" t="s">
        <v>605</v>
      </c>
      <c r="AI486" s="74"/>
    </row>
    <row r="487" s="40" customFormat="1" spans="1:35">
      <c r="A487" s="12">
        <v>131017</v>
      </c>
      <c r="B487" s="12" t="s">
        <v>1312</v>
      </c>
      <c r="C487" s="12" t="s">
        <v>871</v>
      </c>
      <c r="D487" s="12" t="s">
        <v>872</v>
      </c>
      <c r="E487" s="12" t="s">
        <v>873</v>
      </c>
      <c r="F487" s="12" t="s">
        <v>874</v>
      </c>
      <c r="G487" s="85">
        <v>3</v>
      </c>
      <c r="H487" s="85">
        <v>4</v>
      </c>
      <c r="I487" s="85">
        <v>3</v>
      </c>
      <c r="J487" s="85">
        <v>17</v>
      </c>
      <c r="K487" s="85">
        <v>18225883</v>
      </c>
      <c r="L487" s="85">
        <v>600</v>
      </c>
      <c r="M487" s="85">
        <v>6197</v>
      </c>
      <c r="N487" s="85" t="s">
        <v>875</v>
      </c>
      <c r="O487" s="86" t="s">
        <v>876</v>
      </c>
      <c r="P487" s="85" t="s">
        <v>877</v>
      </c>
      <c r="Q487" s="88">
        <v>1100001</v>
      </c>
      <c r="R487" s="85">
        <v>0</v>
      </c>
      <c r="S487" s="85" t="s">
        <v>207</v>
      </c>
      <c r="T487" s="85">
        <v>1</v>
      </c>
      <c r="U487" s="85" t="s">
        <v>878</v>
      </c>
      <c r="V487" s="1" t="s">
        <v>786</v>
      </c>
      <c r="W487" s="85" t="s">
        <v>879</v>
      </c>
      <c r="X487" s="12">
        <v>15</v>
      </c>
      <c r="Y487" s="1" t="s">
        <v>1313</v>
      </c>
      <c r="Z487" s="1" t="s">
        <v>1314</v>
      </c>
      <c r="AA487" s="1" t="s">
        <v>1315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647</v>
      </c>
      <c r="AH487" s="75" t="s">
        <v>605</v>
      </c>
      <c r="AI487" s="74"/>
    </row>
    <row r="488" s="40" customFormat="1" spans="1:35">
      <c r="A488" s="12">
        <v>131018</v>
      </c>
      <c r="B488" s="12" t="s">
        <v>1316</v>
      </c>
      <c r="C488" s="12" t="s">
        <v>871</v>
      </c>
      <c r="D488" s="12" t="s">
        <v>872</v>
      </c>
      <c r="E488" s="12" t="s">
        <v>873</v>
      </c>
      <c r="F488" s="12" t="s">
        <v>874</v>
      </c>
      <c r="G488" s="85">
        <v>3</v>
      </c>
      <c r="H488" s="85">
        <v>4</v>
      </c>
      <c r="I488" s="85">
        <v>3</v>
      </c>
      <c r="J488" s="85">
        <v>18</v>
      </c>
      <c r="K488" s="85">
        <v>18744446</v>
      </c>
      <c r="L488" s="85">
        <v>600</v>
      </c>
      <c r="M488" s="85">
        <v>6198</v>
      </c>
      <c r="N488" s="85" t="s">
        <v>875</v>
      </c>
      <c r="O488" s="86" t="s">
        <v>876</v>
      </c>
      <c r="P488" s="85" t="s">
        <v>877</v>
      </c>
      <c r="Q488" s="88">
        <v>1100001</v>
      </c>
      <c r="R488" s="85">
        <v>0</v>
      </c>
      <c r="S488" s="85" t="s">
        <v>207</v>
      </c>
      <c r="T488" s="85">
        <v>1</v>
      </c>
      <c r="U488" s="85" t="s">
        <v>878</v>
      </c>
      <c r="V488" s="1" t="s">
        <v>786</v>
      </c>
      <c r="W488" s="85" t="s">
        <v>879</v>
      </c>
      <c r="X488" s="12">
        <v>15</v>
      </c>
      <c r="Y488" s="1" t="s">
        <v>1317</v>
      </c>
      <c r="Z488" s="1" t="s">
        <v>1318</v>
      </c>
      <c r="AA488" s="1" t="s">
        <v>1319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647</v>
      </c>
      <c r="AH488" s="75" t="s">
        <v>605</v>
      </c>
      <c r="AI488" s="74"/>
    </row>
    <row r="489" s="40" customFormat="1" spans="1:35">
      <c r="A489" s="12">
        <v>131019</v>
      </c>
      <c r="B489" s="12" t="s">
        <v>1320</v>
      </c>
      <c r="C489" s="12" t="s">
        <v>871</v>
      </c>
      <c r="D489" s="12" t="s">
        <v>872</v>
      </c>
      <c r="E489" s="12" t="s">
        <v>873</v>
      </c>
      <c r="F489" s="12" t="s">
        <v>874</v>
      </c>
      <c r="G489" s="85">
        <v>3</v>
      </c>
      <c r="H489" s="85">
        <v>4</v>
      </c>
      <c r="I489" s="85">
        <v>3</v>
      </c>
      <c r="J489" s="85">
        <v>19</v>
      </c>
      <c r="K489" s="85">
        <v>19263009</v>
      </c>
      <c r="L489" s="85">
        <v>600</v>
      </c>
      <c r="M489" s="85">
        <v>6199</v>
      </c>
      <c r="N489" s="85" t="s">
        <v>875</v>
      </c>
      <c r="O489" s="86" t="s">
        <v>876</v>
      </c>
      <c r="P489" s="85" t="s">
        <v>877</v>
      </c>
      <c r="Q489" s="88">
        <v>1100001</v>
      </c>
      <c r="R489" s="85">
        <v>0</v>
      </c>
      <c r="S489" s="85" t="s">
        <v>207</v>
      </c>
      <c r="T489" s="85">
        <v>1</v>
      </c>
      <c r="U489" s="85" t="s">
        <v>878</v>
      </c>
      <c r="V489" s="1" t="s">
        <v>786</v>
      </c>
      <c r="W489" s="85" t="s">
        <v>879</v>
      </c>
      <c r="X489" s="12">
        <v>15</v>
      </c>
      <c r="Y489" s="1" t="s">
        <v>1321</v>
      </c>
      <c r="Z489" s="1" t="s">
        <v>1322</v>
      </c>
      <c r="AA489" s="1" t="s">
        <v>1323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647</v>
      </c>
      <c r="AH489" s="75" t="s">
        <v>605</v>
      </c>
      <c r="AI489" s="74"/>
    </row>
    <row r="490" s="40" customFormat="1" spans="1:35">
      <c r="A490" s="12">
        <v>131020</v>
      </c>
      <c r="B490" s="12" t="s">
        <v>1324</v>
      </c>
      <c r="C490" s="12" t="s">
        <v>871</v>
      </c>
      <c r="D490" s="12" t="s">
        <v>872</v>
      </c>
      <c r="E490" s="12" t="s">
        <v>873</v>
      </c>
      <c r="F490" s="12" t="s">
        <v>874</v>
      </c>
      <c r="G490" s="85">
        <v>3</v>
      </c>
      <c r="H490" s="85">
        <v>4</v>
      </c>
      <c r="I490" s="85">
        <v>3</v>
      </c>
      <c r="J490" s="85">
        <v>20</v>
      </c>
      <c r="K490" s="85">
        <v>19781572</v>
      </c>
      <c r="L490" s="85">
        <v>600</v>
      </c>
      <c r="M490" s="85">
        <v>6200</v>
      </c>
      <c r="N490" s="85" t="s">
        <v>875</v>
      </c>
      <c r="O490" s="86" t="s">
        <v>876</v>
      </c>
      <c r="P490" s="85" t="s">
        <v>877</v>
      </c>
      <c r="Q490" s="88">
        <v>1100001</v>
      </c>
      <c r="R490" s="85">
        <v>0</v>
      </c>
      <c r="S490" s="85" t="s">
        <v>207</v>
      </c>
      <c r="T490" s="85">
        <v>1</v>
      </c>
      <c r="U490" s="85" t="s">
        <v>878</v>
      </c>
      <c r="V490" s="1" t="s">
        <v>786</v>
      </c>
      <c r="W490" s="85" t="s">
        <v>879</v>
      </c>
      <c r="X490" s="12">
        <v>15</v>
      </c>
      <c r="Y490" s="1" t="s">
        <v>1325</v>
      </c>
      <c r="Z490" s="1" t="s">
        <v>1326</v>
      </c>
      <c r="AA490" s="1" t="s">
        <v>1327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647</v>
      </c>
      <c r="AH490" s="75" t="s">
        <v>605</v>
      </c>
      <c r="AI490" s="74"/>
    </row>
    <row r="491" s="40" customFormat="1" spans="1:35">
      <c r="A491" s="12">
        <v>131021</v>
      </c>
      <c r="B491" s="12" t="s">
        <v>1328</v>
      </c>
      <c r="C491" s="12" t="s">
        <v>871</v>
      </c>
      <c r="D491" s="12" t="s">
        <v>872</v>
      </c>
      <c r="E491" s="12" t="s">
        <v>873</v>
      </c>
      <c r="F491" s="12" t="s">
        <v>874</v>
      </c>
      <c r="G491" s="85">
        <v>3</v>
      </c>
      <c r="H491" s="85">
        <v>4</v>
      </c>
      <c r="I491" s="85">
        <v>3</v>
      </c>
      <c r="J491" s="85">
        <v>21</v>
      </c>
      <c r="K491" s="85">
        <v>20300135</v>
      </c>
      <c r="L491" s="85">
        <v>600</v>
      </c>
      <c r="M491" s="85">
        <v>6201</v>
      </c>
      <c r="N491" s="85" t="s">
        <v>875</v>
      </c>
      <c r="O491" s="86" t="s">
        <v>876</v>
      </c>
      <c r="P491" s="85" t="s">
        <v>877</v>
      </c>
      <c r="Q491" s="88">
        <v>1100001</v>
      </c>
      <c r="R491" s="85">
        <v>0</v>
      </c>
      <c r="S491" s="85" t="s">
        <v>207</v>
      </c>
      <c r="T491" s="85">
        <v>1</v>
      </c>
      <c r="U491" s="85" t="s">
        <v>878</v>
      </c>
      <c r="V491" s="1" t="s">
        <v>786</v>
      </c>
      <c r="W491" s="85" t="s">
        <v>879</v>
      </c>
      <c r="X491" s="12">
        <v>15</v>
      </c>
      <c r="Y491" s="1" t="s">
        <v>1329</v>
      </c>
      <c r="Z491" s="1" t="s">
        <v>1330</v>
      </c>
      <c r="AA491" s="1" t="s">
        <v>1331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647</v>
      </c>
      <c r="AH491" s="75" t="s">
        <v>605</v>
      </c>
      <c r="AI491" s="74"/>
    </row>
    <row r="492" s="40" customFormat="1" spans="1:35">
      <c r="A492" s="12">
        <v>131022</v>
      </c>
      <c r="B492" s="12" t="s">
        <v>1332</v>
      </c>
      <c r="C492" s="12" t="s">
        <v>871</v>
      </c>
      <c r="D492" s="12" t="s">
        <v>872</v>
      </c>
      <c r="E492" s="12" t="s">
        <v>873</v>
      </c>
      <c r="F492" s="12" t="s">
        <v>874</v>
      </c>
      <c r="G492" s="85">
        <v>3</v>
      </c>
      <c r="H492" s="85">
        <v>4</v>
      </c>
      <c r="I492" s="85">
        <v>3</v>
      </c>
      <c r="J492" s="85">
        <v>22</v>
      </c>
      <c r="K492" s="85">
        <v>20818698</v>
      </c>
      <c r="L492" s="85">
        <v>600</v>
      </c>
      <c r="M492" s="85">
        <v>6202</v>
      </c>
      <c r="N492" s="85" t="s">
        <v>875</v>
      </c>
      <c r="O492" s="86" t="s">
        <v>876</v>
      </c>
      <c r="P492" s="85" t="s">
        <v>877</v>
      </c>
      <c r="Q492" s="88">
        <v>1100001</v>
      </c>
      <c r="R492" s="85">
        <v>0</v>
      </c>
      <c r="S492" s="85" t="s">
        <v>207</v>
      </c>
      <c r="T492" s="85">
        <v>1</v>
      </c>
      <c r="U492" s="85" t="s">
        <v>878</v>
      </c>
      <c r="V492" s="1" t="s">
        <v>786</v>
      </c>
      <c r="W492" s="85" t="s">
        <v>879</v>
      </c>
      <c r="X492" s="12">
        <v>15</v>
      </c>
      <c r="Y492" s="1" t="s">
        <v>1333</v>
      </c>
      <c r="Z492" s="1" t="s">
        <v>1334</v>
      </c>
      <c r="AA492" s="1" t="s">
        <v>1335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647</v>
      </c>
      <c r="AH492" s="75" t="s">
        <v>605</v>
      </c>
      <c r="AI492" s="74"/>
    </row>
    <row r="493" s="40" customFormat="1" spans="1:35">
      <c r="A493" s="12">
        <v>131023</v>
      </c>
      <c r="B493" s="12" t="s">
        <v>1336</v>
      </c>
      <c r="C493" s="12" t="s">
        <v>871</v>
      </c>
      <c r="D493" s="12" t="s">
        <v>872</v>
      </c>
      <c r="E493" s="12" t="s">
        <v>873</v>
      </c>
      <c r="F493" s="12" t="s">
        <v>874</v>
      </c>
      <c r="G493" s="85">
        <v>3</v>
      </c>
      <c r="H493" s="85">
        <v>4</v>
      </c>
      <c r="I493" s="85">
        <v>3</v>
      </c>
      <c r="J493" s="85">
        <v>23</v>
      </c>
      <c r="K493" s="85">
        <v>21337261</v>
      </c>
      <c r="L493" s="85">
        <v>600</v>
      </c>
      <c r="M493" s="85">
        <v>6203</v>
      </c>
      <c r="N493" s="85" t="s">
        <v>875</v>
      </c>
      <c r="O493" s="86" t="s">
        <v>876</v>
      </c>
      <c r="P493" s="85" t="s">
        <v>877</v>
      </c>
      <c r="Q493" s="88">
        <v>1100001</v>
      </c>
      <c r="R493" s="85">
        <v>0</v>
      </c>
      <c r="S493" s="85" t="s">
        <v>207</v>
      </c>
      <c r="T493" s="85">
        <v>1</v>
      </c>
      <c r="U493" s="85" t="s">
        <v>878</v>
      </c>
      <c r="V493" s="1" t="s">
        <v>786</v>
      </c>
      <c r="W493" s="85" t="s">
        <v>879</v>
      </c>
      <c r="X493" s="12">
        <v>15</v>
      </c>
      <c r="Y493" s="1" t="s">
        <v>1337</v>
      </c>
      <c r="Z493" s="1" t="s">
        <v>1338</v>
      </c>
      <c r="AA493" s="1" t="s">
        <v>1339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647</v>
      </c>
      <c r="AH493" s="75" t="s">
        <v>605</v>
      </c>
      <c r="AI493" s="74"/>
    </row>
    <row r="494" s="40" customFormat="1" spans="1:35">
      <c r="A494" s="12">
        <v>131024</v>
      </c>
      <c r="B494" s="12" t="s">
        <v>1340</v>
      </c>
      <c r="C494" s="12" t="s">
        <v>871</v>
      </c>
      <c r="D494" s="12" t="s">
        <v>872</v>
      </c>
      <c r="E494" s="12" t="s">
        <v>873</v>
      </c>
      <c r="F494" s="12" t="s">
        <v>874</v>
      </c>
      <c r="G494" s="85">
        <v>3</v>
      </c>
      <c r="H494" s="85">
        <v>4</v>
      </c>
      <c r="I494" s="85">
        <v>3</v>
      </c>
      <c r="J494" s="85">
        <v>24</v>
      </c>
      <c r="K494" s="85">
        <v>21855824</v>
      </c>
      <c r="L494" s="85">
        <v>600</v>
      </c>
      <c r="M494" s="85">
        <v>6204</v>
      </c>
      <c r="N494" s="85" t="s">
        <v>875</v>
      </c>
      <c r="O494" s="86" t="s">
        <v>876</v>
      </c>
      <c r="P494" s="85" t="s">
        <v>877</v>
      </c>
      <c r="Q494" s="88">
        <v>1100001</v>
      </c>
      <c r="R494" s="85">
        <v>0</v>
      </c>
      <c r="S494" s="85" t="s">
        <v>207</v>
      </c>
      <c r="T494" s="85">
        <v>1</v>
      </c>
      <c r="U494" s="85" t="s">
        <v>878</v>
      </c>
      <c r="V494" s="1" t="s">
        <v>786</v>
      </c>
      <c r="W494" s="85" t="s">
        <v>879</v>
      </c>
      <c r="X494" s="12">
        <v>15</v>
      </c>
      <c r="Y494" s="1" t="s">
        <v>1341</v>
      </c>
      <c r="Z494" s="1" t="s">
        <v>1342</v>
      </c>
      <c r="AA494" s="1" t="s">
        <v>1343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647</v>
      </c>
      <c r="AH494" s="75" t="s">
        <v>605</v>
      </c>
      <c r="AI494" s="74"/>
    </row>
    <row r="495" s="40" customFormat="1" spans="1:35">
      <c r="A495" s="12">
        <v>131025</v>
      </c>
      <c r="B495" s="12" t="s">
        <v>1344</v>
      </c>
      <c r="C495" s="12" t="s">
        <v>871</v>
      </c>
      <c r="D495" s="12" t="s">
        <v>872</v>
      </c>
      <c r="E495" s="12" t="s">
        <v>873</v>
      </c>
      <c r="F495" s="12" t="s">
        <v>874</v>
      </c>
      <c r="G495" s="85">
        <v>3</v>
      </c>
      <c r="H495" s="85">
        <v>4</v>
      </c>
      <c r="I495" s="85">
        <v>3</v>
      </c>
      <c r="J495" s="85">
        <v>25</v>
      </c>
      <c r="K495" s="85">
        <v>22374387</v>
      </c>
      <c r="L495" s="85">
        <v>600</v>
      </c>
      <c r="M495" s="85">
        <v>6205</v>
      </c>
      <c r="N495" s="85" t="s">
        <v>875</v>
      </c>
      <c r="O495" s="86" t="s">
        <v>876</v>
      </c>
      <c r="P495" s="85" t="s">
        <v>877</v>
      </c>
      <c r="Q495" s="88">
        <v>1100001</v>
      </c>
      <c r="R495" s="85">
        <v>0</v>
      </c>
      <c r="S495" s="85" t="s">
        <v>207</v>
      </c>
      <c r="T495" s="85">
        <v>1</v>
      </c>
      <c r="U495" s="85" t="s">
        <v>878</v>
      </c>
      <c r="V495" s="1" t="s">
        <v>786</v>
      </c>
      <c r="W495" s="85" t="s">
        <v>879</v>
      </c>
      <c r="X495" s="12">
        <v>15</v>
      </c>
      <c r="Y495" s="1" t="s">
        <v>1345</v>
      </c>
      <c r="Z495" s="1" t="s">
        <v>1346</v>
      </c>
      <c r="AA495" s="1" t="s">
        <v>1347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647</v>
      </c>
      <c r="AH495" s="75" t="s">
        <v>605</v>
      </c>
      <c r="AI495" s="74"/>
    </row>
    <row r="496" s="40" customFormat="1" spans="1:35">
      <c r="A496" s="12">
        <v>131026</v>
      </c>
      <c r="B496" s="12" t="s">
        <v>1348</v>
      </c>
      <c r="C496" s="12" t="s">
        <v>871</v>
      </c>
      <c r="D496" s="12" t="s">
        <v>872</v>
      </c>
      <c r="E496" s="12" t="s">
        <v>873</v>
      </c>
      <c r="F496" s="12" t="s">
        <v>874</v>
      </c>
      <c r="G496" s="85">
        <v>3</v>
      </c>
      <c r="H496" s="85">
        <v>4</v>
      </c>
      <c r="I496" s="85">
        <v>3</v>
      </c>
      <c r="J496" s="85">
        <v>26</v>
      </c>
      <c r="K496" s="85">
        <v>22892950</v>
      </c>
      <c r="L496" s="85">
        <v>600</v>
      </c>
      <c r="M496" s="85">
        <v>6206</v>
      </c>
      <c r="N496" s="85" t="s">
        <v>875</v>
      </c>
      <c r="O496" s="86" t="s">
        <v>876</v>
      </c>
      <c r="P496" s="85" t="s">
        <v>877</v>
      </c>
      <c r="Q496" s="88">
        <v>1100001</v>
      </c>
      <c r="R496" s="85">
        <v>0</v>
      </c>
      <c r="S496" s="85" t="s">
        <v>207</v>
      </c>
      <c r="T496" s="85">
        <v>1</v>
      </c>
      <c r="U496" s="85" t="s">
        <v>878</v>
      </c>
      <c r="V496" s="1" t="s">
        <v>786</v>
      </c>
      <c r="W496" s="85" t="s">
        <v>879</v>
      </c>
      <c r="X496" s="12">
        <v>15</v>
      </c>
      <c r="Y496" s="1" t="s">
        <v>1349</v>
      </c>
      <c r="Z496" s="1" t="s">
        <v>1350</v>
      </c>
      <c r="AA496" s="1" t="s">
        <v>1351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647</v>
      </c>
      <c r="AH496" s="75" t="s">
        <v>605</v>
      </c>
      <c r="AI496" s="74"/>
    </row>
    <row r="497" s="40" customFormat="1" spans="1:35">
      <c r="A497" s="12">
        <v>131027</v>
      </c>
      <c r="B497" s="12" t="s">
        <v>1352</v>
      </c>
      <c r="C497" s="12" t="s">
        <v>871</v>
      </c>
      <c r="D497" s="12" t="s">
        <v>872</v>
      </c>
      <c r="E497" s="12" t="s">
        <v>873</v>
      </c>
      <c r="F497" s="12" t="s">
        <v>874</v>
      </c>
      <c r="G497" s="85">
        <v>3</v>
      </c>
      <c r="H497" s="85">
        <v>4</v>
      </c>
      <c r="I497" s="85">
        <v>3</v>
      </c>
      <c r="J497" s="85">
        <v>27</v>
      </c>
      <c r="K497" s="85">
        <v>23411513</v>
      </c>
      <c r="L497" s="85">
        <v>600</v>
      </c>
      <c r="M497" s="85">
        <v>6207</v>
      </c>
      <c r="N497" s="85" t="s">
        <v>875</v>
      </c>
      <c r="O497" s="86" t="s">
        <v>876</v>
      </c>
      <c r="P497" s="85" t="s">
        <v>877</v>
      </c>
      <c r="Q497" s="88">
        <v>1100001</v>
      </c>
      <c r="R497" s="85">
        <v>0</v>
      </c>
      <c r="S497" s="85" t="s">
        <v>207</v>
      </c>
      <c r="T497" s="85">
        <v>1</v>
      </c>
      <c r="U497" s="85" t="s">
        <v>878</v>
      </c>
      <c r="V497" s="1" t="s">
        <v>786</v>
      </c>
      <c r="W497" s="85" t="s">
        <v>879</v>
      </c>
      <c r="X497" s="12">
        <v>15</v>
      </c>
      <c r="Y497" s="1" t="s">
        <v>1353</v>
      </c>
      <c r="Z497" s="1" t="s">
        <v>1354</v>
      </c>
      <c r="AA497" s="1" t="s">
        <v>1355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647</v>
      </c>
      <c r="AH497" s="75" t="s">
        <v>605</v>
      </c>
      <c r="AI497" s="74"/>
    </row>
    <row r="498" s="40" customFormat="1" spans="1:35">
      <c r="A498" s="12">
        <v>131028</v>
      </c>
      <c r="B498" s="12" t="s">
        <v>1356</v>
      </c>
      <c r="C498" s="12" t="s">
        <v>871</v>
      </c>
      <c r="D498" s="12" t="s">
        <v>872</v>
      </c>
      <c r="E498" s="12" t="s">
        <v>873</v>
      </c>
      <c r="F498" s="12" t="s">
        <v>874</v>
      </c>
      <c r="G498" s="85">
        <v>3</v>
      </c>
      <c r="H498" s="85">
        <v>4</v>
      </c>
      <c r="I498" s="85">
        <v>3</v>
      </c>
      <c r="J498" s="85">
        <v>28</v>
      </c>
      <c r="K498" s="85">
        <v>23930076</v>
      </c>
      <c r="L498" s="85">
        <v>600</v>
      </c>
      <c r="M498" s="85">
        <v>6208</v>
      </c>
      <c r="N498" s="85" t="s">
        <v>875</v>
      </c>
      <c r="O498" s="86" t="s">
        <v>876</v>
      </c>
      <c r="P498" s="85" t="s">
        <v>877</v>
      </c>
      <c r="Q498" s="88">
        <v>1100001</v>
      </c>
      <c r="R498" s="85">
        <v>0</v>
      </c>
      <c r="S498" s="85" t="s">
        <v>207</v>
      </c>
      <c r="T498" s="85">
        <v>1</v>
      </c>
      <c r="U498" s="85" t="s">
        <v>878</v>
      </c>
      <c r="V498" s="1" t="s">
        <v>786</v>
      </c>
      <c r="W498" s="85" t="s">
        <v>879</v>
      </c>
      <c r="X498" s="12">
        <v>15</v>
      </c>
      <c r="Y498" s="1" t="s">
        <v>1357</v>
      </c>
      <c r="Z498" s="1" t="s">
        <v>1358</v>
      </c>
      <c r="AA498" s="1" t="s">
        <v>1359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647</v>
      </c>
      <c r="AH498" s="75" t="s">
        <v>605</v>
      </c>
      <c r="AI498" s="74"/>
    </row>
    <row r="499" s="40" customFormat="1" spans="1:35">
      <c r="A499" s="12">
        <v>131029</v>
      </c>
      <c r="B499" s="12" t="s">
        <v>1360</v>
      </c>
      <c r="C499" s="12" t="s">
        <v>871</v>
      </c>
      <c r="D499" s="12" t="s">
        <v>872</v>
      </c>
      <c r="E499" s="12" t="s">
        <v>873</v>
      </c>
      <c r="F499" s="12" t="s">
        <v>874</v>
      </c>
      <c r="G499" s="85">
        <v>3</v>
      </c>
      <c r="H499" s="85">
        <v>4</v>
      </c>
      <c r="I499" s="85">
        <v>3</v>
      </c>
      <c r="J499" s="85">
        <v>29</v>
      </c>
      <c r="K499" s="85">
        <v>24448639</v>
      </c>
      <c r="L499" s="85">
        <v>600</v>
      </c>
      <c r="M499" s="85">
        <v>6209</v>
      </c>
      <c r="N499" s="85" t="s">
        <v>875</v>
      </c>
      <c r="O499" s="86" t="s">
        <v>876</v>
      </c>
      <c r="P499" s="85" t="s">
        <v>877</v>
      </c>
      <c r="Q499" s="88">
        <v>1100001</v>
      </c>
      <c r="R499" s="85">
        <v>0</v>
      </c>
      <c r="S499" s="85" t="s">
        <v>207</v>
      </c>
      <c r="T499" s="85">
        <v>1</v>
      </c>
      <c r="U499" s="85" t="s">
        <v>878</v>
      </c>
      <c r="V499" s="1" t="s">
        <v>786</v>
      </c>
      <c r="W499" s="85" t="s">
        <v>879</v>
      </c>
      <c r="X499" s="12">
        <v>15</v>
      </c>
      <c r="Y499" s="1" t="s">
        <v>1361</v>
      </c>
      <c r="Z499" s="1" t="s">
        <v>1362</v>
      </c>
      <c r="AA499" s="1" t="s">
        <v>1363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647</v>
      </c>
      <c r="AH499" s="75" t="s">
        <v>605</v>
      </c>
      <c r="AI499" s="74"/>
    </row>
    <row r="500" s="40" customFormat="1" spans="1:35">
      <c r="A500" s="12">
        <v>131030</v>
      </c>
      <c r="B500" s="12" t="s">
        <v>1364</v>
      </c>
      <c r="C500" s="12" t="s">
        <v>871</v>
      </c>
      <c r="D500" s="12" t="s">
        <v>872</v>
      </c>
      <c r="E500" s="12" t="s">
        <v>873</v>
      </c>
      <c r="F500" s="12" t="s">
        <v>874</v>
      </c>
      <c r="G500" s="85">
        <v>3</v>
      </c>
      <c r="H500" s="85">
        <v>4</v>
      </c>
      <c r="I500" s="85">
        <v>3</v>
      </c>
      <c r="J500" s="85">
        <v>30</v>
      </c>
      <c r="K500" s="85">
        <v>24968985</v>
      </c>
      <c r="L500" s="85">
        <v>600</v>
      </c>
      <c r="M500" s="85">
        <v>6210</v>
      </c>
      <c r="N500" s="85" t="s">
        <v>875</v>
      </c>
      <c r="O500" s="86" t="s">
        <v>876</v>
      </c>
      <c r="P500" s="85" t="s">
        <v>877</v>
      </c>
      <c r="Q500" s="88">
        <v>1100001</v>
      </c>
      <c r="R500" s="85">
        <v>0</v>
      </c>
      <c r="S500" s="85" t="s">
        <v>207</v>
      </c>
      <c r="T500" s="85">
        <v>1</v>
      </c>
      <c r="U500" s="85" t="s">
        <v>878</v>
      </c>
      <c r="V500" s="1" t="s">
        <v>786</v>
      </c>
      <c r="W500" s="85" t="s">
        <v>879</v>
      </c>
      <c r="X500" s="12">
        <v>15</v>
      </c>
      <c r="Y500" s="1" t="s">
        <v>1365</v>
      </c>
      <c r="Z500" s="1" t="s">
        <v>1366</v>
      </c>
      <c r="AA500" s="1" t="s">
        <v>1367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647</v>
      </c>
      <c r="AH500" s="75" t="s">
        <v>605</v>
      </c>
      <c r="AI500" s="74"/>
    </row>
    <row r="501" s="40" customFormat="1" spans="1:35">
      <c r="A501" s="12">
        <v>131101</v>
      </c>
      <c r="B501" s="12" t="s">
        <v>1368</v>
      </c>
      <c r="C501" s="12" t="s">
        <v>1369</v>
      </c>
      <c r="D501" s="12" t="s">
        <v>1370</v>
      </c>
      <c r="E501" s="12" t="s">
        <v>1371</v>
      </c>
      <c r="F501" s="12" t="s">
        <v>1372</v>
      </c>
      <c r="G501" s="85">
        <v>3</v>
      </c>
      <c r="H501" s="85">
        <f t="shared" ref="H501:H507" si="3">H471+1</f>
        <v>5</v>
      </c>
      <c r="I501" s="85">
        <v>3</v>
      </c>
      <c r="J501" s="85">
        <v>30</v>
      </c>
      <c r="K501" s="85">
        <v>1740375</v>
      </c>
      <c r="L501" s="85">
        <f>60*60*24</f>
        <v>86400</v>
      </c>
      <c r="M501" s="85">
        <v>4001</v>
      </c>
      <c r="N501" s="85" t="s">
        <v>595</v>
      </c>
      <c r="O501" s="86" t="s">
        <v>1373</v>
      </c>
      <c r="P501" s="86" t="s">
        <v>1374</v>
      </c>
      <c r="Q501" s="88">
        <v>1000075</v>
      </c>
      <c r="R501" s="85">
        <v>0</v>
      </c>
      <c r="S501" s="85"/>
      <c r="T501" s="85">
        <v>3</v>
      </c>
      <c r="U501" s="85" t="s">
        <v>878</v>
      </c>
      <c r="V501" s="1" t="s">
        <v>786</v>
      </c>
      <c r="W501" s="85" t="s">
        <v>1375</v>
      </c>
      <c r="X501" s="12">
        <v>15</v>
      </c>
      <c r="Y501" s="1" t="s">
        <v>332</v>
      </c>
      <c r="Z501" s="1" t="s">
        <v>333</v>
      </c>
      <c r="AA501" s="1" t="s">
        <v>334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647</v>
      </c>
      <c r="AH501" s="75" t="s">
        <v>605</v>
      </c>
      <c r="AI501" s="74"/>
    </row>
    <row r="502" s="40" customFormat="1" spans="1:35">
      <c r="A502" s="12">
        <v>131102</v>
      </c>
      <c r="B502" s="12" t="s">
        <v>1376</v>
      </c>
      <c r="C502" s="12" t="s">
        <v>1369</v>
      </c>
      <c r="D502" s="12" t="s">
        <v>1370</v>
      </c>
      <c r="E502" s="12" t="s">
        <v>1371</v>
      </c>
      <c r="F502" s="12" t="s">
        <v>1372</v>
      </c>
      <c r="G502" s="85">
        <v>3</v>
      </c>
      <c r="H502" s="85">
        <f t="shared" si="3"/>
        <v>5</v>
      </c>
      <c r="I502" s="85">
        <v>3</v>
      </c>
      <c r="J502" s="85">
        <v>60</v>
      </c>
      <c r="K502" s="85">
        <v>1740375</v>
      </c>
      <c r="L502" s="85">
        <f t="shared" ref="L502:L507" si="4">60*60*24</f>
        <v>86400</v>
      </c>
      <c r="M502" s="85">
        <v>4001</v>
      </c>
      <c r="N502" s="85" t="s">
        <v>595</v>
      </c>
      <c r="O502" s="86" t="s">
        <v>1373</v>
      </c>
      <c r="P502" s="86" t="s">
        <v>1374</v>
      </c>
      <c r="Q502" s="88">
        <v>1000075</v>
      </c>
      <c r="R502" s="85">
        <v>0</v>
      </c>
      <c r="S502" s="85"/>
      <c r="T502" s="85">
        <v>3</v>
      </c>
      <c r="U502" s="85" t="s">
        <v>878</v>
      </c>
      <c r="V502" s="1" t="s">
        <v>786</v>
      </c>
      <c r="W502" s="85" t="s">
        <v>1375</v>
      </c>
      <c r="X502" s="12">
        <v>15</v>
      </c>
      <c r="Y502" s="1" t="s">
        <v>332</v>
      </c>
      <c r="Z502" s="1" t="s">
        <v>333</v>
      </c>
      <c r="AA502" s="1" t="s">
        <v>334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647</v>
      </c>
      <c r="AH502" s="75" t="s">
        <v>605</v>
      </c>
      <c r="AI502" s="74"/>
    </row>
    <row r="503" s="40" customFormat="1" spans="1:35">
      <c r="A503" s="12">
        <v>131103</v>
      </c>
      <c r="B503" s="12" t="s">
        <v>1377</v>
      </c>
      <c r="C503" s="12" t="s">
        <v>1369</v>
      </c>
      <c r="D503" s="12" t="s">
        <v>1370</v>
      </c>
      <c r="E503" s="12" t="s">
        <v>1371</v>
      </c>
      <c r="F503" s="12" t="s">
        <v>1372</v>
      </c>
      <c r="G503" s="85">
        <v>3</v>
      </c>
      <c r="H503" s="85">
        <f t="shared" si="3"/>
        <v>5</v>
      </c>
      <c r="I503" s="85">
        <v>3</v>
      </c>
      <c r="J503" s="85">
        <v>90</v>
      </c>
      <c r="K503" s="85">
        <v>1740375</v>
      </c>
      <c r="L503" s="85">
        <f t="shared" si="4"/>
        <v>86400</v>
      </c>
      <c r="M503" s="85">
        <v>4001</v>
      </c>
      <c r="N503" s="85" t="s">
        <v>595</v>
      </c>
      <c r="O503" s="86" t="s">
        <v>1373</v>
      </c>
      <c r="P503" s="86" t="s">
        <v>1374</v>
      </c>
      <c r="Q503" s="88">
        <v>1000075</v>
      </c>
      <c r="R503" s="85">
        <v>0</v>
      </c>
      <c r="S503" s="85"/>
      <c r="T503" s="85">
        <v>3</v>
      </c>
      <c r="U503" s="85" t="s">
        <v>878</v>
      </c>
      <c r="V503" s="1" t="s">
        <v>786</v>
      </c>
      <c r="W503" s="85" t="s">
        <v>1375</v>
      </c>
      <c r="X503" s="12">
        <v>15</v>
      </c>
      <c r="Y503" s="1" t="s">
        <v>332</v>
      </c>
      <c r="Z503" s="1" t="s">
        <v>333</v>
      </c>
      <c r="AA503" s="1" t="s">
        <v>334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647</v>
      </c>
      <c r="AH503" s="75" t="s">
        <v>605</v>
      </c>
      <c r="AI503" s="74"/>
    </row>
    <row r="504" s="40" customFormat="1" spans="1:35">
      <c r="A504" s="12">
        <v>131104</v>
      </c>
      <c r="B504" s="12" t="s">
        <v>1378</v>
      </c>
      <c r="C504" s="12" t="s">
        <v>1369</v>
      </c>
      <c r="D504" s="12" t="s">
        <v>1370</v>
      </c>
      <c r="E504" s="12" t="s">
        <v>1371</v>
      </c>
      <c r="F504" s="12" t="s">
        <v>1372</v>
      </c>
      <c r="G504" s="85">
        <v>3</v>
      </c>
      <c r="H504" s="85">
        <f t="shared" si="3"/>
        <v>5</v>
      </c>
      <c r="I504" s="85">
        <v>3</v>
      </c>
      <c r="J504" s="85">
        <v>120</v>
      </c>
      <c r="K504" s="85">
        <v>1740375</v>
      </c>
      <c r="L504" s="85">
        <f t="shared" si="4"/>
        <v>86400</v>
      </c>
      <c r="M504" s="85">
        <v>4001</v>
      </c>
      <c r="N504" s="85" t="s">
        <v>595</v>
      </c>
      <c r="O504" s="86" t="s">
        <v>1373</v>
      </c>
      <c r="P504" s="86" t="s">
        <v>1374</v>
      </c>
      <c r="Q504" s="88">
        <v>1000075</v>
      </c>
      <c r="R504" s="85">
        <v>0</v>
      </c>
      <c r="S504" s="85"/>
      <c r="T504" s="85">
        <v>3</v>
      </c>
      <c r="U504" s="85" t="s">
        <v>878</v>
      </c>
      <c r="V504" s="1" t="s">
        <v>786</v>
      </c>
      <c r="W504" s="85" t="s">
        <v>1375</v>
      </c>
      <c r="X504" s="12">
        <v>15</v>
      </c>
      <c r="Y504" s="1" t="s">
        <v>332</v>
      </c>
      <c r="Z504" s="1" t="s">
        <v>333</v>
      </c>
      <c r="AA504" s="1" t="s">
        <v>334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647</v>
      </c>
      <c r="AH504" s="75" t="s">
        <v>605</v>
      </c>
      <c r="AI504" s="74"/>
    </row>
    <row r="505" s="40" customFormat="1" spans="1:35">
      <c r="A505" s="12">
        <v>131105</v>
      </c>
      <c r="B505" s="12" t="s">
        <v>1379</v>
      </c>
      <c r="C505" s="12" t="s">
        <v>1369</v>
      </c>
      <c r="D505" s="12" t="s">
        <v>1370</v>
      </c>
      <c r="E505" s="12" t="s">
        <v>1371</v>
      </c>
      <c r="F505" s="12" t="s">
        <v>1372</v>
      </c>
      <c r="G505" s="85">
        <v>3</v>
      </c>
      <c r="H505" s="85">
        <f t="shared" si="3"/>
        <v>5</v>
      </c>
      <c r="I505" s="85">
        <v>3</v>
      </c>
      <c r="J505" s="85">
        <v>150</v>
      </c>
      <c r="K505" s="85">
        <v>1740375</v>
      </c>
      <c r="L505" s="85">
        <f t="shared" si="4"/>
        <v>86400</v>
      </c>
      <c r="M505" s="85">
        <v>4001</v>
      </c>
      <c r="N505" s="85" t="s">
        <v>595</v>
      </c>
      <c r="O505" s="86" t="s">
        <v>1373</v>
      </c>
      <c r="P505" s="86" t="s">
        <v>1374</v>
      </c>
      <c r="Q505" s="88">
        <v>1000075</v>
      </c>
      <c r="R505" s="85">
        <v>0</v>
      </c>
      <c r="S505" s="85"/>
      <c r="T505" s="85">
        <v>3</v>
      </c>
      <c r="U505" s="85" t="s">
        <v>878</v>
      </c>
      <c r="V505" s="1" t="s">
        <v>786</v>
      </c>
      <c r="W505" s="85" t="s">
        <v>1375</v>
      </c>
      <c r="X505" s="12">
        <v>15</v>
      </c>
      <c r="Y505" s="1" t="s">
        <v>332</v>
      </c>
      <c r="Z505" s="1" t="s">
        <v>333</v>
      </c>
      <c r="AA505" s="1" t="s">
        <v>334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647</v>
      </c>
      <c r="AH505" s="75" t="s">
        <v>605</v>
      </c>
      <c r="AI505" s="74"/>
    </row>
    <row r="506" s="40" customFormat="1" spans="1:35">
      <c r="A506" s="12">
        <v>131106</v>
      </c>
      <c r="B506" s="12" t="s">
        <v>1380</v>
      </c>
      <c r="C506" s="12" t="s">
        <v>1369</v>
      </c>
      <c r="D506" s="12" t="s">
        <v>1370</v>
      </c>
      <c r="E506" s="12" t="s">
        <v>1371</v>
      </c>
      <c r="F506" s="12" t="s">
        <v>1372</v>
      </c>
      <c r="G506" s="85">
        <v>3</v>
      </c>
      <c r="H506" s="85">
        <f t="shared" si="3"/>
        <v>5</v>
      </c>
      <c r="I506" s="85">
        <v>3</v>
      </c>
      <c r="J506" s="85">
        <v>180</v>
      </c>
      <c r="K506" s="85">
        <v>1740375</v>
      </c>
      <c r="L506" s="85">
        <f t="shared" si="4"/>
        <v>86400</v>
      </c>
      <c r="M506" s="85">
        <v>4001</v>
      </c>
      <c r="N506" s="85" t="s">
        <v>595</v>
      </c>
      <c r="O506" s="86" t="s">
        <v>1373</v>
      </c>
      <c r="P506" s="86" t="s">
        <v>1374</v>
      </c>
      <c r="Q506" s="88">
        <v>1000075</v>
      </c>
      <c r="R506" s="85">
        <v>0</v>
      </c>
      <c r="S506" s="85"/>
      <c r="T506" s="85">
        <v>3</v>
      </c>
      <c r="U506" s="85" t="s">
        <v>878</v>
      </c>
      <c r="V506" s="1" t="s">
        <v>786</v>
      </c>
      <c r="W506" s="85" t="s">
        <v>1375</v>
      </c>
      <c r="X506" s="12">
        <v>15</v>
      </c>
      <c r="Y506" s="1" t="s">
        <v>332</v>
      </c>
      <c r="Z506" s="1" t="s">
        <v>333</v>
      </c>
      <c r="AA506" s="1" t="s">
        <v>334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647</v>
      </c>
      <c r="AH506" s="75" t="s">
        <v>605</v>
      </c>
      <c r="AI506" s="74"/>
    </row>
    <row r="507" s="40" customFormat="1" spans="1:35">
      <c r="A507" s="12">
        <v>131107</v>
      </c>
      <c r="B507" s="12" t="s">
        <v>1381</v>
      </c>
      <c r="C507" s="12" t="s">
        <v>1369</v>
      </c>
      <c r="D507" s="12" t="s">
        <v>1370</v>
      </c>
      <c r="E507" s="12" t="s">
        <v>1371</v>
      </c>
      <c r="F507" s="12" t="s">
        <v>1372</v>
      </c>
      <c r="G507" s="85">
        <v>3</v>
      </c>
      <c r="H507" s="85">
        <f t="shared" si="3"/>
        <v>5</v>
      </c>
      <c r="I507" s="85">
        <v>3</v>
      </c>
      <c r="J507" s="85">
        <v>210</v>
      </c>
      <c r="K507" s="85">
        <v>1740375</v>
      </c>
      <c r="L507" s="85">
        <f t="shared" si="4"/>
        <v>86400</v>
      </c>
      <c r="M507" s="85">
        <v>4001</v>
      </c>
      <c r="N507" s="85" t="s">
        <v>595</v>
      </c>
      <c r="O507" s="86" t="s">
        <v>1373</v>
      </c>
      <c r="P507" s="86" t="s">
        <v>1374</v>
      </c>
      <c r="Q507" s="88">
        <v>1000075</v>
      </c>
      <c r="R507" s="85">
        <v>0</v>
      </c>
      <c r="S507" s="85"/>
      <c r="T507" s="85">
        <v>3</v>
      </c>
      <c r="U507" s="85" t="s">
        <v>878</v>
      </c>
      <c r="V507" s="1" t="s">
        <v>786</v>
      </c>
      <c r="W507" s="85" t="s">
        <v>1375</v>
      </c>
      <c r="X507" s="12">
        <v>15</v>
      </c>
      <c r="Y507" s="1" t="s">
        <v>332</v>
      </c>
      <c r="Z507" s="1" t="s">
        <v>333</v>
      </c>
      <c r="AA507" s="1" t="s">
        <v>334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647</v>
      </c>
      <c r="AH507" s="75" t="s">
        <v>605</v>
      </c>
      <c r="AI507" s="74"/>
    </row>
  </sheetData>
  <conditionalFormatting sqref="B12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2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2:AI12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3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3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3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3:AI13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3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3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7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7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7:AI17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1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1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1:AI21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5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5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5:AI25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6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6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6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6:AI26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6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6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30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30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30:AI30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1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1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1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1:AI31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1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1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5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5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5:AI35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6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6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6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6:AI36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6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6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40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40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40:AI40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1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1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1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1:AI41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1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1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2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2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2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2:AI42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2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2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1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4:B16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8:B20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2:B24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7:B29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2:B34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7:B39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2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4:C17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8:C21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2:C25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7:C30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2:C35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7:C40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1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4:D16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8:D20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2:D24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7:D29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2:D34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7:D39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2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4:AJ17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8:AJ21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2:AJ25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7:AJ30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2:AJ35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7:AJ40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2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4:AL17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8:AL21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2:AL25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7:AL30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2:AL35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7:AL40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1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4:AI16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8:AI20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2:AI24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7:AI29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2:AI34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7:AI39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0:AN11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1382</v>
      </c>
      <c r="C1" s="20" t="s">
        <v>1383</v>
      </c>
      <c r="D1" s="20" t="s">
        <v>1384</v>
      </c>
      <c r="E1" s="20" t="s">
        <v>1385</v>
      </c>
    </row>
    <row r="2" spans="1:5">
      <c r="A2" s="33" t="s">
        <v>1386</v>
      </c>
      <c r="B2" t="s">
        <v>1387</v>
      </c>
      <c r="C2" s="20" t="s">
        <v>1388</v>
      </c>
      <c r="D2" s="20" t="s">
        <v>1389</v>
      </c>
      <c r="E2" s="20" t="s">
        <v>1390</v>
      </c>
    </row>
    <row r="3" spans="1:5">
      <c r="A3" s="34" t="s">
        <v>78</v>
      </c>
      <c r="B3" s="20" t="s">
        <v>1391</v>
      </c>
      <c r="C3" s="20" t="s">
        <v>1391</v>
      </c>
      <c r="D3" s="20" t="s">
        <v>1391</v>
      </c>
      <c r="E3" s="20" t="s">
        <v>1391</v>
      </c>
    </row>
    <row r="4" ht="14.25" customHeight="1" spans="1:5">
      <c r="A4" s="35">
        <v>11101</v>
      </c>
      <c r="B4" s="20" t="s">
        <v>1387</v>
      </c>
      <c r="C4" s="20" t="s">
        <v>1388</v>
      </c>
      <c r="D4" s="20" t="s">
        <v>1389</v>
      </c>
      <c r="E4" s="20" t="s">
        <v>1390</v>
      </c>
    </row>
    <row r="5" ht="14.25" customHeight="1" spans="1:5">
      <c r="A5" s="1">
        <v>12001</v>
      </c>
      <c r="B5" s="20" t="s">
        <v>1387</v>
      </c>
      <c r="C5" s="20" t="s">
        <v>1388</v>
      </c>
      <c r="D5" s="20" t="s">
        <v>1389</v>
      </c>
      <c r="E5" s="20" t="s">
        <v>1390</v>
      </c>
    </row>
    <row r="6" ht="14.25" customHeight="1" spans="1:5">
      <c r="A6" s="1">
        <v>12002</v>
      </c>
      <c r="B6" s="20" t="s">
        <v>1387</v>
      </c>
      <c r="C6" s="20" t="s">
        <v>1388</v>
      </c>
      <c r="D6" s="20" t="s">
        <v>1389</v>
      </c>
      <c r="E6" s="20" t="s">
        <v>1390</v>
      </c>
    </row>
    <row r="7" ht="14.25" customHeight="1" spans="1:5">
      <c r="A7" s="1">
        <v>12003</v>
      </c>
      <c r="B7" s="20" t="s">
        <v>1387</v>
      </c>
      <c r="C7" s="20" t="s">
        <v>1388</v>
      </c>
      <c r="D7" s="20" t="s">
        <v>1389</v>
      </c>
      <c r="E7" s="20" t="s">
        <v>1390</v>
      </c>
    </row>
    <row r="8" ht="14.25" customHeight="1" spans="1:5">
      <c r="A8" s="1">
        <v>12004</v>
      </c>
      <c r="B8" s="20" t="s">
        <v>1387</v>
      </c>
      <c r="C8" s="20" t="s">
        <v>1388</v>
      </c>
      <c r="D8" s="20" t="s">
        <v>1389</v>
      </c>
      <c r="E8" s="20" t="s">
        <v>1390</v>
      </c>
    </row>
    <row r="9" ht="14.25" customHeight="1" spans="1:5">
      <c r="A9" s="1">
        <v>12005</v>
      </c>
      <c r="B9" s="20" t="s">
        <v>1387</v>
      </c>
      <c r="C9" s="20" t="s">
        <v>1388</v>
      </c>
      <c r="D9" s="20" t="s">
        <v>1389</v>
      </c>
      <c r="E9" s="20" t="s">
        <v>1390</v>
      </c>
    </row>
    <row r="10" ht="14.25" customHeight="1" spans="1:5">
      <c r="A10" s="36">
        <v>11001</v>
      </c>
      <c r="B10" s="20" t="s">
        <v>1387</v>
      </c>
      <c r="C10" s="20" t="s">
        <v>1388</v>
      </c>
      <c r="D10" s="20" t="s">
        <v>1389</v>
      </c>
      <c r="E10" s="20" t="s">
        <v>1390</v>
      </c>
    </row>
    <row r="11" ht="14.25" customHeight="1" spans="1:5">
      <c r="A11" s="36">
        <v>11002</v>
      </c>
      <c r="B11" s="20" t="s">
        <v>1387</v>
      </c>
      <c r="C11" s="20" t="s">
        <v>1388</v>
      </c>
      <c r="D11" s="20" t="s">
        <v>1389</v>
      </c>
      <c r="E11" s="20" t="s">
        <v>1390</v>
      </c>
    </row>
    <row r="12" ht="14.25" customHeight="1" spans="1:5">
      <c r="A12" s="36">
        <v>11003</v>
      </c>
      <c r="B12" s="20" t="s">
        <v>1387</v>
      </c>
      <c r="C12" s="20" t="s">
        <v>1388</v>
      </c>
      <c r="D12" s="20" t="s">
        <v>1389</v>
      </c>
      <c r="E12" s="20" t="s">
        <v>1390</v>
      </c>
    </row>
    <row r="13" ht="14.25" customHeight="1" spans="1:5">
      <c r="A13" s="36">
        <v>11004</v>
      </c>
      <c r="B13" s="20" t="s">
        <v>1387</v>
      </c>
      <c r="C13" s="20" t="s">
        <v>1388</v>
      </c>
      <c r="D13" s="20" t="s">
        <v>1389</v>
      </c>
      <c r="E13" s="20" t="s">
        <v>1390</v>
      </c>
    </row>
    <row r="14" ht="14.25" customHeight="1" spans="1:5">
      <c r="A14" s="36">
        <v>11005</v>
      </c>
      <c r="B14" s="20" t="s">
        <v>1387</v>
      </c>
      <c r="C14" s="20" t="s">
        <v>1388</v>
      </c>
      <c r="D14" s="20" t="s">
        <v>1389</v>
      </c>
      <c r="E14" s="20" t="s">
        <v>1390</v>
      </c>
    </row>
    <row r="15" ht="14.25" customHeight="1" spans="1:5">
      <c r="A15" s="36">
        <v>11011</v>
      </c>
      <c r="B15" s="20" t="s">
        <v>1387</v>
      </c>
      <c r="C15" s="20" t="s">
        <v>1388</v>
      </c>
      <c r="D15" s="20" t="s">
        <v>1389</v>
      </c>
      <c r="E15" s="20" t="s">
        <v>1390</v>
      </c>
    </row>
    <row r="16" ht="14.25" customHeight="1" spans="1:5">
      <c r="A16" s="36">
        <v>11012</v>
      </c>
      <c r="B16" s="20" t="s">
        <v>1387</v>
      </c>
      <c r="C16" s="20" t="s">
        <v>1388</v>
      </c>
      <c r="D16" s="20" t="s">
        <v>1389</v>
      </c>
      <c r="E16" s="20" t="s">
        <v>1390</v>
      </c>
    </row>
    <row r="17" ht="14.25" customHeight="1" spans="1:5">
      <c r="A17" s="36">
        <v>11013</v>
      </c>
      <c r="B17" s="20" t="s">
        <v>1387</v>
      </c>
      <c r="C17" s="20" t="s">
        <v>1388</v>
      </c>
      <c r="D17" s="20" t="s">
        <v>1389</v>
      </c>
      <c r="E17" s="20" t="s">
        <v>1390</v>
      </c>
    </row>
    <row r="18" ht="14.25" customHeight="1" spans="1:5">
      <c r="A18" s="36">
        <v>11014</v>
      </c>
      <c r="B18" s="20" t="s">
        <v>1387</v>
      </c>
      <c r="C18" s="20" t="s">
        <v>1388</v>
      </c>
      <c r="D18" s="20" t="s">
        <v>1389</v>
      </c>
      <c r="E18" s="20" t="s">
        <v>1390</v>
      </c>
    </row>
    <row r="19" ht="14.25" customHeight="1" spans="1:5">
      <c r="A19" s="36">
        <v>11021</v>
      </c>
      <c r="B19" s="20" t="s">
        <v>1387</v>
      </c>
      <c r="C19" s="20" t="s">
        <v>1388</v>
      </c>
      <c r="D19" s="20" t="s">
        <v>1389</v>
      </c>
      <c r="E19" s="20" t="s">
        <v>1390</v>
      </c>
    </row>
    <row r="20" ht="14.25" customHeight="1" spans="1:5">
      <c r="A20" s="36">
        <v>11022</v>
      </c>
      <c r="B20" s="20" t="s">
        <v>1387</v>
      </c>
      <c r="C20" s="20" t="s">
        <v>1388</v>
      </c>
      <c r="D20" s="20" t="s">
        <v>1389</v>
      </c>
      <c r="E20" s="20" t="s">
        <v>1390</v>
      </c>
    </row>
    <row r="21" ht="14.25" customHeight="1" spans="1:5">
      <c r="A21" s="36">
        <v>11023</v>
      </c>
      <c r="B21" s="20" t="s">
        <v>1387</v>
      </c>
      <c r="C21" s="20" t="s">
        <v>1388</v>
      </c>
      <c r="D21" s="20" t="s">
        <v>1389</v>
      </c>
      <c r="E21" s="20" t="s">
        <v>1390</v>
      </c>
    </row>
    <row r="22" ht="14.25" customHeight="1" spans="1:5">
      <c r="A22" s="36">
        <v>11024</v>
      </c>
      <c r="B22" s="20" t="s">
        <v>1387</v>
      </c>
      <c r="C22" s="20" t="s">
        <v>1388</v>
      </c>
      <c r="D22" s="20" t="s">
        <v>1389</v>
      </c>
      <c r="E22" s="20" t="s">
        <v>1390</v>
      </c>
    </row>
    <row r="23" ht="14.25" customHeight="1" spans="1:5">
      <c r="A23" s="36">
        <v>11031</v>
      </c>
      <c r="B23" s="20" t="s">
        <v>1387</v>
      </c>
      <c r="C23" s="20" t="s">
        <v>1388</v>
      </c>
      <c r="D23" s="20" t="s">
        <v>1389</v>
      </c>
      <c r="E23" s="20" t="s">
        <v>1390</v>
      </c>
    </row>
    <row r="24" ht="14.25" customHeight="1" spans="1:5">
      <c r="A24" s="36">
        <v>11032</v>
      </c>
      <c r="B24" s="20" t="s">
        <v>1387</v>
      </c>
      <c r="C24" s="20" t="s">
        <v>1388</v>
      </c>
      <c r="D24" s="20" t="s">
        <v>1389</v>
      </c>
      <c r="E24" s="20" t="s">
        <v>1390</v>
      </c>
    </row>
    <row r="25" ht="14.25" customHeight="1" spans="1:5">
      <c r="A25" s="36">
        <v>11033</v>
      </c>
      <c r="B25" s="20" t="s">
        <v>1387</v>
      </c>
      <c r="C25" s="20" t="s">
        <v>1388</v>
      </c>
      <c r="D25" s="20" t="s">
        <v>1389</v>
      </c>
      <c r="E25" s="20" t="s">
        <v>1390</v>
      </c>
    </row>
    <row r="26" ht="14.25" customHeight="1" spans="1:5">
      <c r="A26" s="36">
        <v>11034</v>
      </c>
      <c r="B26" s="20" t="s">
        <v>1387</v>
      </c>
      <c r="C26" s="20" t="s">
        <v>1388</v>
      </c>
      <c r="D26" s="20" t="s">
        <v>1389</v>
      </c>
      <c r="E26" s="20" t="s">
        <v>1390</v>
      </c>
    </row>
    <row r="27" ht="14.25" customHeight="1" spans="1:5">
      <c r="A27" s="36">
        <v>11035</v>
      </c>
      <c r="B27" s="20" t="s">
        <v>1387</v>
      </c>
      <c r="C27" s="20" t="s">
        <v>1388</v>
      </c>
      <c r="D27" s="20" t="s">
        <v>1389</v>
      </c>
      <c r="E27" s="20" t="s">
        <v>1390</v>
      </c>
    </row>
    <row r="28" ht="14.25" customHeight="1" spans="1:5">
      <c r="A28" s="36">
        <f>A23+10</f>
        <v>11041</v>
      </c>
      <c r="B28" s="20" t="s">
        <v>1387</v>
      </c>
      <c r="C28" s="20" t="s">
        <v>1388</v>
      </c>
      <c r="D28" s="20" t="s">
        <v>1389</v>
      </c>
      <c r="E28" s="20" t="s">
        <v>1390</v>
      </c>
    </row>
    <row r="29" ht="14.25" customHeight="1" spans="1:5">
      <c r="A29" s="36">
        <f t="shared" ref="A29:A42" si="0">A24+10</f>
        <v>11042</v>
      </c>
      <c r="B29" s="20" t="s">
        <v>1387</v>
      </c>
      <c r="C29" s="20" t="s">
        <v>1388</v>
      </c>
      <c r="D29" s="20" t="s">
        <v>1389</v>
      </c>
      <c r="E29" s="20" t="s">
        <v>1390</v>
      </c>
    </row>
    <row r="30" ht="14.25" customHeight="1" spans="1:5">
      <c r="A30" s="36">
        <f t="shared" si="0"/>
        <v>11043</v>
      </c>
      <c r="B30" s="20" t="s">
        <v>1387</v>
      </c>
      <c r="C30" s="20" t="s">
        <v>1388</v>
      </c>
      <c r="D30" s="20" t="s">
        <v>1389</v>
      </c>
      <c r="E30" s="20" t="s">
        <v>1390</v>
      </c>
    </row>
    <row r="31" ht="14.25" customHeight="1" spans="1:5">
      <c r="A31" s="36">
        <f t="shared" si="0"/>
        <v>11044</v>
      </c>
      <c r="B31" s="20" t="s">
        <v>1387</v>
      </c>
      <c r="C31" s="20" t="s">
        <v>1388</v>
      </c>
      <c r="D31" s="20" t="s">
        <v>1389</v>
      </c>
      <c r="E31" s="20" t="s">
        <v>1390</v>
      </c>
    </row>
    <row r="32" ht="14.25" customHeight="1" spans="1:5">
      <c r="A32" s="36">
        <f t="shared" si="0"/>
        <v>11045</v>
      </c>
      <c r="B32" s="20" t="s">
        <v>1387</v>
      </c>
      <c r="C32" s="20" t="s">
        <v>1388</v>
      </c>
      <c r="D32" s="20" t="s">
        <v>1389</v>
      </c>
      <c r="E32" s="20" t="s">
        <v>1390</v>
      </c>
    </row>
    <row r="33" ht="14.25" customHeight="1" spans="1:6">
      <c r="A33" s="36">
        <f t="shared" si="0"/>
        <v>11051</v>
      </c>
      <c r="B33" s="20" t="s">
        <v>1387</v>
      </c>
      <c r="C33" s="20" t="s">
        <v>1388</v>
      </c>
      <c r="D33" s="20" t="s">
        <v>1389</v>
      </c>
      <c r="E33" s="20" t="s">
        <v>1390</v>
      </c>
    </row>
    <row r="34" ht="14.25" customHeight="1" spans="1:6">
      <c r="A34" s="36">
        <f t="shared" si="0"/>
        <v>11052</v>
      </c>
      <c r="B34" s="20" t="s">
        <v>1387</v>
      </c>
      <c r="C34" s="20" t="s">
        <v>1388</v>
      </c>
      <c r="D34" s="20" t="s">
        <v>1389</v>
      </c>
      <c r="E34" s="20" t="s">
        <v>1390</v>
      </c>
    </row>
    <row r="35" ht="14.25" customHeight="1" spans="1:6">
      <c r="A35" s="36">
        <f t="shared" si="0"/>
        <v>11053</v>
      </c>
      <c r="B35" s="20" t="s">
        <v>1387</v>
      </c>
      <c r="C35" s="20" t="s">
        <v>1388</v>
      </c>
      <c r="D35" s="20" t="s">
        <v>1389</v>
      </c>
      <c r="E35" s="20" t="s">
        <v>1390</v>
      </c>
    </row>
    <row r="36" ht="14.25" customHeight="1" spans="1:6">
      <c r="A36" s="36">
        <f t="shared" si="0"/>
        <v>11054</v>
      </c>
      <c r="B36" s="20" t="s">
        <v>1387</v>
      </c>
      <c r="C36" s="20" t="s">
        <v>1388</v>
      </c>
      <c r="D36" s="20" t="s">
        <v>1389</v>
      </c>
      <c r="E36" s="20" t="s">
        <v>1390</v>
      </c>
    </row>
    <row r="37" ht="14.25" customHeight="1" spans="1:6">
      <c r="A37" s="36">
        <f t="shared" si="0"/>
        <v>11055</v>
      </c>
      <c r="B37" s="20" t="s">
        <v>1387</v>
      </c>
      <c r="C37" s="20" t="s">
        <v>1388</v>
      </c>
      <c r="D37" s="20" t="s">
        <v>1389</v>
      </c>
      <c r="E37" s="20" t="s">
        <v>1390</v>
      </c>
    </row>
    <row r="38" ht="14.25" customHeight="1" spans="1:6">
      <c r="A38" s="36">
        <f t="shared" si="0"/>
        <v>11061</v>
      </c>
      <c r="B38" s="20" t="s">
        <v>1387</v>
      </c>
      <c r="C38" s="20" t="s">
        <v>1388</v>
      </c>
      <c r="D38" s="20" t="s">
        <v>1389</v>
      </c>
      <c r="E38" s="20" t="s">
        <v>1390</v>
      </c>
    </row>
    <row r="39" ht="14.25" customHeight="1" spans="1:6">
      <c r="A39" s="36">
        <f t="shared" si="0"/>
        <v>11062</v>
      </c>
      <c r="B39" s="20" t="s">
        <v>1387</v>
      </c>
      <c r="C39" s="20" t="s">
        <v>1388</v>
      </c>
      <c r="D39" s="20" t="s">
        <v>1389</v>
      </c>
      <c r="E39" s="20" t="s">
        <v>1390</v>
      </c>
    </row>
    <row r="40" ht="14.25" customHeight="1" spans="1:6">
      <c r="A40" s="36">
        <f t="shared" si="0"/>
        <v>11063</v>
      </c>
      <c r="B40" s="20" t="s">
        <v>1387</v>
      </c>
      <c r="C40" s="20" t="s">
        <v>1388</v>
      </c>
      <c r="D40" s="20" t="s">
        <v>1389</v>
      </c>
      <c r="E40" s="20" t="s">
        <v>1390</v>
      </c>
    </row>
    <row r="41" ht="14.25" customHeight="1" spans="1:6">
      <c r="A41" s="36">
        <f t="shared" si="0"/>
        <v>11064</v>
      </c>
      <c r="B41" s="20" t="s">
        <v>1387</v>
      </c>
      <c r="C41" s="20" t="s">
        <v>1388</v>
      </c>
      <c r="D41" s="20" t="s">
        <v>1389</v>
      </c>
      <c r="E41" s="20" t="s">
        <v>1390</v>
      </c>
    </row>
    <row r="42" ht="14.25" customHeight="1" spans="1:6">
      <c r="A42" s="36">
        <f t="shared" si="0"/>
        <v>11065</v>
      </c>
      <c r="B42" s="20" t="s">
        <v>1387</v>
      </c>
      <c r="C42" s="20" t="s">
        <v>1388</v>
      </c>
      <c r="D42" s="20" t="s">
        <v>1389</v>
      </c>
      <c r="E42" s="20" t="s">
        <v>1390</v>
      </c>
    </row>
    <row r="43" ht="14.25" customHeight="1" spans="1:6">
      <c r="A43" s="36">
        <v>11066</v>
      </c>
      <c r="B43" s="20" t="s">
        <v>1387</v>
      </c>
      <c r="C43" s="20" t="s">
        <v>1388</v>
      </c>
      <c r="D43" s="20" t="s">
        <v>1389</v>
      </c>
      <c r="E43" s="20" t="s">
        <v>1390</v>
      </c>
    </row>
    <row r="44" ht="14.25" customHeight="1" spans="1:6">
      <c r="A44" s="1">
        <v>20001</v>
      </c>
      <c r="B44" s="20" t="s">
        <v>1387</v>
      </c>
      <c r="C44" s="20" t="s">
        <v>1388</v>
      </c>
      <c r="D44" s="20" t="s">
        <v>1389</v>
      </c>
      <c r="E44" s="20" t="s">
        <v>1390</v>
      </c>
      <c r="F44" s="1"/>
    </row>
    <row r="45" ht="14.25" customHeight="1" spans="1:6">
      <c r="A45" s="1">
        <v>20002</v>
      </c>
      <c r="B45" s="20" t="s">
        <v>1387</v>
      </c>
      <c r="C45" s="20" t="s">
        <v>1388</v>
      </c>
      <c r="D45" s="20" t="s">
        <v>1389</v>
      </c>
      <c r="E45" s="20" t="s">
        <v>1390</v>
      </c>
      <c r="F45" s="1"/>
    </row>
    <row r="46" ht="14.25" customHeight="1" spans="1:6">
      <c r="A46" s="1">
        <v>20003</v>
      </c>
      <c r="B46" s="20" t="s">
        <v>1387</v>
      </c>
      <c r="C46" s="20" t="s">
        <v>1388</v>
      </c>
      <c r="D46" s="20" t="s">
        <v>1389</v>
      </c>
      <c r="E46" s="20" t="s">
        <v>1390</v>
      </c>
      <c r="F46" s="1"/>
    </row>
    <row r="47" ht="14.25" customHeight="1" spans="1:6">
      <c r="A47" s="1">
        <v>20004</v>
      </c>
      <c r="B47" s="20" t="s">
        <v>1387</v>
      </c>
      <c r="C47" s="20" t="s">
        <v>1388</v>
      </c>
      <c r="D47" s="20" t="s">
        <v>1389</v>
      </c>
      <c r="E47" s="20" t="s">
        <v>1390</v>
      </c>
      <c r="F47" s="1"/>
    </row>
    <row r="48" ht="14.25" customHeight="1" spans="1:6">
      <c r="A48" s="1">
        <v>20005</v>
      </c>
      <c r="B48" s="20" t="s">
        <v>1387</v>
      </c>
      <c r="C48" s="20" t="s">
        <v>1388</v>
      </c>
      <c r="D48" s="20" t="s">
        <v>1389</v>
      </c>
      <c r="E48" s="20" t="s">
        <v>1390</v>
      </c>
      <c r="F48" s="1"/>
    </row>
    <row r="49" ht="14.25" customHeight="1" spans="1:6">
      <c r="A49" s="1">
        <v>20006</v>
      </c>
      <c r="B49" s="20" t="s">
        <v>1387</v>
      </c>
      <c r="C49" s="20" t="s">
        <v>1388</v>
      </c>
      <c r="D49" s="20" t="s">
        <v>1389</v>
      </c>
      <c r="E49" s="20" t="s">
        <v>1390</v>
      </c>
      <c r="F49" s="1"/>
    </row>
    <row r="50" ht="14.25" customHeight="1" spans="1:6">
      <c r="A50" s="1">
        <v>20007</v>
      </c>
      <c r="B50" s="20" t="s">
        <v>1387</v>
      </c>
      <c r="C50" s="20" t="s">
        <v>1388</v>
      </c>
      <c r="D50" s="20" t="s">
        <v>1389</v>
      </c>
      <c r="E50" s="20" t="s">
        <v>1390</v>
      </c>
      <c r="F50" s="1"/>
    </row>
    <row r="51" ht="14.25" customHeight="1" spans="1:6">
      <c r="A51" s="1">
        <v>20008</v>
      </c>
      <c r="B51" s="20" t="s">
        <v>1387</v>
      </c>
      <c r="C51" s="20" t="s">
        <v>1388</v>
      </c>
      <c r="D51" s="20" t="s">
        <v>1389</v>
      </c>
      <c r="E51" s="20" t="s">
        <v>1390</v>
      </c>
      <c r="F51" s="1"/>
    </row>
    <row r="52" ht="14.25" customHeight="1" spans="1:6">
      <c r="A52" s="1">
        <v>20009</v>
      </c>
      <c r="B52" s="20" t="s">
        <v>1387</v>
      </c>
      <c r="C52" s="20" t="s">
        <v>1388</v>
      </c>
      <c r="D52" s="20" t="s">
        <v>1389</v>
      </c>
      <c r="E52" s="20" t="s">
        <v>1390</v>
      </c>
      <c r="F52" s="1"/>
    </row>
    <row r="53" ht="14.25" customHeight="1" spans="1:6">
      <c r="A53" s="1">
        <v>20010</v>
      </c>
      <c r="B53" s="20" t="s">
        <v>1387</v>
      </c>
      <c r="C53" s="20" t="s">
        <v>1388</v>
      </c>
      <c r="D53" s="20" t="s">
        <v>1389</v>
      </c>
      <c r="E53" s="20" t="s">
        <v>1390</v>
      </c>
      <c r="F53" s="1"/>
    </row>
    <row r="54" ht="14.25" customHeight="1" spans="1:6">
      <c r="A54" s="1">
        <v>20011</v>
      </c>
      <c r="B54" s="20" t="s">
        <v>1387</v>
      </c>
      <c r="C54" s="20" t="s">
        <v>1388</v>
      </c>
      <c r="D54" s="20" t="s">
        <v>1389</v>
      </c>
      <c r="E54" s="20" t="s">
        <v>1390</v>
      </c>
      <c r="F54" s="1"/>
    </row>
    <row r="55" ht="14.25" customHeight="1" spans="1:6">
      <c r="A55" s="1">
        <v>30001</v>
      </c>
      <c r="B55" s="20" t="s">
        <v>1387</v>
      </c>
      <c r="C55" s="20" t="s">
        <v>1388</v>
      </c>
      <c r="D55" s="20" t="s">
        <v>1389</v>
      </c>
      <c r="E55" s="20" t="s">
        <v>1390</v>
      </c>
      <c r="F55" s="1"/>
    </row>
    <row r="56" ht="14.25" customHeight="1" spans="1:6">
      <c r="A56" s="1">
        <v>30002</v>
      </c>
      <c r="B56" s="20" t="s">
        <v>1387</v>
      </c>
      <c r="C56" s="20" t="s">
        <v>1388</v>
      </c>
      <c r="D56" s="20" t="s">
        <v>1389</v>
      </c>
      <c r="E56" s="20" t="s">
        <v>1390</v>
      </c>
      <c r="F56" s="1"/>
    </row>
    <row r="57" ht="14.25" customHeight="1" spans="1:6">
      <c r="A57" s="1">
        <v>30003</v>
      </c>
      <c r="B57" s="20" t="s">
        <v>1387</v>
      </c>
      <c r="C57" s="20" t="s">
        <v>1388</v>
      </c>
      <c r="D57" s="20" t="s">
        <v>1389</v>
      </c>
      <c r="E57" s="20" t="s">
        <v>1390</v>
      </c>
      <c r="F57" s="1"/>
    </row>
    <row r="58" ht="14.25" customHeight="1" spans="1:6">
      <c r="A58" s="1">
        <v>30004</v>
      </c>
      <c r="B58" s="20" t="s">
        <v>1387</v>
      </c>
      <c r="C58" s="20" t="s">
        <v>1388</v>
      </c>
      <c r="D58" s="20" t="s">
        <v>1389</v>
      </c>
      <c r="E58" s="20" t="s">
        <v>1390</v>
      </c>
      <c r="F58" s="1"/>
    </row>
    <row r="59" ht="14.25" customHeight="1" spans="1:6">
      <c r="A59" s="1">
        <v>30005</v>
      </c>
      <c r="B59" s="20" t="s">
        <v>1387</v>
      </c>
      <c r="C59" s="20" t="s">
        <v>1388</v>
      </c>
      <c r="D59" s="20" t="s">
        <v>1389</v>
      </c>
      <c r="E59" s="20" t="s">
        <v>1390</v>
      </c>
      <c r="F59" s="1"/>
    </row>
    <row r="60" ht="14.25" customHeight="1" spans="1:6">
      <c r="A60" s="1">
        <v>30006</v>
      </c>
      <c r="B60" s="20" t="s">
        <v>1387</v>
      </c>
      <c r="C60" s="20" t="s">
        <v>1388</v>
      </c>
      <c r="D60" s="20" t="s">
        <v>1389</v>
      </c>
      <c r="E60" s="20" t="s">
        <v>1390</v>
      </c>
      <c r="F60" s="1"/>
    </row>
    <row r="61" ht="14.25" customHeight="1" spans="1:6">
      <c r="A61" s="1">
        <v>30007</v>
      </c>
      <c r="B61" s="20" t="s">
        <v>1387</v>
      </c>
      <c r="C61" s="20" t="s">
        <v>1388</v>
      </c>
      <c r="D61" s="20" t="s">
        <v>1389</v>
      </c>
      <c r="E61" s="20" t="s">
        <v>1390</v>
      </c>
      <c r="F61" s="1"/>
    </row>
    <row r="62" ht="14.25" customHeight="1" spans="1:6">
      <c r="A62" s="1">
        <v>30008</v>
      </c>
      <c r="B62" s="20" t="s">
        <v>1387</v>
      </c>
      <c r="C62" s="20" t="s">
        <v>1388</v>
      </c>
      <c r="D62" s="20" t="s">
        <v>1389</v>
      </c>
      <c r="E62" s="20" t="s">
        <v>1390</v>
      </c>
      <c r="F62" s="1"/>
    </row>
    <row r="63" ht="14.25" customHeight="1" spans="1:6">
      <c r="A63" s="1">
        <v>30009</v>
      </c>
      <c r="B63" s="20" t="s">
        <v>1387</v>
      </c>
      <c r="C63" s="20" t="s">
        <v>1388</v>
      </c>
      <c r="D63" s="20" t="s">
        <v>1389</v>
      </c>
      <c r="E63" s="20" t="s">
        <v>1390</v>
      </c>
      <c r="F63" s="1"/>
    </row>
    <row r="64" ht="14.25" customHeight="1" spans="1:6">
      <c r="A64" s="1">
        <v>30010</v>
      </c>
      <c r="B64" s="20" t="s">
        <v>1387</v>
      </c>
      <c r="C64" s="20" t="s">
        <v>1388</v>
      </c>
      <c r="D64" s="20" t="s">
        <v>1389</v>
      </c>
      <c r="E64" s="20" t="s">
        <v>1390</v>
      </c>
      <c r="F64" s="1"/>
    </row>
    <row r="65" ht="14.25" customHeight="1" spans="1:6">
      <c r="A65" s="1">
        <v>30011</v>
      </c>
      <c r="B65" s="20" t="s">
        <v>1387</v>
      </c>
      <c r="C65" s="20" t="s">
        <v>1388</v>
      </c>
      <c r="D65" s="20" t="s">
        <v>1389</v>
      </c>
      <c r="E65" s="20" t="s">
        <v>1390</v>
      </c>
      <c r="F65" s="1"/>
    </row>
    <row r="66" ht="14.25" customHeight="1" spans="1:6">
      <c r="A66" s="1">
        <v>31001</v>
      </c>
      <c r="B66" s="20" t="s">
        <v>1387</v>
      </c>
      <c r="C66" s="20" t="s">
        <v>1388</v>
      </c>
      <c r="D66" s="20" t="s">
        <v>1389</v>
      </c>
      <c r="E66" s="20" t="s">
        <v>1390</v>
      </c>
      <c r="F66" s="1"/>
    </row>
    <row r="67" ht="14.25" customHeight="1" spans="1:6">
      <c r="A67" s="1">
        <v>31002</v>
      </c>
      <c r="B67" s="20" t="s">
        <v>1387</v>
      </c>
      <c r="C67" s="20" t="s">
        <v>1388</v>
      </c>
      <c r="D67" s="20" t="s">
        <v>1389</v>
      </c>
      <c r="E67" s="20" t="s">
        <v>1390</v>
      </c>
      <c r="F67" s="1"/>
    </row>
    <row r="68" ht="14.25" customHeight="1" spans="1:6">
      <c r="A68" s="1">
        <v>31003</v>
      </c>
      <c r="B68" s="20" t="s">
        <v>1387</v>
      </c>
      <c r="C68" s="20" t="s">
        <v>1388</v>
      </c>
      <c r="D68" s="20" t="s">
        <v>1389</v>
      </c>
      <c r="E68" s="20" t="s">
        <v>1390</v>
      </c>
      <c r="F68" s="1"/>
    </row>
    <row r="69" ht="14.25" customHeight="1" spans="1:6">
      <c r="A69" s="1">
        <v>31004</v>
      </c>
      <c r="B69" s="20" t="s">
        <v>1387</v>
      </c>
      <c r="C69" s="20" t="s">
        <v>1388</v>
      </c>
      <c r="D69" s="20" t="s">
        <v>1389</v>
      </c>
      <c r="E69" s="20" t="s">
        <v>1390</v>
      </c>
      <c r="F69" s="1"/>
    </row>
    <row r="70" ht="14.25" customHeight="1" spans="1:6">
      <c r="A70" s="1">
        <v>31005</v>
      </c>
      <c r="B70" s="20" t="s">
        <v>1387</v>
      </c>
      <c r="C70" s="20" t="s">
        <v>1388</v>
      </c>
      <c r="D70" s="20" t="s">
        <v>1389</v>
      </c>
      <c r="E70" s="20" t="s">
        <v>1390</v>
      </c>
      <c r="F70" s="1"/>
    </row>
    <row r="71" ht="14.25" customHeight="1" spans="1:6">
      <c r="A71" s="1">
        <v>31006</v>
      </c>
      <c r="B71" s="20" t="s">
        <v>1387</v>
      </c>
      <c r="C71" s="20" t="s">
        <v>1388</v>
      </c>
      <c r="D71" s="20" t="s">
        <v>1389</v>
      </c>
      <c r="E71" s="20" t="s">
        <v>1390</v>
      </c>
      <c r="F71" s="1"/>
    </row>
    <row r="72" ht="14.25" customHeight="1" spans="1:6">
      <c r="A72" s="1">
        <v>31007</v>
      </c>
      <c r="B72" s="20" t="s">
        <v>1387</v>
      </c>
      <c r="C72" s="20" t="s">
        <v>1388</v>
      </c>
      <c r="D72" s="20" t="s">
        <v>1389</v>
      </c>
      <c r="E72" s="20" t="s">
        <v>1390</v>
      </c>
      <c r="F72" s="1"/>
    </row>
    <row r="73" ht="14.25" customHeight="1" spans="1:6">
      <c r="A73" s="1">
        <v>31008</v>
      </c>
      <c r="B73" s="20" t="s">
        <v>1387</v>
      </c>
      <c r="C73" s="20" t="s">
        <v>1388</v>
      </c>
      <c r="D73" s="20" t="s">
        <v>1389</v>
      </c>
      <c r="E73" s="20" t="s">
        <v>1390</v>
      </c>
      <c r="F73" s="1"/>
    </row>
    <row r="74" ht="14.25" customHeight="1" spans="1:6">
      <c r="A74" s="1">
        <v>31009</v>
      </c>
      <c r="B74" s="20" t="s">
        <v>1387</v>
      </c>
      <c r="C74" s="20" t="s">
        <v>1388</v>
      </c>
      <c r="D74" s="20" t="s">
        <v>1389</v>
      </c>
      <c r="E74" s="20" t="s">
        <v>1390</v>
      </c>
      <c r="F74" s="1"/>
    </row>
    <row r="75" ht="14.25" customHeight="1" spans="1:6">
      <c r="A75" s="1">
        <v>31010</v>
      </c>
      <c r="B75" s="20" t="s">
        <v>1387</v>
      </c>
      <c r="C75" s="20" t="s">
        <v>1388</v>
      </c>
      <c r="D75" s="20" t="s">
        <v>1389</v>
      </c>
      <c r="E75" s="20" t="s">
        <v>1390</v>
      </c>
      <c r="F75" s="1"/>
    </row>
    <row r="76" ht="14.25" customHeight="1" spans="1:6">
      <c r="A76" s="1">
        <v>31011</v>
      </c>
      <c r="B76" s="20" t="s">
        <v>1387</v>
      </c>
      <c r="C76" s="20" t="s">
        <v>1388</v>
      </c>
      <c r="D76" s="20" t="s">
        <v>1389</v>
      </c>
      <c r="E76" s="20" t="s">
        <v>1390</v>
      </c>
      <c r="F76" s="1"/>
    </row>
    <row r="77" ht="14.25" customHeight="1" spans="1:6">
      <c r="A77" s="1">
        <v>32001</v>
      </c>
      <c r="B77" s="20" t="s">
        <v>1387</v>
      </c>
      <c r="C77" s="20" t="s">
        <v>1388</v>
      </c>
      <c r="D77" s="20" t="s">
        <v>1389</v>
      </c>
      <c r="E77" s="20" t="s">
        <v>1390</v>
      </c>
      <c r="F77" s="1"/>
    </row>
    <row r="78" ht="14.25" customHeight="1" spans="1:6">
      <c r="A78" s="1">
        <v>32002</v>
      </c>
      <c r="B78" s="20" t="s">
        <v>1387</v>
      </c>
      <c r="C78" s="20" t="s">
        <v>1388</v>
      </c>
      <c r="D78" s="20" t="s">
        <v>1389</v>
      </c>
      <c r="E78" s="20" t="s">
        <v>1390</v>
      </c>
      <c r="F78" s="1"/>
    </row>
    <row r="79" ht="14.25" customHeight="1" spans="1:6">
      <c r="A79" s="1">
        <v>32003</v>
      </c>
      <c r="B79" s="20" t="s">
        <v>1387</v>
      </c>
      <c r="C79" s="20" t="s">
        <v>1388</v>
      </c>
      <c r="D79" s="20" t="s">
        <v>1389</v>
      </c>
      <c r="E79" s="20" t="s">
        <v>1390</v>
      </c>
      <c r="F79" s="1"/>
    </row>
    <row r="80" ht="14.25" customHeight="1" spans="1:6">
      <c r="A80" s="1">
        <v>32004</v>
      </c>
      <c r="B80" s="20" t="s">
        <v>1387</v>
      </c>
      <c r="C80" s="20" t="s">
        <v>1388</v>
      </c>
      <c r="D80" s="20" t="s">
        <v>1389</v>
      </c>
      <c r="E80" s="20" t="s">
        <v>1390</v>
      </c>
      <c r="F80" s="1"/>
    </row>
    <row r="81" ht="14.25" customHeight="1" spans="1:6">
      <c r="A81" s="1">
        <v>32005</v>
      </c>
      <c r="B81" s="20" t="s">
        <v>1387</v>
      </c>
      <c r="C81" s="20" t="s">
        <v>1388</v>
      </c>
      <c r="D81" s="20" t="s">
        <v>1389</v>
      </c>
      <c r="E81" s="20" t="s">
        <v>1390</v>
      </c>
      <c r="F81" s="1"/>
    </row>
    <row r="82" ht="14.25" customHeight="1" spans="1:6">
      <c r="A82" s="1">
        <v>32006</v>
      </c>
      <c r="B82" s="20" t="s">
        <v>1387</v>
      </c>
      <c r="C82" s="20" t="s">
        <v>1388</v>
      </c>
      <c r="D82" s="20" t="s">
        <v>1389</v>
      </c>
      <c r="E82" s="20" t="s">
        <v>1390</v>
      </c>
      <c r="F82" s="1"/>
    </row>
    <row r="83" ht="14.25" customHeight="1" spans="1:6">
      <c r="A83" s="1">
        <v>32007</v>
      </c>
      <c r="B83" s="20" t="s">
        <v>1387</v>
      </c>
      <c r="C83" s="20" t="s">
        <v>1388</v>
      </c>
      <c r="D83" s="20" t="s">
        <v>1389</v>
      </c>
      <c r="E83" s="20" t="s">
        <v>1390</v>
      </c>
      <c r="F83" s="1"/>
    </row>
    <row r="84" ht="14.25" customHeight="1" spans="1:6">
      <c r="A84" s="1">
        <v>32008</v>
      </c>
      <c r="B84" s="20" t="s">
        <v>1387</v>
      </c>
      <c r="C84" s="20" t="s">
        <v>1388</v>
      </c>
      <c r="D84" s="20" t="s">
        <v>1389</v>
      </c>
      <c r="E84" s="20" t="s">
        <v>1390</v>
      </c>
      <c r="F84" s="1"/>
    </row>
    <row r="85" ht="14.25" customHeight="1" spans="1:6">
      <c r="A85" s="1">
        <v>32009</v>
      </c>
      <c r="B85" s="20" t="s">
        <v>1387</v>
      </c>
      <c r="C85" s="20" t="s">
        <v>1388</v>
      </c>
      <c r="D85" s="20" t="s">
        <v>1389</v>
      </c>
      <c r="E85" s="20" t="s">
        <v>1390</v>
      </c>
      <c r="F85" s="1"/>
    </row>
    <row r="86" ht="14.25" customHeight="1" spans="1:6">
      <c r="A86" s="1">
        <v>32010</v>
      </c>
      <c r="B86" s="20" t="s">
        <v>1387</v>
      </c>
      <c r="C86" s="20" t="s">
        <v>1388</v>
      </c>
      <c r="D86" s="20" t="s">
        <v>1389</v>
      </c>
      <c r="E86" s="20" t="s">
        <v>1390</v>
      </c>
      <c r="F86" s="1"/>
    </row>
    <row r="87" ht="14.25" customHeight="1" spans="1:6">
      <c r="A87" s="1">
        <v>32011</v>
      </c>
      <c r="B87" s="20" t="s">
        <v>1387</v>
      </c>
      <c r="C87" s="20" t="s">
        <v>1388</v>
      </c>
      <c r="D87" s="20" t="s">
        <v>1389</v>
      </c>
      <c r="E87" s="20" t="s">
        <v>1390</v>
      </c>
      <c r="F87" s="1"/>
    </row>
    <row r="88" ht="14.25" customHeight="1" spans="1:6">
      <c r="A88" s="1">
        <v>33001</v>
      </c>
      <c r="B88" s="20" t="s">
        <v>1387</v>
      </c>
      <c r="C88" s="20" t="s">
        <v>1388</v>
      </c>
      <c r="D88" s="20" t="s">
        <v>1389</v>
      </c>
      <c r="E88" s="20" t="s">
        <v>1390</v>
      </c>
    </row>
    <row r="89" ht="14.25" customHeight="1" spans="1:6">
      <c r="A89" s="1">
        <v>33002</v>
      </c>
      <c r="B89" s="20" t="s">
        <v>1387</v>
      </c>
      <c r="C89" s="20" t="s">
        <v>1388</v>
      </c>
      <c r="D89" s="20" t="s">
        <v>1389</v>
      </c>
      <c r="E89" s="20" t="s">
        <v>1390</v>
      </c>
    </row>
    <row r="90" ht="14.25" customHeight="1" spans="1:6">
      <c r="A90" s="1">
        <v>33003</v>
      </c>
      <c r="B90" s="20" t="s">
        <v>1387</v>
      </c>
      <c r="C90" s="20" t="s">
        <v>1388</v>
      </c>
      <c r="D90" s="20" t="s">
        <v>1389</v>
      </c>
      <c r="E90" s="20" t="s">
        <v>1390</v>
      </c>
    </row>
    <row r="91" ht="14.25" customHeight="1" spans="1:6">
      <c r="A91" s="1">
        <v>33004</v>
      </c>
      <c r="B91" s="20" t="s">
        <v>1387</v>
      </c>
      <c r="C91" s="20" t="s">
        <v>1388</v>
      </c>
      <c r="D91" s="20" t="s">
        <v>1389</v>
      </c>
      <c r="E91" s="20" t="s">
        <v>1390</v>
      </c>
    </row>
    <row r="92" ht="14.25" customHeight="1" spans="1:6">
      <c r="A92" s="1">
        <v>33005</v>
      </c>
      <c r="B92" s="20" t="s">
        <v>1387</v>
      </c>
      <c r="C92" s="20" t="s">
        <v>1388</v>
      </c>
      <c r="D92" s="20" t="s">
        <v>1389</v>
      </c>
      <c r="E92" s="20" t="s">
        <v>1390</v>
      </c>
    </row>
    <row r="93" ht="14.25" customHeight="1" spans="1:6">
      <c r="A93" s="1">
        <v>33006</v>
      </c>
      <c r="B93" s="20" t="s">
        <v>1387</v>
      </c>
      <c r="C93" s="20" t="s">
        <v>1388</v>
      </c>
      <c r="D93" s="20" t="s">
        <v>1389</v>
      </c>
      <c r="E93" s="20" t="s">
        <v>1390</v>
      </c>
    </row>
    <row r="94" ht="14.25" customHeight="1" spans="1:6">
      <c r="A94" s="1">
        <v>33007</v>
      </c>
      <c r="B94" s="20" t="s">
        <v>1387</v>
      </c>
      <c r="C94" s="20" t="s">
        <v>1388</v>
      </c>
      <c r="D94" s="20" t="s">
        <v>1389</v>
      </c>
      <c r="E94" s="20" t="s">
        <v>1390</v>
      </c>
    </row>
    <row r="95" ht="14.25" customHeight="1" spans="1:6">
      <c r="A95" s="1">
        <v>33008</v>
      </c>
      <c r="B95" s="20" t="s">
        <v>1387</v>
      </c>
      <c r="C95" s="20" t="s">
        <v>1388</v>
      </c>
      <c r="D95" s="20" t="s">
        <v>1389</v>
      </c>
      <c r="E95" s="20" t="s">
        <v>1390</v>
      </c>
    </row>
    <row r="96" ht="14.25" customHeight="1" spans="1:6">
      <c r="A96" s="1">
        <v>33009</v>
      </c>
      <c r="B96" s="20" t="s">
        <v>1387</v>
      </c>
      <c r="C96" s="20" t="s">
        <v>1388</v>
      </c>
      <c r="D96" s="20" t="s">
        <v>1389</v>
      </c>
      <c r="E96" s="20" t="s">
        <v>1390</v>
      </c>
    </row>
    <row r="97" ht="14.25" customHeight="1" spans="1:5">
      <c r="A97" s="1">
        <v>33010</v>
      </c>
      <c r="B97" s="20" t="s">
        <v>1387</v>
      </c>
      <c r="C97" s="20" t="s">
        <v>1388</v>
      </c>
      <c r="D97" s="20" t="s">
        <v>1389</v>
      </c>
      <c r="E97" s="20" t="s">
        <v>1390</v>
      </c>
    </row>
    <row r="98" ht="14.25" customHeight="1" spans="1:5">
      <c r="A98" s="1">
        <v>33011</v>
      </c>
      <c r="B98" s="20" t="s">
        <v>1387</v>
      </c>
      <c r="C98" s="20" t="s">
        <v>1388</v>
      </c>
      <c r="D98" s="20" t="s">
        <v>1389</v>
      </c>
      <c r="E98" s="20" t="s">
        <v>1390</v>
      </c>
    </row>
    <row r="99" ht="14.25" customHeight="1" spans="1:5">
      <c r="A99" s="1">
        <v>34001</v>
      </c>
      <c r="B99" s="20" t="s">
        <v>1387</v>
      </c>
      <c r="C99" s="20" t="s">
        <v>1388</v>
      </c>
      <c r="D99" s="20" t="s">
        <v>1389</v>
      </c>
      <c r="E99" s="20" t="s">
        <v>1390</v>
      </c>
    </row>
    <row r="100" ht="14.25" customHeight="1" spans="1:5">
      <c r="A100" s="1">
        <v>34002</v>
      </c>
      <c r="B100" s="20" t="s">
        <v>1387</v>
      </c>
      <c r="C100" s="20" t="s">
        <v>1388</v>
      </c>
      <c r="D100" s="20" t="s">
        <v>1389</v>
      </c>
      <c r="E100" s="20" t="s">
        <v>1390</v>
      </c>
    </row>
    <row r="101" ht="14.25" customHeight="1" spans="1:5">
      <c r="A101" s="1">
        <v>34003</v>
      </c>
      <c r="B101" s="20" t="s">
        <v>1387</v>
      </c>
      <c r="C101" s="20" t="s">
        <v>1388</v>
      </c>
      <c r="D101" s="20" t="s">
        <v>1389</v>
      </c>
      <c r="E101" s="20" t="s">
        <v>1390</v>
      </c>
    </row>
    <row r="102" ht="14.25" customHeight="1" spans="1:5">
      <c r="A102" s="1">
        <v>34004</v>
      </c>
      <c r="B102" s="20" t="s">
        <v>1387</v>
      </c>
      <c r="C102" s="20" t="s">
        <v>1388</v>
      </c>
      <c r="D102" s="20" t="s">
        <v>1389</v>
      </c>
      <c r="E102" s="20" t="s">
        <v>1390</v>
      </c>
    </row>
    <row r="103" ht="14.25" customHeight="1" spans="1:5">
      <c r="A103" s="1">
        <v>34005</v>
      </c>
      <c r="B103" s="20" t="s">
        <v>1387</v>
      </c>
      <c r="C103" s="20" t="s">
        <v>1388</v>
      </c>
      <c r="D103" s="20" t="s">
        <v>1389</v>
      </c>
      <c r="E103" s="20" t="s">
        <v>1390</v>
      </c>
    </row>
    <row r="104" ht="14.25" customHeight="1" spans="1:5">
      <c r="A104" s="1">
        <v>34006</v>
      </c>
      <c r="B104" s="20" t="s">
        <v>1387</v>
      </c>
      <c r="C104" s="20" t="s">
        <v>1388</v>
      </c>
      <c r="D104" s="20" t="s">
        <v>1389</v>
      </c>
      <c r="E104" s="20" t="s">
        <v>1390</v>
      </c>
    </row>
    <row r="105" ht="14.25" customHeight="1" spans="1:5">
      <c r="A105" s="1">
        <v>34007</v>
      </c>
      <c r="B105" s="20" t="s">
        <v>1387</v>
      </c>
      <c r="C105" s="20" t="s">
        <v>1388</v>
      </c>
      <c r="D105" s="20" t="s">
        <v>1389</v>
      </c>
      <c r="E105" s="20" t="s">
        <v>1390</v>
      </c>
    </row>
    <row r="106" ht="14.25" customHeight="1" spans="1:5">
      <c r="A106" s="1">
        <v>34008</v>
      </c>
      <c r="B106" s="20" t="s">
        <v>1387</v>
      </c>
      <c r="C106" s="20" t="s">
        <v>1388</v>
      </c>
      <c r="D106" s="20" t="s">
        <v>1389</v>
      </c>
      <c r="E106" s="20" t="s">
        <v>1390</v>
      </c>
    </row>
    <row r="107" ht="14.25" customHeight="1" spans="1:5">
      <c r="A107" s="1">
        <v>34009</v>
      </c>
      <c r="B107" s="20" t="s">
        <v>1387</v>
      </c>
      <c r="C107" s="20" t="s">
        <v>1388</v>
      </c>
      <c r="D107" s="20" t="s">
        <v>1389</v>
      </c>
      <c r="E107" s="20" t="s">
        <v>1390</v>
      </c>
    </row>
    <row r="108" ht="14.25" customHeight="1" spans="1:5">
      <c r="A108" s="1">
        <v>34010</v>
      </c>
      <c r="B108" s="20" t="s">
        <v>1387</v>
      </c>
      <c r="C108" s="20" t="s">
        <v>1388</v>
      </c>
      <c r="D108" s="20" t="s">
        <v>1389</v>
      </c>
      <c r="E108" s="20" t="s">
        <v>1390</v>
      </c>
    </row>
    <row r="109" ht="14.25" customHeight="1" spans="1:5">
      <c r="A109" s="1">
        <v>34011</v>
      </c>
      <c r="B109" s="20" t="s">
        <v>1387</v>
      </c>
      <c r="C109" s="20" t="s">
        <v>1388</v>
      </c>
      <c r="D109" s="20" t="s">
        <v>1389</v>
      </c>
      <c r="E109" s="20" t="s">
        <v>1390</v>
      </c>
    </row>
    <row r="110" ht="14.25" customHeight="1" spans="1:5">
      <c r="A110" s="1">
        <v>35001</v>
      </c>
      <c r="B110" s="20" t="s">
        <v>1387</v>
      </c>
      <c r="C110" s="20" t="s">
        <v>1388</v>
      </c>
      <c r="D110" s="20" t="s">
        <v>1389</v>
      </c>
      <c r="E110" s="20" t="s">
        <v>1390</v>
      </c>
    </row>
    <row r="111" ht="14.25" customHeight="1" spans="1:5">
      <c r="A111" s="1">
        <v>35002</v>
      </c>
      <c r="B111" s="20" t="s">
        <v>1387</v>
      </c>
      <c r="C111" s="20" t="s">
        <v>1388</v>
      </c>
      <c r="D111" s="20" t="s">
        <v>1389</v>
      </c>
      <c r="E111" s="20" t="s">
        <v>1390</v>
      </c>
    </row>
    <row r="112" ht="14.25" customHeight="1" spans="1:5">
      <c r="A112" s="1">
        <v>35003</v>
      </c>
      <c r="B112" s="20" t="s">
        <v>1387</v>
      </c>
      <c r="C112" s="20" t="s">
        <v>1388</v>
      </c>
      <c r="D112" s="20" t="s">
        <v>1389</v>
      </c>
      <c r="E112" s="20" t="s">
        <v>1390</v>
      </c>
    </row>
    <row r="113" ht="14.25" customHeight="1" spans="1:5">
      <c r="A113" s="1">
        <v>35004</v>
      </c>
      <c r="B113" s="20" t="s">
        <v>1387</v>
      </c>
      <c r="C113" s="20" t="s">
        <v>1388</v>
      </c>
      <c r="D113" s="20" t="s">
        <v>1389</v>
      </c>
      <c r="E113" s="20" t="s">
        <v>1390</v>
      </c>
    </row>
    <row r="114" ht="14.25" customHeight="1" spans="1:5">
      <c r="A114" s="1">
        <v>35005</v>
      </c>
      <c r="B114" s="20" t="s">
        <v>1387</v>
      </c>
      <c r="C114" s="20" t="s">
        <v>1388</v>
      </c>
      <c r="D114" s="20" t="s">
        <v>1389</v>
      </c>
      <c r="E114" s="20" t="s">
        <v>1390</v>
      </c>
    </row>
    <row r="115" ht="14.25" customHeight="1" spans="1:5">
      <c r="A115" s="1">
        <v>35006</v>
      </c>
      <c r="B115" s="20" t="s">
        <v>1387</v>
      </c>
      <c r="C115" s="20" t="s">
        <v>1388</v>
      </c>
      <c r="D115" s="20" t="s">
        <v>1389</v>
      </c>
      <c r="E115" s="20" t="s">
        <v>1390</v>
      </c>
    </row>
    <row r="116" ht="14.25" customHeight="1" spans="1:5">
      <c r="A116" s="1">
        <v>35007</v>
      </c>
      <c r="B116" s="20" t="s">
        <v>1387</v>
      </c>
      <c r="C116" s="20" t="s">
        <v>1388</v>
      </c>
      <c r="D116" s="20" t="s">
        <v>1389</v>
      </c>
      <c r="E116" s="20" t="s">
        <v>1390</v>
      </c>
    </row>
    <row r="117" ht="14.25" customHeight="1" spans="1:5">
      <c r="A117" s="1">
        <v>35008</v>
      </c>
      <c r="B117" s="20" t="s">
        <v>1387</v>
      </c>
      <c r="C117" s="20" t="s">
        <v>1388</v>
      </c>
      <c r="D117" s="20" t="s">
        <v>1389</v>
      </c>
      <c r="E117" s="20" t="s">
        <v>1390</v>
      </c>
    </row>
    <row r="118" ht="14.25" customHeight="1" spans="1:5">
      <c r="A118" s="1">
        <v>35009</v>
      </c>
      <c r="B118" s="20" t="s">
        <v>1387</v>
      </c>
      <c r="C118" s="20" t="s">
        <v>1388</v>
      </c>
      <c r="D118" s="20" t="s">
        <v>1389</v>
      </c>
      <c r="E118" s="20" t="s">
        <v>1390</v>
      </c>
    </row>
    <row r="119" ht="14.25" customHeight="1" spans="1:5">
      <c r="A119" s="1">
        <v>35010</v>
      </c>
      <c r="B119" s="20" t="s">
        <v>1387</v>
      </c>
      <c r="C119" s="20" t="s">
        <v>1388</v>
      </c>
      <c r="D119" s="20" t="s">
        <v>1389</v>
      </c>
      <c r="E119" s="20" t="s">
        <v>1390</v>
      </c>
    </row>
    <row r="120" ht="14.25" customHeight="1" spans="1:5">
      <c r="A120" s="1">
        <v>35011</v>
      </c>
      <c r="B120" s="20" t="s">
        <v>1387</v>
      </c>
      <c r="C120" s="20" t="s">
        <v>1388</v>
      </c>
      <c r="D120" s="20" t="s">
        <v>1389</v>
      </c>
      <c r="E120" s="20" t="s">
        <v>1390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1386</v>
      </c>
      <c r="B1" s="18" t="s">
        <v>1392</v>
      </c>
    </row>
    <row r="2" customHeight="1" spans="1:2">
      <c r="A2" s="17" t="s">
        <v>1386</v>
      </c>
      <c r="B2" s="18" t="s">
        <v>1393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1394</v>
      </c>
    </row>
    <row r="5" customHeight="1" spans="1:2">
      <c r="A5" s="17">
        <v>10002</v>
      </c>
      <c r="B5" s="17" t="s">
        <v>1395</v>
      </c>
    </row>
    <row r="6" customHeight="1" spans="1:2">
      <c r="A6" s="17">
        <v>10003</v>
      </c>
      <c r="B6" s="17" t="s">
        <v>1396</v>
      </c>
    </row>
    <row r="7" customHeight="1" spans="1:2">
      <c r="A7" s="19">
        <v>10004</v>
      </c>
      <c r="B7" s="19" t="s">
        <v>1397</v>
      </c>
    </row>
    <row r="8" customHeight="1" spans="1:2">
      <c r="A8" s="17">
        <v>10005</v>
      </c>
      <c r="B8" s="17" t="s">
        <v>1398</v>
      </c>
    </row>
    <row r="9" customHeight="1" spans="1:2">
      <c r="A9" s="17">
        <v>10006</v>
      </c>
      <c r="B9" t="s">
        <v>1399</v>
      </c>
    </row>
    <row r="10" customHeight="1" spans="1:2">
      <c r="A10" s="17">
        <v>10007</v>
      </c>
      <c r="B10" t="s">
        <v>1400</v>
      </c>
    </row>
    <row r="11" customHeight="1" spans="1:2">
      <c r="A11" s="19">
        <v>10008</v>
      </c>
      <c r="B11" s="20" t="s">
        <v>1401</v>
      </c>
    </row>
    <row r="12" customHeight="1" spans="1:2">
      <c r="A12" s="17">
        <v>10009</v>
      </c>
      <c r="B12" t="s">
        <v>1402</v>
      </c>
    </row>
    <row r="13" customHeight="1" spans="1:2">
      <c r="A13" s="17">
        <v>10010</v>
      </c>
      <c r="B13" t="s">
        <v>1403</v>
      </c>
    </row>
    <row r="14" customHeight="1" spans="1:2">
      <c r="A14" s="17">
        <v>10011</v>
      </c>
      <c r="B14" t="s">
        <v>1404</v>
      </c>
    </row>
    <row r="15" customHeight="1" spans="1:2">
      <c r="A15" s="19">
        <v>10012</v>
      </c>
      <c r="B15" s="20" t="s">
        <v>1405</v>
      </c>
    </row>
    <row r="16" customHeight="1" spans="1:2">
      <c r="A16" s="17">
        <v>10013</v>
      </c>
      <c r="B16" t="s">
        <v>1406</v>
      </c>
    </row>
    <row r="17" customHeight="1" spans="1:2">
      <c r="A17" s="17">
        <v>10014</v>
      </c>
      <c r="B17" t="s">
        <v>1407</v>
      </c>
    </row>
    <row r="18" customHeight="1" spans="1:2">
      <c r="A18" s="17">
        <v>10015</v>
      </c>
      <c r="B18" t="s">
        <v>1408</v>
      </c>
    </row>
    <row r="19" customHeight="1" spans="1:2">
      <c r="A19" s="19">
        <v>10016</v>
      </c>
      <c r="B19" s="20" t="s">
        <v>1409</v>
      </c>
    </row>
    <row r="20" customHeight="1" spans="1:2">
      <c r="A20" s="17">
        <v>10017</v>
      </c>
      <c r="B20" t="s">
        <v>1410</v>
      </c>
    </row>
    <row r="21" customHeight="1" spans="1:2">
      <c r="A21" s="17">
        <v>10018</v>
      </c>
      <c r="B21" t="s">
        <v>1411</v>
      </c>
    </row>
    <row r="22" customHeight="1" spans="1:2">
      <c r="A22" s="17">
        <v>10019</v>
      </c>
      <c r="B22" t="s">
        <v>1412</v>
      </c>
    </row>
    <row r="23" customHeight="1" spans="1:2">
      <c r="A23" s="19">
        <v>10020</v>
      </c>
      <c r="B23" s="20" t="s">
        <v>1413</v>
      </c>
    </row>
    <row r="24" customHeight="1" spans="1:2">
      <c r="A24" s="17">
        <v>10021</v>
      </c>
      <c r="B24" t="s">
        <v>1414</v>
      </c>
    </row>
    <row r="25" customHeight="1" spans="1:2">
      <c r="A25" s="17">
        <v>10022</v>
      </c>
      <c r="B25" t="s">
        <v>1415</v>
      </c>
    </row>
    <row r="26" customHeight="1" spans="1:2">
      <c r="A26" s="17">
        <v>10023</v>
      </c>
      <c r="B26" t="s">
        <v>1416</v>
      </c>
    </row>
    <row r="27" customHeight="1" spans="1:2">
      <c r="A27" s="19">
        <v>10024</v>
      </c>
      <c r="B27" s="20" t="s">
        <v>1417</v>
      </c>
    </row>
    <row r="28" customHeight="1" spans="1:2">
      <c r="A28" s="17">
        <v>10025</v>
      </c>
      <c r="B28" t="s">
        <v>1418</v>
      </c>
    </row>
    <row r="29" customHeight="1" spans="1:2">
      <c r="A29" s="17">
        <v>10026</v>
      </c>
      <c r="B29" t="s">
        <v>1419</v>
      </c>
    </row>
    <row r="30" customHeight="1" spans="1:2">
      <c r="A30" s="17">
        <v>10027</v>
      </c>
      <c r="B30" t="s">
        <v>1420</v>
      </c>
    </row>
    <row r="31" customHeight="1" spans="1:2">
      <c r="A31" s="19">
        <v>10028</v>
      </c>
      <c r="B31" s="20" t="s">
        <v>1421</v>
      </c>
    </row>
    <row r="32" customHeight="1" spans="1:2">
      <c r="A32" s="17">
        <v>10029</v>
      </c>
      <c r="B32" t="s">
        <v>1422</v>
      </c>
    </row>
    <row r="33" customHeight="1" spans="1:2">
      <c r="A33" s="17">
        <v>10030</v>
      </c>
      <c r="B33" t="s">
        <v>1423</v>
      </c>
    </row>
    <row r="34" customHeight="1" spans="1:2">
      <c r="A34" s="17">
        <v>10031</v>
      </c>
      <c r="B34" t="s">
        <v>1424</v>
      </c>
    </row>
    <row r="35" customHeight="1" spans="1:2">
      <c r="A35" s="19">
        <v>10032</v>
      </c>
      <c r="B35" s="20" t="s">
        <v>1425</v>
      </c>
    </row>
    <row r="36" customHeight="1" spans="1:2">
      <c r="A36" s="17">
        <v>10033</v>
      </c>
      <c r="B36" t="s">
        <v>1426</v>
      </c>
    </row>
    <row r="37" customHeight="1" spans="1:2">
      <c r="A37" s="17">
        <v>10034</v>
      </c>
      <c r="B37" t="s">
        <v>1427</v>
      </c>
    </row>
    <row r="38" customHeight="1" spans="1:2">
      <c r="A38" s="17">
        <v>10035</v>
      </c>
      <c r="B38" t="s">
        <v>1428</v>
      </c>
    </row>
    <row r="39" customHeight="1" spans="1:2">
      <c r="A39" s="19">
        <v>10036</v>
      </c>
      <c r="B39" s="20" t="s">
        <v>1429</v>
      </c>
    </row>
    <row r="40" customHeight="1" spans="1:2">
      <c r="A40" s="17">
        <v>10037</v>
      </c>
      <c r="B40" t="s">
        <v>1430</v>
      </c>
    </row>
    <row r="41" customHeight="1" spans="1:2">
      <c r="A41" s="17">
        <v>10038</v>
      </c>
      <c r="B41" t="s">
        <v>1431</v>
      </c>
    </row>
    <row r="42" customHeight="1" spans="1:2">
      <c r="A42" s="17">
        <v>10039</v>
      </c>
      <c r="B42" t="s">
        <v>1432</v>
      </c>
    </row>
    <row r="43" customHeight="1" spans="1:2">
      <c r="A43" s="19">
        <v>10040</v>
      </c>
      <c r="B43" s="20" t="s">
        <v>1433</v>
      </c>
    </row>
    <row r="44" customHeight="1" spans="1:2">
      <c r="A44" s="17">
        <v>10041</v>
      </c>
      <c r="B44" t="s">
        <v>1434</v>
      </c>
    </row>
    <row r="45" customHeight="1" spans="1:2">
      <c r="A45" s="17">
        <v>10042</v>
      </c>
      <c r="B45" t="s">
        <v>1435</v>
      </c>
    </row>
    <row r="46" customHeight="1" spans="1:2">
      <c r="A46" s="17">
        <v>10043</v>
      </c>
      <c r="B46" t="s">
        <v>1436</v>
      </c>
    </row>
    <row r="47" customHeight="1" spans="1:2">
      <c r="A47" s="19">
        <v>10044</v>
      </c>
      <c r="B47" s="20" t="s">
        <v>1437</v>
      </c>
    </row>
    <row r="48" customHeight="1" spans="1:2">
      <c r="A48" s="17">
        <v>10045</v>
      </c>
      <c r="B48" t="s">
        <v>1438</v>
      </c>
    </row>
    <row r="49" customHeight="1" spans="1:2">
      <c r="A49" s="17">
        <v>10046</v>
      </c>
      <c r="B49" t="s">
        <v>1439</v>
      </c>
    </row>
    <row r="50" customHeight="1" spans="1:2">
      <c r="A50" s="17">
        <v>10047</v>
      </c>
      <c r="B50" t="s">
        <v>1440</v>
      </c>
    </row>
    <row r="51" customHeight="1" spans="1:2">
      <c r="A51" s="19">
        <v>10048</v>
      </c>
      <c r="B51" s="20" t="s">
        <v>1441</v>
      </c>
    </row>
    <row r="52" customHeight="1" spans="1:2">
      <c r="A52" s="17">
        <v>10049</v>
      </c>
      <c r="B52" t="s">
        <v>1442</v>
      </c>
    </row>
    <row r="53" customHeight="1" spans="1:2">
      <c r="A53" s="17">
        <v>10050</v>
      </c>
      <c r="B53" t="s">
        <v>1443</v>
      </c>
    </row>
    <row r="54" customHeight="1" spans="1:2">
      <c r="A54" s="17">
        <v>10051</v>
      </c>
      <c r="B54" t="s">
        <v>1444</v>
      </c>
    </row>
    <row r="55" customHeight="1" spans="1:2">
      <c r="A55" s="19">
        <v>10052</v>
      </c>
      <c r="B55" s="20" t="s">
        <v>1445</v>
      </c>
    </row>
    <row r="56" customHeight="1" spans="1:2">
      <c r="A56" s="17">
        <v>10053</v>
      </c>
      <c r="B56" t="s">
        <v>1446</v>
      </c>
    </row>
    <row r="57" customHeight="1" spans="1:2">
      <c r="A57" s="17">
        <v>10054</v>
      </c>
      <c r="B57" t="s">
        <v>1447</v>
      </c>
    </row>
    <row r="58" customHeight="1" spans="1:2">
      <c r="A58" s="17">
        <v>10055</v>
      </c>
      <c r="B58" t="s">
        <v>1448</v>
      </c>
    </row>
    <row r="59" customHeight="1" spans="1:2">
      <c r="A59" s="19">
        <v>10056</v>
      </c>
      <c r="B59" s="20" t="s">
        <v>1449</v>
      </c>
    </row>
    <row r="60" customHeight="1" spans="1:2">
      <c r="A60" s="17">
        <v>10057</v>
      </c>
      <c r="B60" s="20" t="s">
        <v>1450</v>
      </c>
    </row>
    <row r="61" customHeight="1" spans="1:2">
      <c r="A61" s="17">
        <v>10058</v>
      </c>
      <c r="B61" t="s">
        <v>1451</v>
      </c>
    </row>
    <row r="62" customHeight="1" spans="1:2">
      <c r="A62" s="17">
        <v>10059</v>
      </c>
      <c r="B62" t="s">
        <v>1452</v>
      </c>
    </row>
    <row r="63" customHeight="1" spans="1:2">
      <c r="A63" s="19">
        <v>10060</v>
      </c>
      <c r="B63" s="20" t="s">
        <v>1453</v>
      </c>
    </row>
    <row r="64" customHeight="1" spans="1:2">
      <c r="A64" s="17">
        <v>10061</v>
      </c>
      <c r="B64" t="s">
        <v>1454</v>
      </c>
    </row>
    <row r="65" customHeight="1" spans="1:2">
      <c r="A65" s="17">
        <v>10062</v>
      </c>
      <c r="B65" t="s">
        <v>1455</v>
      </c>
    </row>
    <row r="66" customHeight="1" spans="1:2">
      <c r="A66" s="17">
        <v>10063</v>
      </c>
      <c r="B66" t="s">
        <v>1456</v>
      </c>
    </row>
    <row r="67" customHeight="1" spans="1:2">
      <c r="A67" s="19">
        <v>10064</v>
      </c>
      <c r="B67" s="20" t="s">
        <v>1457</v>
      </c>
    </row>
    <row r="68" customHeight="1" spans="1:2">
      <c r="A68" s="17">
        <v>10065</v>
      </c>
      <c r="B68" t="s">
        <v>1458</v>
      </c>
    </row>
    <row r="69" customHeight="1" spans="1:2">
      <c r="A69" s="17">
        <v>10066</v>
      </c>
      <c r="B69" t="s">
        <v>1459</v>
      </c>
    </row>
    <row r="70" customHeight="1" spans="1:2">
      <c r="A70" s="17">
        <v>10067</v>
      </c>
      <c r="B70" t="s">
        <v>1460</v>
      </c>
    </row>
    <row r="71" customHeight="1" spans="1:2">
      <c r="A71" s="19">
        <v>10068</v>
      </c>
      <c r="B71" s="20" t="s">
        <v>1461</v>
      </c>
    </row>
    <row r="72" customHeight="1" spans="1:2">
      <c r="A72" s="17">
        <v>10069</v>
      </c>
      <c r="B72" t="s">
        <v>1462</v>
      </c>
    </row>
    <row r="73" customHeight="1" spans="1:2">
      <c r="A73" s="17">
        <v>10070</v>
      </c>
      <c r="B73" t="s">
        <v>1463</v>
      </c>
    </row>
    <row r="74" customHeight="1" spans="1:2">
      <c r="A74" s="17">
        <v>10071</v>
      </c>
      <c r="B74" t="s">
        <v>1464</v>
      </c>
    </row>
    <row r="75" customHeight="1" spans="1:2">
      <c r="A75" s="19">
        <v>10072</v>
      </c>
      <c r="B75" s="20" t="s">
        <v>1465</v>
      </c>
    </row>
    <row r="76" customHeight="1" spans="1:2">
      <c r="A76" s="17">
        <v>10073</v>
      </c>
      <c r="B76" t="s">
        <v>1466</v>
      </c>
    </row>
    <row r="77" customHeight="1" spans="1:2">
      <c r="A77" s="17">
        <v>10074</v>
      </c>
      <c r="B77" t="s">
        <v>1467</v>
      </c>
    </row>
    <row r="78" customHeight="1" spans="1:2">
      <c r="A78" s="17">
        <v>10075</v>
      </c>
      <c r="B78" t="s">
        <v>1468</v>
      </c>
    </row>
    <row r="79" customHeight="1" spans="1:2">
      <c r="A79" s="19">
        <v>10076</v>
      </c>
      <c r="B79" s="20" t="s">
        <v>1469</v>
      </c>
    </row>
    <row r="80" customHeight="1" spans="1:2">
      <c r="A80" s="17">
        <v>10077</v>
      </c>
      <c r="B80" t="s">
        <v>1470</v>
      </c>
    </row>
    <row r="81" customHeight="1" spans="1:2">
      <c r="A81" s="17">
        <v>10078</v>
      </c>
      <c r="B81" t="s">
        <v>1471</v>
      </c>
    </row>
    <row r="82" customHeight="1" spans="1:2">
      <c r="A82" s="17">
        <v>10079</v>
      </c>
      <c r="B82" t="s">
        <v>1472</v>
      </c>
    </row>
    <row r="83" customHeight="1" spans="1:2">
      <c r="A83" s="19">
        <v>10080</v>
      </c>
      <c r="B83" s="20" t="s">
        <v>1473</v>
      </c>
    </row>
    <row r="84" customHeight="1" spans="1:2">
      <c r="A84" s="17">
        <v>10081</v>
      </c>
      <c r="B84" t="s">
        <v>1474</v>
      </c>
    </row>
    <row r="85" customHeight="1" spans="1:2">
      <c r="A85" s="17">
        <v>10082</v>
      </c>
      <c r="B85" t="s">
        <v>1475</v>
      </c>
    </row>
    <row r="86" customHeight="1" spans="1:2">
      <c r="A86" s="17">
        <v>10083</v>
      </c>
      <c r="B86" t="s">
        <v>1476</v>
      </c>
    </row>
    <row r="87" customHeight="1" spans="1:2">
      <c r="A87" s="19">
        <v>10084</v>
      </c>
      <c r="B87" s="20" t="s">
        <v>1477</v>
      </c>
    </row>
    <row r="88" customHeight="1" spans="1:2">
      <c r="A88" s="17">
        <v>10085</v>
      </c>
      <c r="B88" t="s">
        <v>1478</v>
      </c>
    </row>
    <row r="89" customHeight="1" spans="1:2">
      <c r="A89" s="17">
        <v>10086</v>
      </c>
      <c r="B89" t="s">
        <v>1479</v>
      </c>
    </row>
    <row r="90" customHeight="1" spans="1:2">
      <c r="A90" s="17">
        <v>10087</v>
      </c>
      <c r="B90" t="s">
        <v>1480</v>
      </c>
    </row>
    <row r="91" customHeight="1" spans="1:2">
      <c r="A91" s="19">
        <v>10088</v>
      </c>
      <c r="B91" s="20" t="s">
        <v>1481</v>
      </c>
    </row>
    <row r="92" customHeight="1" spans="1:2">
      <c r="A92" s="17">
        <v>10089</v>
      </c>
      <c r="B92" t="s">
        <v>1482</v>
      </c>
    </row>
    <row r="93" customHeight="1" spans="1:2">
      <c r="A93" s="17">
        <v>10090</v>
      </c>
      <c r="B93" t="s">
        <v>1483</v>
      </c>
    </row>
    <row r="94" customHeight="1" spans="1:2">
      <c r="A94" s="17">
        <v>10091</v>
      </c>
      <c r="B94" t="s">
        <v>1484</v>
      </c>
    </row>
    <row r="95" customHeight="1" spans="1:2">
      <c r="A95" s="19">
        <v>10092</v>
      </c>
      <c r="B95" s="20" t="s">
        <v>1485</v>
      </c>
    </row>
    <row r="96" customHeight="1" spans="1:2">
      <c r="A96" s="17">
        <v>10093</v>
      </c>
      <c r="B96" t="s">
        <v>1486</v>
      </c>
    </row>
    <row r="97" customHeight="1" spans="1:2">
      <c r="A97" s="17">
        <v>10094</v>
      </c>
      <c r="B97" t="s">
        <v>1487</v>
      </c>
    </row>
    <row r="98" customHeight="1" spans="1:2">
      <c r="A98" s="17">
        <v>10095</v>
      </c>
      <c r="B98" t="s">
        <v>1488</v>
      </c>
    </row>
    <row r="99" customHeight="1" spans="1:2">
      <c r="A99" s="19">
        <v>10096</v>
      </c>
      <c r="B99" s="20" t="s">
        <v>1489</v>
      </c>
    </row>
    <row r="100" customHeight="1" spans="1:2">
      <c r="A100" s="17">
        <v>10097</v>
      </c>
      <c r="B100" t="s">
        <v>1490</v>
      </c>
    </row>
    <row r="101" customHeight="1" spans="1:2">
      <c r="A101" s="17">
        <v>10098</v>
      </c>
      <c r="B101" t="s">
        <v>1491</v>
      </c>
    </row>
    <row r="102" customHeight="1" spans="1:2">
      <c r="A102" s="17">
        <v>10099</v>
      </c>
      <c r="B102" t="s">
        <v>1492</v>
      </c>
    </row>
    <row r="103" customHeight="1" spans="1:2">
      <c r="A103" s="19">
        <v>10100</v>
      </c>
      <c r="B103" s="19" t="s">
        <v>1493</v>
      </c>
    </row>
    <row r="104" customHeight="1" spans="1:2">
      <c r="A104" s="17">
        <v>10101</v>
      </c>
      <c r="B104" s="17" t="s">
        <v>1494</v>
      </c>
    </row>
    <row r="105" customHeight="1" spans="1:2">
      <c r="A105" s="17">
        <v>10102</v>
      </c>
      <c r="B105" s="17" t="s">
        <v>1494</v>
      </c>
    </row>
    <row r="106" customHeight="1" spans="1:2">
      <c r="A106" s="17">
        <v>10103</v>
      </c>
      <c r="B106" s="17" t="s">
        <v>1494</v>
      </c>
    </row>
    <row r="107" customHeight="1" spans="1:2">
      <c r="A107" s="17">
        <v>10104</v>
      </c>
      <c r="B107" s="17" t="s">
        <v>1494</v>
      </c>
    </row>
    <row r="108" customHeight="1" spans="1:2">
      <c r="A108" s="17">
        <v>10105</v>
      </c>
      <c r="B108" s="17" t="s">
        <v>1494</v>
      </c>
    </row>
    <row r="109" customHeight="1" spans="1:2">
      <c r="A109" s="17">
        <v>10106</v>
      </c>
      <c r="B109" s="17" t="s">
        <v>1494</v>
      </c>
    </row>
    <row r="110" customHeight="1" spans="1:2">
      <c r="A110" s="17">
        <v>10107</v>
      </c>
      <c r="B110" s="17" t="s">
        <v>1494</v>
      </c>
    </row>
    <row r="111" customHeight="1" spans="1:2">
      <c r="A111" s="17">
        <v>10108</v>
      </c>
      <c r="B111" s="17" t="s">
        <v>1494</v>
      </c>
    </row>
    <row r="112" customHeight="1" spans="1:2">
      <c r="A112" s="17">
        <v>10109</v>
      </c>
      <c r="B112" s="17" t="s">
        <v>1494</v>
      </c>
    </row>
    <row r="113" customHeight="1" spans="1:2">
      <c r="A113" s="17">
        <v>10110</v>
      </c>
      <c r="B113" s="17" t="s">
        <v>1494</v>
      </c>
    </row>
    <row r="114" customHeight="1" spans="1:2">
      <c r="A114" s="21">
        <v>20001</v>
      </c>
      <c r="B114" s="21" t="s">
        <v>1495</v>
      </c>
    </row>
    <row r="115" customHeight="1" spans="1:2">
      <c r="A115" s="21">
        <v>20002</v>
      </c>
      <c r="B115" s="21" t="s">
        <v>1496</v>
      </c>
    </row>
    <row r="116" customHeight="1" spans="1:2">
      <c r="A116" s="21">
        <v>20003</v>
      </c>
      <c r="B116" s="21" t="s">
        <v>1497</v>
      </c>
    </row>
    <row r="117" customHeight="1" spans="1:2">
      <c r="A117" s="19">
        <v>20004</v>
      </c>
      <c r="B117" s="19" t="s">
        <v>1498</v>
      </c>
    </row>
    <row r="118" customHeight="1" spans="1:2">
      <c r="A118" s="21">
        <v>20005</v>
      </c>
      <c r="B118" s="21" t="s">
        <v>1499</v>
      </c>
    </row>
    <row r="119" customHeight="1" spans="1:2">
      <c r="A119" s="19">
        <v>20006</v>
      </c>
      <c r="B119" s="19" t="s">
        <v>1500</v>
      </c>
    </row>
    <row r="120" customHeight="1" spans="1:2">
      <c r="A120" s="21">
        <v>20007</v>
      </c>
      <c r="B120" s="22" t="s">
        <v>1399</v>
      </c>
    </row>
    <row r="121" customHeight="1" spans="1:2">
      <c r="A121" s="21">
        <v>20008</v>
      </c>
      <c r="B121" s="22" t="s">
        <v>1400</v>
      </c>
    </row>
    <row r="122" customHeight="1" spans="1:2">
      <c r="A122" s="19">
        <v>20009</v>
      </c>
      <c r="B122" s="23" t="s">
        <v>1501</v>
      </c>
    </row>
    <row r="123" customHeight="1" spans="1:2">
      <c r="A123" s="21">
        <v>20010</v>
      </c>
      <c r="B123" s="22" t="s">
        <v>1502</v>
      </c>
    </row>
    <row r="124" customHeight="1" spans="1:2">
      <c r="A124" s="21">
        <v>20011</v>
      </c>
      <c r="B124" s="22" t="s">
        <v>1500</v>
      </c>
    </row>
    <row r="125" customHeight="1" spans="1:2">
      <c r="A125" s="19">
        <v>20012</v>
      </c>
      <c r="B125" s="23" t="s">
        <v>1503</v>
      </c>
    </row>
    <row r="126" customHeight="1" spans="1:2">
      <c r="A126" s="21">
        <v>20013</v>
      </c>
      <c r="B126" s="22" t="s">
        <v>1399</v>
      </c>
    </row>
    <row r="127" customHeight="1" spans="1:2">
      <c r="A127" s="21">
        <v>20014</v>
      </c>
      <c r="B127" s="22" t="s">
        <v>1400</v>
      </c>
    </row>
    <row r="128" customHeight="1" spans="1:2">
      <c r="A128" s="21">
        <v>20015</v>
      </c>
      <c r="B128" s="22" t="s">
        <v>1502</v>
      </c>
    </row>
    <row r="129" customHeight="1" spans="1:2">
      <c r="A129" s="19">
        <v>20016</v>
      </c>
      <c r="B129" s="22" t="s">
        <v>1504</v>
      </c>
    </row>
    <row r="130" customHeight="1" spans="1:2">
      <c r="A130" s="21">
        <v>20017</v>
      </c>
      <c r="B130" s="22" t="s">
        <v>1500</v>
      </c>
    </row>
    <row r="131" customHeight="1" spans="1:2">
      <c r="A131" s="21">
        <v>20018</v>
      </c>
      <c r="B131" s="22" t="s">
        <v>1399</v>
      </c>
    </row>
    <row r="132" customHeight="1" spans="1:2">
      <c r="A132" s="21">
        <v>20019</v>
      </c>
      <c r="B132" s="22" t="s">
        <v>1400</v>
      </c>
    </row>
    <row r="133" customHeight="1" spans="1:2">
      <c r="A133" s="19">
        <v>20020</v>
      </c>
      <c r="B133" s="22" t="s">
        <v>1502</v>
      </c>
    </row>
    <row r="134" customHeight="1" spans="1:2">
      <c r="A134" s="21">
        <v>20021</v>
      </c>
      <c r="B134" s="22" t="s">
        <v>1500</v>
      </c>
    </row>
    <row r="135" customHeight="1" spans="1:2">
      <c r="A135" s="21">
        <v>20022</v>
      </c>
      <c r="B135" s="22" t="s">
        <v>1399</v>
      </c>
    </row>
    <row r="136" customHeight="1" spans="1:2">
      <c r="A136" s="21">
        <v>20023</v>
      </c>
      <c r="B136" s="22" t="s">
        <v>1502</v>
      </c>
    </row>
    <row r="137" customHeight="1" spans="1:2">
      <c r="A137" s="19">
        <v>20024</v>
      </c>
      <c r="B137" s="22" t="s">
        <v>1504</v>
      </c>
    </row>
    <row r="138" customHeight="1" spans="1:2">
      <c r="A138" s="21">
        <v>20025</v>
      </c>
      <c r="B138" s="22" t="s">
        <v>1500</v>
      </c>
    </row>
    <row r="139" customHeight="1" spans="1:2">
      <c r="A139" s="21">
        <v>20026</v>
      </c>
      <c r="B139" s="22" t="s">
        <v>1400</v>
      </c>
    </row>
    <row r="140" customHeight="1" spans="1:2">
      <c r="A140" s="21">
        <v>20027</v>
      </c>
      <c r="B140" s="22" t="s">
        <v>1502</v>
      </c>
    </row>
    <row r="141" customHeight="1" spans="1:2">
      <c r="A141" s="19">
        <v>20028</v>
      </c>
      <c r="B141" s="22" t="s">
        <v>1503</v>
      </c>
    </row>
    <row r="142" customHeight="1" spans="1:2">
      <c r="A142" s="21">
        <v>20029</v>
      </c>
      <c r="B142" s="22" t="s">
        <v>1500</v>
      </c>
    </row>
    <row r="143" customHeight="1" spans="1:2">
      <c r="A143" s="21">
        <v>20030</v>
      </c>
      <c r="B143" s="22" t="s">
        <v>1399</v>
      </c>
    </row>
    <row r="144" customHeight="1" spans="1:2">
      <c r="A144" s="21">
        <v>20031</v>
      </c>
      <c r="B144" s="22" t="s">
        <v>1400</v>
      </c>
    </row>
    <row r="145" customHeight="1" spans="1:2">
      <c r="A145" s="19">
        <v>20032</v>
      </c>
      <c r="B145" s="22" t="s">
        <v>1501</v>
      </c>
    </row>
    <row r="146" customHeight="1" spans="1:2">
      <c r="A146" s="21">
        <v>20033</v>
      </c>
      <c r="B146" s="22" t="s">
        <v>1399</v>
      </c>
    </row>
    <row r="147" customHeight="1" spans="1:2">
      <c r="A147" s="21">
        <v>20034</v>
      </c>
      <c r="B147" s="22" t="s">
        <v>1400</v>
      </c>
    </row>
    <row r="148" customHeight="1" spans="1:2">
      <c r="A148" s="21">
        <v>20035</v>
      </c>
      <c r="B148" s="22" t="s">
        <v>1502</v>
      </c>
    </row>
    <row r="149" customHeight="1" spans="1:2">
      <c r="A149" s="19">
        <v>20036</v>
      </c>
      <c r="B149" s="22" t="s">
        <v>1504</v>
      </c>
    </row>
    <row r="150" customHeight="1" spans="1:2">
      <c r="A150" s="21">
        <v>20037</v>
      </c>
      <c r="B150" s="22" t="s">
        <v>1500</v>
      </c>
    </row>
    <row r="151" customHeight="1" spans="1:2">
      <c r="A151" s="21">
        <v>20038</v>
      </c>
      <c r="B151" s="22" t="s">
        <v>1399</v>
      </c>
    </row>
    <row r="152" customHeight="1" spans="1:2">
      <c r="A152" s="21">
        <v>20039</v>
      </c>
      <c r="B152" s="22" t="s">
        <v>1400</v>
      </c>
    </row>
    <row r="153" customHeight="1" spans="1:2">
      <c r="A153" s="19">
        <v>20040</v>
      </c>
      <c r="B153" s="22" t="s">
        <v>1503</v>
      </c>
    </row>
    <row r="154" customHeight="1" spans="1:2">
      <c r="A154" s="21">
        <v>20041</v>
      </c>
      <c r="B154" s="22" t="s">
        <v>1399</v>
      </c>
    </row>
    <row r="155" customHeight="1" spans="1:2">
      <c r="A155" s="21">
        <v>20042</v>
      </c>
      <c r="B155" s="22" t="s">
        <v>1400</v>
      </c>
    </row>
    <row r="156" customHeight="1" spans="1:2">
      <c r="A156" s="21">
        <v>20043</v>
      </c>
      <c r="B156" s="22" t="s">
        <v>1502</v>
      </c>
    </row>
    <row r="157" customHeight="1" spans="1:2">
      <c r="A157" s="19">
        <v>20044</v>
      </c>
      <c r="B157" s="22" t="s">
        <v>1504</v>
      </c>
    </row>
    <row r="158" customHeight="1" spans="1:2">
      <c r="A158" s="21">
        <v>20045</v>
      </c>
      <c r="B158" s="22" t="s">
        <v>1500</v>
      </c>
    </row>
    <row r="159" customHeight="1" spans="1:2">
      <c r="A159" s="21">
        <v>20046</v>
      </c>
      <c r="B159" s="22" t="s">
        <v>1399</v>
      </c>
    </row>
    <row r="160" customHeight="1" spans="1:2">
      <c r="A160" s="21">
        <v>20047</v>
      </c>
      <c r="B160" s="22" t="s">
        <v>1400</v>
      </c>
    </row>
    <row r="161" customHeight="1" spans="1:3">
      <c r="A161" s="19">
        <v>20048</v>
      </c>
      <c r="B161" s="22" t="s">
        <v>1502</v>
      </c>
    </row>
    <row r="162" customHeight="1" spans="1:3">
      <c r="A162" s="24">
        <v>300001</v>
      </c>
      <c r="B162" s="25" t="s">
        <v>1505</v>
      </c>
      <c r="C162" s="25" t="s">
        <v>1506</v>
      </c>
    </row>
    <row r="163" customHeight="1" spans="1:3">
      <c r="A163" s="24">
        <v>300002</v>
      </c>
      <c r="B163" s="25" t="s">
        <v>1507</v>
      </c>
      <c r="C163" s="25" t="s">
        <v>1508</v>
      </c>
    </row>
    <row r="164" customHeight="1" spans="1:3">
      <c r="A164" s="24">
        <v>300003</v>
      </c>
      <c r="B164" s="25" t="s">
        <v>1509</v>
      </c>
      <c r="C164" s="25" t="s">
        <v>1510</v>
      </c>
    </row>
    <row r="165" customHeight="1" spans="1:3">
      <c r="A165" s="24">
        <v>300004</v>
      </c>
      <c r="B165" s="25" t="s">
        <v>1511</v>
      </c>
      <c r="C165" s="25" t="s">
        <v>1512</v>
      </c>
    </row>
    <row r="166" customHeight="1" spans="1:3">
      <c r="A166" s="24">
        <v>300005</v>
      </c>
      <c r="B166" s="25" t="s">
        <v>1513</v>
      </c>
      <c r="C166" s="25" t="s">
        <v>1514</v>
      </c>
    </row>
    <row r="167" customHeight="1" spans="1:3">
      <c r="A167" s="24">
        <v>300006</v>
      </c>
      <c r="B167" s="25" t="s">
        <v>1515</v>
      </c>
      <c r="C167" s="25" t="s">
        <v>1516</v>
      </c>
    </row>
    <row r="168" customHeight="1" spans="1:3">
      <c r="A168" s="24">
        <v>300007</v>
      </c>
      <c r="B168" s="25" t="s">
        <v>1517</v>
      </c>
      <c r="C168" s="25" t="s">
        <v>1518</v>
      </c>
    </row>
    <row r="169" customHeight="1" spans="1:3">
      <c r="A169" s="24">
        <v>300008</v>
      </c>
      <c r="B169" s="25" t="s">
        <v>1519</v>
      </c>
      <c r="C169" s="25" t="s">
        <v>1520</v>
      </c>
    </row>
    <row r="170" customHeight="1" spans="1:3">
      <c r="A170" s="24">
        <v>300009</v>
      </c>
      <c r="B170" s="25" t="s">
        <v>1521</v>
      </c>
      <c r="C170" s="25" t="s">
        <v>1522</v>
      </c>
    </row>
    <row r="171" customHeight="1" spans="1:3">
      <c r="A171" s="24">
        <v>300010</v>
      </c>
      <c r="B171" s="25" t="s">
        <v>1523</v>
      </c>
      <c r="C171" s="25" t="s">
        <v>1524</v>
      </c>
    </row>
    <row r="172" customHeight="1" spans="1:3">
      <c r="A172" s="24">
        <v>300011</v>
      </c>
      <c r="B172" s="25" t="s">
        <v>1525</v>
      </c>
      <c r="C172" s="25" t="s">
        <v>1526</v>
      </c>
    </row>
    <row r="173" customHeight="1" spans="1:3">
      <c r="A173" s="24">
        <v>300012</v>
      </c>
      <c r="B173" s="25" t="s">
        <v>1527</v>
      </c>
      <c r="C173" s="25" t="s">
        <v>1528</v>
      </c>
    </row>
    <row r="174" customHeight="1" spans="1:3">
      <c r="A174" s="26">
        <v>310001</v>
      </c>
      <c r="B174" s="27" t="s">
        <v>1529</v>
      </c>
      <c r="C174" s="27" t="s">
        <v>1530</v>
      </c>
    </row>
    <row r="175" customHeight="1" spans="1:3">
      <c r="A175" s="26">
        <v>310002</v>
      </c>
      <c r="B175" s="27" t="s">
        <v>1531</v>
      </c>
      <c r="C175" s="27" t="s">
        <v>1532</v>
      </c>
    </row>
    <row r="176" customHeight="1" spans="1:3">
      <c r="A176" s="26">
        <v>310003</v>
      </c>
      <c r="B176" s="27" t="s">
        <v>1533</v>
      </c>
      <c r="C176" s="27" t="s">
        <v>1534</v>
      </c>
    </row>
    <row r="177" customHeight="1" spans="1:3">
      <c r="A177" s="26">
        <v>310004</v>
      </c>
      <c r="B177" s="27" t="s">
        <v>1535</v>
      </c>
      <c r="C177" s="27" t="s">
        <v>1536</v>
      </c>
    </row>
    <row r="178" customHeight="1" spans="1:3">
      <c r="A178" s="26">
        <v>310005</v>
      </c>
      <c r="B178" s="27" t="s">
        <v>1537</v>
      </c>
      <c r="C178" s="27" t="s">
        <v>1538</v>
      </c>
    </row>
    <row r="179" customHeight="1" spans="1:3">
      <c r="A179" s="26">
        <v>310006</v>
      </c>
      <c r="B179" s="27" t="s">
        <v>1539</v>
      </c>
      <c r="C179" s="27" t="s">
        <v>1540</v>
      </c>
    </row>
    <row r="180" customHeight="1" spans="1:3">
      <c r="A180" s="26">
        <v>310007</v>
      </c>
      <c r="B180" s="27" t="s">
        <v>1541</v>
      </c>
      <c r="C180" s="27" t="s">
        <v>1542</v>
      </c>
    </row>
    <row r="181" customHeight="1" spans="1:3">
      <c r="A181" s="26">
        <v>310008</v>
      </c>
      <c r="B181" s="27" t="s">
        <v>1543</v>
      </c>
      <c r="C181" s="27" t="s">
        <v>1544</v>
      </c>
    </row>
    <row r="182" customHeight="1" spans="1:3">
      <c r="A182" s="26">
        <v>310009</v>
      </c>
      <c r="B182" s="27" t="s">
        <v>1545</v>
      </c>
      <c r="C182" s="27" t="s">
        <v>1546</v>
      </c>
    </row>
    <row r="183" customHeight="1" spans="1:3">
      <c r="A183" s="26">
        <v>310010</v>
      </c>
      <c r="B183" s="27" t="s">
        <v>1547</v>
      </c>
      <c r="C183" s="27" t="s">
        <v>1548</v>
      </c>
    </row>
    <row r="184" customHeight="1" spans="1:3">
      <c r="A184" s="26">
        <v>310011</v>
      </c>
      <c r="B184" s="27" t="s">
        <v>1549</v>
      </c>
      <c r="C184" s="27" t="s">
        <v>1550</v>
      </c>
    </row>
    <row r="185" customHeight="1" spans="1:3">
      <c r="A185" s="26">
        <v>310012</v>
      </c>
      <c r="B185" s="27" t="s">
        <v>1551</v>
      </c>
      <c r="C185" s="27" t="s">
        <v>1552</v>
      </c>
    </row>
    <row r="186" customHeight="1" spans="1:3">
      <c r="A186" s="26">
        <v>310013</v>
      </c>
      <c r="B186" s="27" t="s">
        <v>1553</v>
      </c>
      <c r="C186" s="27" t="s">
        <v>1554</v>
      </c>
    </row>
    <row r="187" customHeight="1" spans="1:3">
      <c r="A187" s="26">
        <v>310014</v>
      </c>
      <c r="B187" s="27" t="s">
        <v>1555</v>
      </c>
      <c r="C187" s="27" t="s">
        <v>1556</v>
      </c>
    </row>
    <row r="188" customHeight="1" spans="1:3">
      <c r="A188" s="26">
        <v>310015</v>
      </c>
      <c r="B188" s="27" t="s">
        <v>1557</v>
      </c>
      <c r="C188" s="27" t="s">
        <v>1558</v>
      </c>
    </row>
    <row r="189" customHeight="1" spans="1:3">
      <c r="A189" s="26">
        <v>310016</v>
      </c>
      <c r="B189" s="27" t="s">
        <v>1559</v>
      </c>
      <c r="C189" s="27" t="s">
        <v>1560</v>
      </c>
    </row>
    <row r="190" customHeight="1" spans="1:3">
      <c r="A190" s="26">
        <v>310017</v>
      </c>
      <c r="B190" s="27" t="s">
        <v>1561</v>
      </c>
      <c r="C190" s="27" t="s">
        <v>1562</v>
      </c>
    </row>
    <row r="191" customHeight="1" spans="1:3">
      <c r="A191" s="26">
        <v>310018</v>
      </c>
      <c r="B191" s="27" t="s">
        <v>1563</v>
      </c>
      <c r="C191" s="27" t="s">
        <v>1564</v>
      </c>
    </row>
    <row r="192" customHeight="1" spans="1:3">
      <c r="A192" s="26">
        <v>310019</v>
      </c>
      <c r="B192" s="27" t="s">
        <v>1565</v>
      </c>
      <c r="C192" s="27" t="s">
        <v>1566</v>
      </c>
    </row>
    <row r="193" customHeight="1" spans="1:3">
      <c r="A193" s="26">
        <v>310020</v>
      </c>
      <c r="B193" s="27" t="s">
        <v>1567</v>
      </c>
      <c r="C193" s="27" t="s">
        <v>1568</v>
      </c>
    </row>
    <row r="194" customHeight="1" spans="1:3">
      <c r="A194" s="26">
        <v>310021</v>
      </c>
      <c r="B194" s="27" t="s">
        <v>1569</v>
      </c>
      <c r="C194" s="27" t="s">
        <v>1570</v>
      </c>
    </row>
    <row r="195" customHeight="1" spans="1:3">
      <c r="A195" s="26">
        <v>310022</v>
      </c>
      <c r="B195" s="27" t="s">
        <v>1571</v>
      </c>
      <c r="C195" s="27" t="s">
        <v>1572</v>
      </c>
    </row>
    <row r="196" customHeight="1" spans="1:3">
      <c r="A196" s="26">
        <v>310023</v>
      </c>
      <c r="B196" s="27" t="s">
        <v>1573</v>
      </c>
      <c r="C196" s="27" t="s">
        <v>1574</v>
      </c>
    </row>
    <row r="197" customHeight="1" spans="1:3">
      <c r="A197" s="26">
        <v>310024</v>
      </c>
      <c r="B197" s="27" t="s">
        <v>1575</v>
      </c>
      <c r="C197" s="27" t="s">
        <v>1576</v>
      </c>
    </row>
    <row r="198" customHeight="1" spans="1:3">
      <c r="A198" s="26">
        <v>310025</v>
      </c>
      <c r="B198" s="27" t="s">
        <v>1577</v>
      </c>
      <c r="C198" s="27" t="s">
        <v>1578</v>
      </c>
    </row>
    <row r="199" customHeight="1" spans="1:3">
      <c r="A199" s="26">
        <v>310026</v>
      </c>
      <c r="B199" s="27" t="s">
        <v>1579</v>
      </c>
      <c r="C199" s="27" t="s">
        <v>1580</v>
      </c>
    </row>
    <row r="200" customHeight="1" spans="1:3">
      <c r="A200" s="26">
        <v>310027</v>
      </c>
      <c r="B200" s="27" t="s">
        <v>1581</v>
      </c>
      <c r="C200" s="27" t="s">
        <v>1582</v>
      </c>
    </row>
    <row r="201" customHeight="1" spans="1:3">
      <c r="A201" s="26">
        <v>310028</v>
      </c>
      <c r="B201" s="27" t="s">
        <v>1583</v>
      </c>
      <c r="C201" s="27" t="s">
        <v>1584</v>
      </c>
    </row>
    <row r="202" customHeight="1" spans="1:3">
      <c r="A202" s="26">
        <v>310029</v>
      </c>
      <c r="B202" s="27" t="s">
        <v>1585</v>
      </c>
      <c r="C202" s="27" t="s">
        <v>1586</v>
      </c>
    </row>
    <row r="203" customHeight="1" spans="1:3">
      <c r="A203" s="26">
        <v>310030</v>
      </c>
      <c r="B203" s="27" t="s">
        <v>1587</v>
      </c>
      <c r="C203" s="27" t="s">
        <v>1588</v>
      </c>
    </row>
    <row r="204" customHeight="1" spans="1:3">
      <c r="A204" s="26">
        <v>310031</v>
      </c>
      <c r="B204" s="27" t="s">
        <v>1589</v>
      </c>
      <c r="C204" s="27" t="s">
        <v>1590</v>
      </c>
    </row>
    <row r="205" customHeight="1" spans="1:3">
      <c r="A205" s="26">
        <v>310032</v>
      </c>
      <c r="B205" s="27" t="s">
        <v>1591</v>
      </c>
      <c r="C205" s="27" t="s">
        <v>1592</v>
      </c>
    </row>
    <row r="206" customHeight="1" spans="1:3">
      <c r="A206" s="26">
        <v>310033</v>
      </c>
      <c r="B206" s="27" t="s">
        <v>1593</v>
      </c>
      <c r="C206" s="27" t="s">
        <v>1594</v>
      </c>
    </row>
    <row r="207" customHeight="1" spans="1:3">
      <c r="A207" s="26">
        <v>310034</v>
      </c>
      <c r="B207" s="27" t="s">
        <v>1595</v>
      </c>
      <c r="C207" s="27" t="s">
        <v>1596</v>
      </c>
    </row>
    <row r="208" customHeight="1" spans="1:3">
      <c r="A208" s="26">
        <v>310035</v>
      </c>
      <c r="B208" s="27" t="s">
        <v>1597</v>
      </c>
      <c r="C208" s="27" t="s">
        <v>1598</v>
      </c>
    </row>
    <row r="209" customHeight="1" spans="1:3">
      <c r="A209" s="26">
        <v>310036</v>
      </c>
      <c r="B209" s="27" t="s">
        <v>1599</v>
      </c>
      <c r="C209" s="27" t="s">
        <v>1600</v>
      </c>
    </row>
    <row r="210" customHeight="1" spans="1:3">
      <c r="A210" s="28">
        <v>320001</v>
      </c>
      <c r="B210" s="29" t="s">
        <v>1601</v>
      </c>
      <c r="C210" s="29" t="s">
        <v>1602</v>
      </c>
    </row>
    <row r="211" customHeight="1" spans="1:3">
      <c r="A211" s="28">
        <v>320002</v>
      </c>
      <c r="B211" s="29" t="s">
        <v>1603</v>
      </c>
      <c r="C211" s="29" t="s">
        <v>1604</v>
      </c>
    </row>
    <row r="212" customHeight="1" spans="1:3">
      <c r="A212" s="28">
        <v>320003</v>
      </c>
      <c r="B212" s="29" t="s">
        <v>1605</v>
      </c>
      <c r="C212" s="29" t="s">
        <v>1606</v>
      </c>
    </row>
    <row r="213" customHeight="1" spans="1:3">
      <c r="A213" s="28">
        <v>320004</v>
      </c>
      <c r="B213" s="29" t="s">
        <v>1607</v>
      </c>
      <c r="C213" s="29" t="s">
        <v>1608</v>
      </c>
    </row>
    <row r="214" customHeight="1" spans="1:3">
      <c r="A214" s="28">
        <v>320005</v>
      </c>
      <c r="B214" s="29" t="s">
        <v>1609</v>
      </c>
      <c r="C214" s="29" t="s">
        <v>1610</v>
      </c>
    </row>
    <row r="215" customHeight="1" spans="1:3">
      <c r="A215" s="28">
        <v>320006</v>
      </c>
      <c r="B215" s="29" t="s">
        <v>1611</v>
      </c>
      <c r="C215" s="29" t="s">
        <v>1612</v>
      </c>
    </row>
    <row r="216" customHeight="1" spans="1:3">
      <c r="A216" s="28">
        <v>320007</v>
      </c>
      <c r="B216" s="29" t="s">
        <v>1613</v>
      </c>
      <c r="C216" s="29" t="s">
        <v>1614</v>
      </c>
    </row>
    <row r="217" customHeight="1" spans="1:3">
      <c r="A217" s="28">
        <v>320008</v>
      </c>
      <c r="B217" s="29" t="s">
        <v>1615</v>
      </c>
      <c r="C217" s="29" t="s">
        <v>1616</v>
      </c>
    </row>
    <row r="218" customHeight="1" spans="1:3">
      <c r="A218" s="28">
        <v>320009</v>
      </c>
      <c r="B218" s="29" t="s">
        <v>1617</v>
      </c>
      <c r="C218" s="29" t="s">
        <v>1618</v>
      </c>
    </row>
    <row r="219" customHeight="1" spans="1:3">
      <c r="A219" s="28">
        <v>320010</v>
      </c>
      <c r="B219" s="29" t="s">
        <v>1619</v>
      </c>
      <c r="C219" s="29" t="s">
        <v>1620</v>
      </c>
    </row>
    <row r="220" customHeight="1" spans="1:3">
      <c r="A220" s="28">
        <v>320011</v>
      </c>
      <c r="B220" s="29" t="s">
        <v>1621</v>
      </c>
      <c r="C220" s="29" t="s">
        <v>1622</v>
      </c>
    </row>
    <row r="221" customHeight="1" spans="1:3">
      <c r="A221" s="28">
        <v>320012</v>
      </c>
      <c r="B221" s="29" t="s">
        <v>1623</v>
      </c>
      <c r="C221" s="29" t="s">
        <v>1624</v>
      </c>
    </row>
    <row r="222" customHeight="1" spans="1:3">
      <c r="A222" s="28">
        <v>320013</v>
      </c>
      <c r="B222" s="29" t="s">
        <v>1625</v>
      </c>
      <c r="C222" s="29" t="s">
        <v>1626</v>
      </c>
    </row>
    <row r="223" customHeight="1" spans="1:3">
      <c r="A223" s="28">
        <v>320014</v>
      </c>
      <c r="B223" s="29" t="s">
        <v>1627</v>
      </c>
      <c r="C223" s="29" t="s">
        <v>1628</v>
      </c>
    </row>
    <row r="224" customHeight="1" spans="1:3">
      <c r="A224" s="28">
        <v>320015</v>
      </c>
      <c r="B224" s="29" t="s">
        <v>1629</v>
      </c>
      <c r="C224" s="29" t="s">
        <v>1630</v>
      </c>
    </row>
    <row r="225" customHeight="1" spans="1:3">
      <c r="A225" s="28">
        <v>320016</v>
      </c>
      <c r="B225" s="29" t="s">
        <v>1631</v>
      </c>
      <c r="C225" s="29" t="s">
        <v>1632</v>
      </c>
    </row>
    <row r="226" customHeight="1" spans="1:3">
      <c r="A226" s="28">
        <v>320017</v>
      </c>
      <c r="B226" s="29" t="s">
        <v>1633</v>
      </c>
      <c r="C226" s="29" t="s">
        <v>1634</v>
      </c>
    </row>
    <row r="227" customHeight="1" spans="1:3">
      <c r="A227" s="28">
        <v>320018</v>
      </c>
      <c r="B227" s="29" t="s">
        <v>1635</v>
      </c>
      <c r="C227" s="29" t="s">
        <v>1636</v>
      </c>
    </row>
    <row r="228" customHeight="1" spans="1:3">
      <c r="A228" s="28">
        <v>320019</v>
      </c>
      <c r="B228" s="29" t="s">
        <v>1637</v>
      </c>
      <c r="C228" s="29" t="s">
        <v>1638</v>
      </c>
    </row>
    <row r="229" customHeight="1" spans="1:3">
      <c r="A229" s="28">
        <v>320020</v>
      </c>
      <c r="B229" s="29" t="s">
        <v>1639</v>
      </c>
      <c r="C229" s="29" t="s">
        <v>1640</v>
      </c>
    </row>
    <row r="230" customHeight="1" spans="1:3">
      <c r="A230" s="28">
        <v>320021</v>
      </c>
      <c r="B230" s="29" t="s">
        <v>1641</v>
      </c>
      <c r="C230" s="29" t="s">
        <v>1642</v>
      </c>
    </row>
    <row r="231" customHeight="1" spans="1:3">
      <c r="A231" s="28">
        <v>320022</v>
      </c>
      <c r="B231" s="29" t="s">
        <v>1643</v>
      </c>
      <c r="C231" s="29" t="s">
        <v>1644</v>
      </c>
    </row>
    <row r="232" customHeight="1" spans="1:3">
      <c r="A232" s="28">
        <v>320023</v>
      </c>
      <c r="B232" s="29" t="s">
        <v>1645</v>
      </c>
      <c r="C232" s="29" t="s">
        <v>1646</v>
      </c>
    </row>
    <row r="233" customHeight="1" spans="1:3">
      <c r="A233" s="28">
        <v>320024</v>
      </c>
      <c r="B233" s="29" t="s">
        <v>1647</v>
      </c>
      <c r="C233" s="29" t="s">
        <v>1648</v>
      </c>
    </row>
    <row r="234" customHeight="1" spans="1:3">
      <c r="A234" s="28">
        <v>320025</v>
      </c>
      <c r="B234" s="29" t="s">
        <v>1649</v>
      </c>
      <c r="C234" s="29" t="s">
        <v>1650</v>
      </c>
    </row>
    <row r="235" customHeight="1" spans="1:3">
      <c r="A235" s="28">
        <v>320026</v>
      </c>
      <c r="B235" s="29" t="s">
        <v>1651</v>
      </c>
      <c r="C235" s="29" t="s">
        <v>1652</v>
      </c>
    </row>
    <row r="236" customHeight="1" spans="1:3">
      <c r="A236" s="28">
        <v>320027</v>
      </c>
      <c r="B236" s="29" t="s">
        <v>1653</v>
      </c>
      <c r="C236" s="29" t="s">
        <v>1654</v>
      </c>
    </row>
    <row r="237" customHeight="1" spans="1:3">
      <c r="A237" s="28">
        <v>320028</v>
      </c>
      <c r="B237" s="29" t="s">
        <v>1655</v>
      </c>
      <c r="C237" s="29" t="s">
        <v>1656</v>
      </c>
    </row>
    <row r="238" customHeight="1" spans="1:3">
      <c r="A238" s="28">
        <v>320029</v>
      </c>
      <c r="B238" s="29" t="s">
        <v>1657</v>
      </c>
      <c r="C238" s="29" t="s">
        <v>1658</v>
      </c>
    </row>
    <row r="239" customHeight="1" spans="1:3">
      <c r="A239" s="28">
        <v>320030</v>
      </c>
      <c r="B239" s="29" t="s">
        <v>1659</v>
      </c>
      <c r="C239" s="29" t="s">
        <v>1660</v>
      </c>
    </row>
    <row r="240" customHeight="1" spans="1:3">
      <c r="A240" s="28">
        <v>320031</v>
      </c>
      <c r="B240" s="29" t="s">
        <v>1661</v>
      </c>
      <c r="C240" s="29" t="s">
        <v>1662</v>
      </c>
    </row>
    <row r="241" customHeight="1" spans="1:4">
      <c r="A241" s="28">
        <v>320032</v>
      </c>
      <c r="B241" s="29" t="s">
        <v>1663</v>
      </c>
      <c r="C241" s="29" t="s">
        <v>1664</v>
      </c>
    </row>
    <row r="242" customHeight="1" spans="1:4">
      <c r="A242" s="28">
        <v>320033</v>
      </c>
      <c r="B242" s="29" t="s">
        <v>1665</v>
      </c>
      <c r="C242" s="29" t="s">
        <v>1666</v>
      </c>
    </row>
    <row r="243" customHeight="1" spans="1:4">
      <c r="A243" s="28">
        <v>320034</v>
      </c>
      <c r="B243" s="29" t="s">
        <v>1667</v>
      </c>
      <c r="C243" s="29" t="s">
        <v>1668</v>
      </c>
    </row>
    <row r="244" customHeight="1" spans="1:4">
      <c r="A244" s="28">
        <v>320035</v>
      </c>
      <c r="B244" s="29" t="s">
        <v>1669</v>
      </c>
      <c r="C244" s="29" t="s">
        <v>1670</v>
      </c>
    </row>
    <row r="245" customHeight="1" spans="1:4">
      <c r="A245" s="28">
        <v>320036</v>
      </c>
      <c r="B245" s="29" t="s">
        <v>1671</v>
      </c>
      <c r="C245" s="29" t="s">
        <v>1672</v>
      </c>
    </row>
    <row r="246" customHeight="1" spans="1:4">
      <c r="A246" s="28">
        <v>320037</v>
      </c>
      <c r="B246" s="29" t="s">
        <v>1673</v>
      </c>
      <c r="C246" s="29" t="s">
        <v>1674</v>
      </c>
    </row>
    <row r="247" customHeight="1" spans="1:4">
      <c r="A247" s="28">
        <v>320038</v>
      </c>
      <c r="B247" s="29" t="s">
        <v>1675</v>
      </c>
      <c r="C247" s="29" t="s">
        <v>1676</v>
      </c>
    </row>
    <row r="248" customHeight="1" spans="1:4">
      <c r="A248" s="28">
        <v>320039</v>
      </c>
      <c r="B248" s="29" t="s">
        <v>1677</v>
      </c>
      <c r="C248" s="29" t="s">
        <v>1678</v>
      </c>
    </row>
    <row r="249" customHeight="1" spans="1:4">
      <c r="A249" s="28">
        <v>320040</v>
      </c>
      <c r="B249" s="29" t="s">
        <v>1679</v>
      </c>
      <c r="C249" s="29" t="s">
        <v>1680</v>
      </c>
    </row>
    <row r="250" customHeight="1" spans="1:4">
      <c r="A250" s="28">
        <v>320041</v>
      </c>
      <c r="B250" s="29" t="s">
        <v>1681</v>
      </c>
      <c r="C250" s="29" t="s">
        <v>1682</v>
      </c>
    </row>
    <row r="251" customHeight="1" spans="1:4">
      <c r="A251" s="28">
        <v>320042</v>
      </c>
      <c r="B251" s="29" t="s">
        <v>1683</v>
      </c>
      <c r="C251" s="29" t="s">
        <v>1684</v>
      </c>
    </row>
    <row r="252" customHeight="1" spans="1:4">
      <c r="A252" s="28">
        <v>320043</v>
      </c>
      <c r="B252" s="29" t="s">
        <v>1685</v>
      </c>
      <c r="C252" s="29" t="s">
        <v>1686</v>
      </c>
    </row>
    <row r="253" customHeight="1" spans="1:4">
      <c r="A253" s="28">
        <v>320044</v>
      </c>
      <c r="B253" s="29" t="s">
        <v>1687</v>
      </c>
      <c r="C253" s="29" t="s">
        <v>1688</v>
      </c>
    </row>
    <row r="254" customHeight="1" spans="1:4">
      <c r="A254" s="28">
        <v>320045</v>
      </c>
      <c r="B254" s="29" t="s">
        <v>1689</v>
      </c>
      <c r="C254" s="29" t="s">
        <v>1690</v>
      </c>
    </row>
    <row r="255" customHeight="1" spans="1:4">
      <c r="A255" s="24">
        <v>400001</v>
      </c>
      <c r="B255" s="24" t="s">
        <v>1691</v>
      </c>
      <c r="C255" s="24" t="s">
        <v>1506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1692</v>
      </c>
      <c r="C256" s="24" t="s">
        <v>1508</v>
      </c>
      <c r="D256" t="str">
        <f t="shared" ref="D256:D319" si="0">_xlfn.XLOOKUP(B256,B:B,C:C,999,0,1)</f>
        <v>刘备,1|孙权,4</v>
      </c>
    </row>
    <row r="257" customHeight="1" spans="1:4">
      <c r="A257" s="24">
        <v>400003</v>
      </c>
      <c r="B257" s="24" t="s">
        <v>1693</v>
      </c>
      <c r="C257" s="24" t="s">
        <v>1510</v>
      </c>
      <c r="D257" t="str">
        <f t="shared" si="0"/>
        <v>曹操,1|夏侯惇,4</v>
      </c>
    </row>
    <row r="258" customHeight="1" spans="1:4">
      <c r="A258" s="24">
        <v>400004</v>
      </c>
      <c r="B258" s="24" t="s">
        <v>1694</v>
      </c>
      <c r="C258" s="24" t="s">
        <v>1512</v>
      </c>
      <c r="D258" t="str">
        <f t="shared" si="0"/>
        <v>曹操,1|孙权,4</v>
      </c>
    </row>
    <row r="259" customHeight="1" spans="1:4">
      <c r="A259" s="24">
        <v>400005</v>
      </c>
      <c r="B259" s="24" t="s">
        <v>1695</v>
      </c>
      <c r="C259" s="24" t="s">
        <v>1514</v>
      </c>
      <c r="D259" t="str">
        <f t="shared" si="0"/>
        <v>关羽,1|夏侯惇,4</v>
      </c>
    </row>
    <row r="260" customHeight="1" spans="1:4">
      <c r="A260" s="24">
        <v>400006</v>
      </c>
      <c r="B260" s="24" t="s">
        <v>1696</v>
      </c>
      <c r="C260" s="24" t="s">
        <v>1516</v>
      </c>
      <c r="D260" t="str">
        <f t="shared" si="0"/>
        <v>关羽,1|孙权,4</v>
      </c>
    </row>
    <row r="261" customHeight="1" spans="1:4">
      <c r="A261" s="24">
        <v>400007</v>
      </c>
      <c r="B261" s="24" t="s">
        <v>1697</v>
      </c>
      <c r="C261" s="24" t="s">
        <v>1518</v>
      </c>
      <c r="D261" t="str">
        <f t="shared" si="0"/>
        <v>吕布,1|夏侯惇,4</v>
      </c>
    </row>
    <row r="262" customHeight="1" spans="1:4">
      <c r="A262" s="24">
        <v>400008</v>
      </c>
      <c r="B262" s="24" t="s">
        <v>1698</v>
      </c>
      <c r="C262" s="24" t="s">
        <v>1520</v>
      </c>
      <c r="D262" t="str">
        <f t="shared" si="0"/>
        <v>吕布,1|孙权,4</v>
      </c>
    </row>
    <row r="263" customHeight="1" spans="1:4">
      <c r="A263" s="24">
        <v>400009</v>
      </c>
      <c r="B263" s="24" t="s">
        <v>1699</v>
      </c>
      <c r="C263" s="24" t="s">
        <v>1522</v>
      </c>
      <c r="D263" t="str">
        <f t="shared" si="0"/>
        <v>诸葛亮,1|夏侯惇,4</v>
      </c>
    </row>
    <row r="264" customHeight="1" spans="1:4">
      <c r="A264" s="24">
        <v>400010</v>
      </c>
      <c r="B264" s="24" t="s">
        <v>1700</v>
      </c>
      <c r="C264" s="24" t="s">
        <v>1524</v>
      </c>
      <c r="D264" t="str">
        <f t="shared" si="0"/>
        <v>诸葛亮,1|孙权,4</v>
      </c>
    </row>
    <row r="265" customHeight="1" spans="1:4">
      <c r="A265" s="24">
        <v>400011</v>
      </c>
      <c r="B265" s="24" t="s">
        <v>1701</v>
      </c>
      <c r="C265" s="24" t="s">
        <v>1526</v>
      </c>
      <c r="D265" t="str">
        <f t="shared" si="0"/>
        <v>周瑜,1|夏侯惇,4</v>
      </c>
    </row>
    <row r="266" customHeight="1" spans="1:4">
      <c r="A266" s="24">
        <v>400012</v>
      </c>
      <c r="B266" s="24" t="s">
        <v>1702</v>
      </c>
      <c r="C266" s="24" t="s">
        <v>1528</v>
      </c>
      <c r="D266" t="str">
        <f t="shared" si="0"/>
        <v>周瑜,1|孙权,4</v>
      </c>
    </row>
    <row r="267" customHeight="1" spans="1:4">
      <c r="A267" s="30">
        <v>400013</v>
      </c>
      <c r="B267" s="30" t="s">
        <v>1703</v>
      </c>
      <c r="C267" s="30" t="s">
        <v>1530</v>
      </c>
      <c r="D267" t="str">
        <f t="shared" si="0"/>
        <v>刘备,1|夏侯惇,2|糜夫人,4</v>
      </c>
    </row>
    <row r="268" customHeight="1" spans="1:4">
      <c r="A268" s="30">
        <v>400014</v>
      </c>
      <c r="B268" s="30" t="s">
        <v>1704</v>
      </c>
      <c r="C268" s="30" t="s">
        <v>1540</v>
      </c>
      <c r="D268" t="str">
        <f t="shared" si="0"/>
        <v>刘备,1|孙权,2|貂蝉,4</v>
      </c>
    </row>
    <row r="269" customHeight="1" spans="1:4">
      <c r="A269" s="30">
        <v>400015</v>
      </c>
      <c r="B269" s="30" t="s">
        <v>1705</v>
      </c>
      <c r="C269" s="30" t="s">
        <v>1546</v>
      </c>
      <c r="D269" t="str">
        <f t="shared" si="0"/>
        <v>曹操,1|夏侯惇,2|貂蝉,4</v>
      </c>
    </row>
    <row r="270" customHeight="1" spans="1:4">
      <c r="A270" s="30">
        <v>400016</v>
      </c>
      <c r="B270" s="30" t="s">
        <v>1706</v>
      </c>
      <c r="C270" s="30" t="s">
        <v>1548</v>
      </c>
      <c r="D270" t="str">
        <f t="shared" si="0"/>
        <v>曹操,1|孙权,2|糜夫人,4</v>
      </c>
    </row>
    <row r="271" customHeight="1" spans="1:4">
      <c r="A271" s="30">
        <v>400017</v>
      </c>
      <c r="B271" s="30" t="s">
        <v>1707</v>
      </c>
      <c r="C271" s="30" t="s">
        <v>1558</v>
      </c>
      <c r="D271" t="str">
        <f t="shared" si="0"/>
        <v>关羽,1|夏侯惇,2|貂蝉,4</v>
      </c>
    </row>
    <row r="272" customHeight="1" spans="1:4">
      <c r="A272" s="30">
        <v>400018</v>
      </c>
      <c r="B272" s="30" t="s">
        <v>1708</v>
      </c>
      <c r="C272" s="30" t="s">
        <v>1560</v>
      </c>
      <c r="D272" t="str">
        <f t="shared" si="0"/>
        <v>关羽,1|孙权,2|糜夫人,4</v>
      </c>
    </row>
    <row r="273" customHeight="1" spans="1:4">
      <c r="A273" s="30">
        <v>400019</v>
      </c>
      <c r="B273" s="30" t="s">
        <v>1709</v>
      </c>
      <c r="C273" s="30" t="s">
        <v>1570</v>
      </c>
      <c r="D273" t="str">
        <f t="shared" si="0"/>
        <v>吕布,1|夏侯惇,2|貂蝉,4</v>
      </c>
    </row>
    <row r="274" customHeight="1" spans="1:4">
      <c r="A274" s="30">
        <v>400020</v>
      </c>
      <c r="B274" s="30" t="s">
        <v>1710</v>
      </c>
      <c r="C274" s="30" t="s">
        <v>1572</v>
      </c>
      <c r="D274" t="str">
        <f t="shared" si="0"/>
        <v>吕布,1|孙权,2|糜夫人,4</v>
      </c>
    </row>
    <row r="275" customHeight="1" spans="1:4">
      <c r="A275" s="30">
        <v>400021</v>
      </c>
      <c r="B275" s="30" t="s">
        <v>1711</v>
      </c>
      <c r="C275" s="30" t="s">
        <v>1582</v>
      </c>
      <c r="D275" t="str">
        <f t="shared" si="0"/>
        <v>诸葛亮,1|夏侯惇,2|貂蝉,4</v>
      </c>
    </row>
    <row r="276" customHeight="1" spans="1:4">
      <c r="A276" s="30">
        <v>400022</v>
      </c>
      <c r="B276" s="30" t="s">
        <v>1712</v>
      </c>
      <c r="C276" s="30" t="s">
        <v>1584</v>
      </c>
      <c r="D276" t="str">
        <f t="shared" si="0"/>
        <v>诸葛亮,1|孙权,2|糜夫人,4</v>
      </c>
    </row>
    <row r="277" customHeight="1" spans="1:4">
      <c r="A277" s="30">
        <v>400023</v>
      </c>
      <c r="B277" s="30" t="s">
        <v>1713</v>
      </c>
      <c r="C277" s="30" t="s">
        <v>1594</v>
      </c>
      <c r="D277" t="str">
        <f t="shared" si="0"/>
        <v>周瑜,1|夏侯惇,2|貂蝉,4</v>
      </c>
    </row>
    <row r="278" customHeight="1" spans="1:4">
      <c r="A278" s="30">
        <v>400024</v>
      </c>
      <c r="B278" s="30" t="s">
        <v>1714</v>
      </c>
      <c r="C278" s="30" t="s">
        <v>1596</v>
      </c>
      <c r="D278" t="str">
        <f t="shared" si="0"/>
        <v>周瑜,1|孙权,2|糜夫人,4</v>
      </c>
    </row>
    <row r="279" customHeight="1" spans="1:4">
      <c r="A279" s="24">
        <v>400025</v>
      </c>
      <c r="B279" s="24" t="s">
        <v>1715</v>
      </c>
      <c r="C279" s="24" t="s">
        <v>1716</v>
      </c>
      <c r="D279" t="str">
        <f t="shared" si="0"/>
        <v>刘备|曹操|夏侯惇|孙权|貂蝉</v>
      </c>
    </row>
    <row r="280" customHeight="1" spans="1:4">
      <c r="A280" s="24">
        <v>400026</v>
      </c>
      <c r="B280" s="24" t="s">
        <v>1717</v>
      </c>
      <c r="C280" s="24" t="s">
        <v>1718</v>
      </c>
      <c r="D280" t="str">
        <f t="shared" si="0"/>
        <v>刘备|吕布|夏侯惇|孙权|貂蝉</v>
      </c>
    </row>
    <row r="281" customHeight="1" spans="1:4">
      <c r="A281" s="24">
        <v>400027</v>
      </c>
      <c r="B281" s="24" t="s">
        <v>1719</v>
      </c>
      <c r="C281" s="24" t="s">
        <v>1720</v>
      </c>
      <c r="D281" t="str">
        <f t="shared" si="0"/>
        <v>曹操|关羽|夏侯惇|孙权|貂蝉</v>
      </c>
    </row>
    <row r="282" customHeight="1" spans="1:4">
      <c r="A282" s="24">
        <v>400028</v>
      </c>
      <c r="B282" s="24" t="s">
        <v>1721</v>
      </c>
      <c r="C282" s="24" t="s">
        <v>1722</v>
      </c>
      <c r="D282" t="str">
        <f t="shared" si="0"/>
        <v>曹操|吕布|夏侯惇|孙权|小乔</v>
      </c>
    </row>
    <row r="283" customHeight="1" spans="1:4">
      <c r="A283" s="24">
        <v>400029</v>
      </c>
      <c r="B283" s="24" t="s">
        <v>1723</v>
      </c>
      <c r="C283" s="24" t="s">
        <v>1724</v>
      </c>
      <c r="D283" t="str">
        <f t="shared" si="0"/>
        <v>曹操|诸葛亮|夏侯惇|孙权|小乔</v>
      </c>
    </row>
    <row r="284" customHeight="1" spans="1:4">
      <c r="A284" s="24">
        <v>400030</v>
      </c>
      <c r="B284" s="24" t="s">
        <v>1725</v>
      </c>
      <c r="C284" s="24" t="s">
        <v>1726</v>
      </c>
      <c r="D284" t="str">
        <f t="shared" si="0"/>
        <v>曹操|周瑜|夏侯惇|孙权|貂蝉</v>
      </c>
    </row>
    <row r="285" customHeight="1" spans="1:4">
      <c r="A285" s="24">
        <v>400031</v>
      </c>
      <c r="B285" s="24" t="s">
        <v>1727</v>
      </c>
      <c r="C285" s="24" t="s">
        <v>1728</v>
      </c>
      <c r="D285" t="str">
        <f t="shared" si="0"/>
        <v>关羽|吕布|夏侯惇|孙权|貂蝉</v>
      </c>
    </row>
    <row r="286" customHeight="1" spans="1:4">
      <c r="A286" s="24">
        <v>400032</v>
      </c>
      <c r="B286" s="24" t="s">
        <v>1729</v>
      </c>
      <c r="C286" s="24" t="s">
        <v>1730</v>
      </c>
      <c r="D286" t="str">
        <f t="shared" si="0"/>
        <v>关羽|诸葛亮|夏侯惇|孙权|小乔</v>
      </c>
    </row>
    <row r="287" customHeight="1" spans="1:4">
      <c r="A287" s="24">
        <v>400033</v>
      </c>
      <c r="B287" s="24" t="s">
        <v>1731</v>
      </c>
      <c r="C287" s="24" t="s">
        <v>1732</v>
      </c>
      <c r="D287" t="str">
        <f t="shared" si="0"/>
        <v>关羽|周瑜|夏侯惇|孙权|糜夫人</v>
      </c>
    </row>
    <row r="288" customHeight="1" spans="1:4">
      <c r="A288" s="24">
        <v>400034</v>
      </c>
      <c r="B288" s="24" t="s">
        <v>1733</v>
      </c>
      <c r="C288" s="24" t="s">
        <v>1734</v>
      </c>
      <c r="D288" t="str">
        <f t="shared" si="0"/>
        <v>关羽|周瑜|夏侯惇|孙权|貂蝉</v>
      </c>
    </row>
    <row r="289" customHeight="1" spans="1:4">
      <c r="A289" s="24">
        <v>400035</v>
      </c>
      <c r="B289" s="24" t="s">
        <v>1735</v>
      </c>
      <c r="C289" s="24" t="s">
        <v>1736</v>
      </c>
      <c r="D289" t="str">
        <f t="shared" si="0"/>
        <v>吕布|周瑜|夏侯惇|孙权|糜夫人</v>
      </c>
    </row>
    <row r="290" customHeight="1" spans="1:4">
      <c r="A290" s="24">
        <v>400036</v>
      </c>
      <c r="B290" s="24" t="s">
        <v>1737</v>
      </c>
      <c r="C290" s="24" t="s">
        <v>1738</v>
      </c>
      <c r="D290" t="str">
        <f t="shared" si="0"/>
        <v>吕布|周瑜|夏侯惇|孙权|貂蝉</v>
      </c>
    </row>
    <row r="291" customHeight="1" spans="1:4">
      <c r="A291" s="30">
        <v>400037</v>
      </c>
      <c r="B291" s="30" t="s">
        <v>1739</v>
      </c>
      <c r="C291" s="30" t="s">
        <v>1716</v>
      </c>
      <c r="D291" t="str">
        <f t="shared" si="0"/>
        <v>刘备|曹操|夏侯惇|孙权|貂蝉</v>
      </c>
    </row>
    <row r="292" customHeight="1" spans="1:4">
      <c r="A292" s="30">
        <v>400038</v>
      </c>
      <c r="B292" s="30" t="s">
        <v>1740</v>
      </c>
      <c r="C292" s="30" t="s">
        <v>1718</v>
      </c>
      <c r="D292" t="str">
        <f t="shared" si="0"/>
        <v>刘备|吕布|夏侯惇|孙权|貂蝉</v>
      </c>
    </row>
    <row r="293" customHeight="1" spans="1:4">
      <c r="A293" s="30">
        <v>400039</v>
      </c>
      <c r="B293" s="30" t="s">
        <v>1741</v>
      </c>
      <c r="C293" s="30" t="s">
        <v>1720</v>
      </c>
      <c r="D293" t="str">
        <f t="shared" si="0"/>
        <v>曹操|关羽|夏侯惇|孙权|貂蝉</v>
      </c>
    </row>
    <row r="294" customHeight="1" spans="1:4">
      <c r="A294" s="30">
        <v>400040</v>
      </c>
      <c r="B294" s="30" t="s">
        <v>1742</v>
      </c>
      <c r="C294" s="30" t="s">
        <v>1722</v>
      </c>
      <c r="D294" t="str">
        <f t="shared" si="0"/>
        <v>曹操|吕布|夏侯惇|孙权|小乔</v>
      </c>
    </row>
    <row r="295" customHeight="1" spans="1:4">
      <c r="A295" s="30">
        <v>400041</v>
      </c>
      <c r="B295" s="30" t="s">
        <v>1743</v>
      </c>
      <c r="C295" s="30" t="s">
        <v>1724</v>
      </c>
      <c r="D295" t="str">
        <f t="shared" si="0"/>
        <v>曹操|诸葛亮|夏侯惇|孙权|小乔</v>
      </c>
    </row>
    <row r="296" customHeight="1" spans="1:4">
      <c r="A296" s="30">
        <v>400042</v>
      </c>
      <c r="B296" s="30" t="s">
        <v>1744</v>
      </c>
      <c r="C296" s="30" t="s">
        <v>1726</v>
      </c>
      <c r="D296" t="str">
        <f t="shared" si="0"/>
        <v>曹操|周瑜|夏侯惇|孙权|貂蝉</v>
      </c>
    </row>
    <row r="297" customHeight="1" spans="1:4">
      <c r="A297" s="30">
        <v>400043</v>
      </c>
      <c r="B297" s="30" t="s">
        <v>1745</v>
      </c>
      <c r="C297" s="30" t="s">
        <v>1728</v>
      </c>
      <c r="D297" t="str">
        <f t="shared" si="0"/>
        <v>关羽|吕布|夏侯惇|孙权|貂蝉</v>
      </c>
    </row>
    <row r="298" customHeight="1" spans="1:4">
      <c r="A298" s="30">
        <v>400044</v>
      </c>
      <c r="B298" s="30" t="s">
        <v>1746</v>
      </c>
      <c r="C298" s="30" t="s">
        <v>1730</v>
      </c>
      <c r="D298" t="str">
        <f t="shared" si="0"/>
        <v>关羽|诸葛亮|夏侯惇|孙权|小乔</v>
      </c>
    </row>
    <row r="299" customHeight="1" spans="1:4">
      <c r="A299" s="30">
        <v>400045</v>
      </c>
      <c r="B299" s="30" t="s">
        <v>1747</v>
      </c>
      <c r="C299" s="30" t="s">
        <v>1732</v>
      </c>
      <c r="D299" t="str">
        <f t="shared" si="0"/>
        <v>关羽|周瑜|夏侯惇|孙权|糜夫人</v>
      </c>
    </row>
    <row r="300" customHeight="1" spans="1:4">
      <c r="A300" s="30">
        <v>400046</v>
      </c>
      <c r="B300" s="30" t="s">
        <v>1748</v>
      </c>
      <c r="C300" s="30" t="s">
        <v>1734</v>
      </c>
      <c r="D300" t="str">
        <f t="shared" si="0"/>
        <v>关羽|周瑜|夏侯惇|孙权|貂蝉</v>
      </c>
    </row>
    <row r="301" customHeight="1" spans="1:4">
      <c r="A301" s="30">
        <v>400047</v>
      </c>
      <c r="B301" s="30" t="s">
        <v>1749</v>
      </c>
      <c r="C301" s="30" t="s">
        <v>1736</v>
      </c>
      <c r="D301" t="str">
        <f t="shared" si="0"/>
        <v>吕布|周瑜|夏侯惇|孙权|糜夫人</v>
      </c>
    </row>
    <row r="302" customHeight="1" spans="1:4">
      <c r="A302" s="30">
        <v>400048</v>
      </c>
      <c r="B302" s="30" t="s">
        <v>1750</v>
      </c>
      <c r="C302" s="30" t="s">
        <v>1738</v>
      </c>
      <c r="D302" t="str">
        <f t="shared" si="0"/>
        <v>吕布|周瑜|夏侯惇|孙权|貂蝉</v>
      </c>
    </row>
    <row r="303" customHeight="1" spans="1:4">
      <c r="A303" s="24">
        <v>400049</v>
      </c>
      <c r="B303" s="24" t="s">
        <v>1751</v>
      </c>
      <c r="C303" s="24" t="s">
        <v>1716</v>
      </c>
      <c r="D303" t="str">
        <f t="shared" si="0"/>
        <v>刘备|曹操|夏侯惇|孙权|貂蝉</v>
      </c>
    </row>
    <row r="304" customHeight="1" spans="1:4">
      <c r="A304" s="24">
        <v>400050</v>
      </c>
      <c r="B304" s="24" t="s">
        <v>1752</v>
      </c>
      <c r="C304" s="24" t="s">
        <v>1718</v>
      </c>
      <c r="D304" t="str">
        <f t="shared" si="0"/>
        <v>刘备|吕布|夏侯惇|孙权|貂蝉</v>
      </c>
    </row>
    <row r="305" customHeight="1" spans="1:4">
      <c r="A305" s="24">
        <v>400051</v>
      </c>
      <c r="B305" s="24" t="s">
        <v>1753</v>
      </c>
      <c r="C305" s="24" t="s">
        <v>1720</v>
      </c>
      <c r="D305" t="str">
        <f t="shared" si="0"/>
        <v>曹操|关羽|夏侯惇|孙权|貂蝉</v>
      </c>
    </row>
    <row r="306" customHeight="1" spans="1:4">
      <c r="A306" s="24">
        <v>400052</v>
      </c>
      <c r="B306" s="24" t="s">
        <v>1754</v>
      </c>
      <c r="C306" s="24" t="s">
        <v>1722</v>
      </c>
      <c r="D306" t="str">
        <f t="shared" si="0"/>
        <v>曹操|吕布|夏侯惇|孙权|小乔</v>
      </c>
    </row>
    <row r="307" customHeight="1" spans="1:4">
      <c r="A307" s="24">
        <v>400053</v>
      </c>
      <c r="B307" s="24" t="s">
        <v>1755</v>
      </c>
      <c r="C307" s="24" t="s">
        <v>1724</v>
      </c>
      <c r="D307" t="str">
        <f t="shared" si="0"/>
        <v>曹操|诸葛亮|夏侯惇|孙权|小乔</v>
      </c>
    </row>
    <row r="308" customHeight="1" spans="1:4">
      <c r="A308" s="24">
        <v>400054</v>
      </c>
      <c r="B308" s="24" t="s">
        <v>1756</v>
      </c>
      <c r="C308" s="24" t="s">
        <v>1726</v>
      </c>
      <c r="D308" t="str">
        <f t="shared" si="0"/>
        <v>曹操|周瑜|夏侯惇|孙权|貂蝉</v>
      </c>
    </row>
    <row r="309" customHeight="1" spans="1:4">
      <c r="A309" s="24">
        <v>400055</v>
      </c>
      <c r="B309" s="24" t="s">
        <v>1757</v>
      </c>
      <c r="C309" s="24" t="s">
        <v>1728</v>
      </c>
      <c r="D309" t="str">
        <f t="shared" si="0"/>
        <v>关羽|吕布|夏侯惇|孙权|貂蝉</v>
      </c>
    </row>
    <row r="310" customHeight="1" spans="1:4">
      <c r="A310" s="24">
        <v>400056</v>
      </c>
      <c r="B310" s="24" t="s">
        <v>1758</v>
      </c>
      <c r="C310" s="24" t="s">
        <v>1730</v>
      </c>
      <c r="D310" t="str">
        <f t="shared" si="0"/>
        <v>关羽|诸葛亮|夏侯惇|孙权|小乔</v>
      </c>
    </row>
    <row r="311" customHeight="1" spans="1:4">
      <c r="A311" s="24">
        <v>400057</v>
      </c>
      <c r="B311" s="24" t="s">
        <v>1759</v>
      </c>
      <c r="C311" s="24" t="s">
        <v>1732</v>
      </c>
      <c r="D311" t="str">
        <f t="shared" si="0"/>
        <v>关羽|周瑜|夏侯惇|孙权|糜夫人</v>
      </c>
    </row>
    <row r="312" customHeight="1" spans="1:4">
      <c r="A312" s="24">
        <v>400058</v>
      </c>
      <c r="B312" s="24" t="s">
        <v>1760</v>
      </c>
      <c r="C312" s="24" t="s">
        <v>1734</v>
      </c>
      <c r="D312" t="str">
        <f t="shared" si="0"/>
        <v>关羽|周瑜|夏侯惇|孙权|貂蝉</v>
      </c>
    </row>
    <row r="313" customHeight="1" spans="1:4">
      <c r="A313" s="24">
        <v>400059</v>
      </c>
      <c r="B313" s="24" t="s">
        <v>1761</v>
      </c>
      <c r="C313" s="24" t="s">
        <v>1736</v>
      </c>
      <c r="D313" t="str">
        <f t="shared" si="0"/>
        <v>吕布|周瑜|夏侯惇|孙权|糜夫人</v>
      </c>
    </row>
    <row r="314" customHeight="1" spans="1:4">
      <c r="A314" s="24">
        <v>400060</v>
      </c>
      <c r="B314" s="24" t="s">
        <v>1762</v>
      </c>
      <c r="C314" s="24" t="s">
        <v>1738</v>
      </c>
      <c r="D314" t="str">
        <f t="shared" si="0"/>
        <v>吕布|周瑜|夏侯惇|孙权|貂蝉</v>
      </c>
    </row>
    <row r="315" customHeight="1" spans="1:4">
      <c r="A315" s="30">
        <v>400061</v>
      </c>
      <c r="B315" s="30" t="s">
        <v>1763</v>
      </c>
      <c r="C315" s="30" t="s">
        <v>1716</v>
      </c>
      <c r="D315" t="str">
        <f t="shared" si="0"/>
        <v>刘备|曹操|夏侯惇|孙权|貂蝉</v>
      </c>
    </row>
    <row r="316" customHeight="1" spans="1:4">
      <c r="A316" s="30">
        <v>400062</v>
      </c>
      <c r="B316" s="30" t="s">
        <v>1764</v>
      </c>
      <c r="C316" s="30" t="s">
        <v>1718</v>
      </c>
      <c r="D316" t="str">
        <f t="shared" si="0"/>
        <v>刘备|吕布|夏侯惇|孙权|貂蝉</v>
      </c>
    </row>
    <row r="317" customHeight="1" spans="1:4">
      <c r="A317" s="30">
        <v>400063</v>
      </c>
      <c r="B317" s="30" t="s">
        <v>1765</v>
      </c>
      <c r="C317" s="30" t="s">
        <v>1720</v>
      </c>
      <c r="D317" t="str">
        <f t="shared" si="0"/>
        <v>曹操|关羽|夏侯惇|孙权|貂蝉</v>
      </c>
    </row>
    <row r="318" customHeight="1" spans="1:4">
      <c r="A318" s="30">
        <v>400064</v>
      </c>
      <c r="B318" s="30" t="s">
        <v>1766</v>
      </c>
      <c r="C318" s="30" t="s">
        <v>1722</v>
      </c>
      <c r="D318" t="str">
        <f t="shared" si="0"/>
        <v>曹操|吕布|夏侯惇|孙权|小乔</v>
      </c>
    </row>
    <row r="319" customHeight="1" spans="1:4">
      <c r="A319" s="30">
        <v>400065</v>
      </c>
      <c r="B319" s="30" t="s">
        <v>1767</v>
      </c>
      <c r="C319" s="30" t="s">
        <v>1724</v>
      </c>
      <c r="D319" t="str">
        <f t="shared" si="0"/>
        <v>曹操|诸葛亮|夏侯惇|孙权|小乔</v>
      </c>
    </row>
    <row r="320" customHeight="1" spans="1:4">
      <c r="A320" s="30">
        <v>400066</v>
      </c>
      <c r="B320" s="30" t="s">
        <v>1768</v>
      </c>
      <c r="C320" s="30" t="s">
        <v>1726</v>
      </c>
      <c r="D320" t="str">
        <f t="shared" ref="D320:D326" si="1">_xlfn.XLOOKUP(B320,B:B,C:C,999,0,1)</f>
        <v>曹操|周瑜|夏侯惇|孙权|貂蝉</v>
      </c>
    </row>
    <row r="321" customHeight="1" spans="1:4">
      <c r="A321" s="30">
        <v>400067</v>
      </c>
      <c r="B321" s="30" t="s">
        <v>1769</v>
      </c>
      <c r="C321" s="30" t="s">
        <v>1728</v>
      </c>
      <c r="D321" t="str">
        <f t="shared" si="1"/>
        <v>关羽|吕布|夏侯惇|孙权|貂蝉</v>
      </c>
    </row>
    <row r="322" customHeight="1" spans="1:4">
      <c r="A322" s="30">
        <v>400068</v>
      </c>
      <c r="B322" s="30" t="s">
        <v>1770</v>
      </c>
      <c r="C322" s="30" t="s">
        <v>1730</v>
      </c>
      <c r="D322" t="str">
        <f t="shared" si="1"/>
        <v>关羽|诸葛亮|夏侯惇|孙权|小乔</v>
      </c>
    </row>
    <row r="323" customHeight="1" spans="1:4">
      <c r="A323" s="30">
        <v>400069</v>
      </c>
      <c r="B323" s="30" t="s">
        <v>1771</v>
      </c>
      <c r="C323" s="30" t="s">
        <v>1732</v>
      </c>
      <c r="D323" t="str">
        <f t="shared" si="1"/>
        <v>关羽|周瑜|夏侯惇|孙权|糜夫人</v>
      </c>
    </row>
    <row r="324" customHeight="1" spans="1:4">
      <c r="A324" s="30">
        <v>400070</v>
      </c>
      <c r="B324" s="30" t="s">
        <v>1772</v>
      </c>
      <c r="C324" s="30" t="s">
        <v>1734</v>
      </c>
      <c r="D324" t="str">
        <f t="shared" si="1"/>
        <v>关羽|周瑜|夏侯惇|孙权|貂蝉</v>
      </c>
    </row>
    <row r="325" customHeight="1" spans="1:4">
      <c r="A325" s="30">
        <v>400071</v>
      </c>
      <c r="B325" s="30" t="s">
        <v>1773</v>
      </c>
      <c r="C325" s="30" t="s">
        <v>1736</v>
      </c>
      <c r="D325" t="str">
        <f t="shared" si="1"/>
        <v>吕布|周瑜|夏侯惇|孙权|糜夫人</v>
      </c>
    </row>
    <row r="326" customHeight="1" spans="1:4">
      <c r="A326" s="30">
        <v>400072</v>
      </c>
      <c r="B326" s="30" t="s">
        <v>1774</v>
      </c>
      <c r="C326" s="30" t="s">
        <v>1738</v>
      </c>
      <c r="D326" t="str">
        <f t="shared" si="1"/>
        <v>吕布|周瑜|夏侯惇|孙权|貂蝉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1775</v>
      </c>
      <c r="B1" s="10" t="s">
        <v>1776</v>
      </c>
      <c r="C1" s="10" t="s">
        <v>1777</v>
      </c>
      <c r="D1" s="10" t="s">
        <v>1778</v>
      </c>
      <c r="E1" s="10" t="s">
        <v>0</v>
      </c>
      <c r="F1" s="10" t="s">
        <v>1779</v>
      </c>
    </row>
    <row r="2" spans="1:6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1783</v>
      </c>
      <c r="F2" s="9" t="s">
        <v>1784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1775</v>
      </c>
      <c r="B1" s="10" t="s">
        <v>1785</v>
      </c>
      <c r="C1" s="10" t="s">
        <v>1777</v>
      </c>
      <c r="D1" s="10" t="s">
        <v>1778</v>
      </c>
      <c r="E1" s="10" t="s">
        <v>1786</v>
      </c>
    </row>
    <row r="2" ht="15.75" customHeight="1" spans="1:5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1787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1788</v>
      </c>
      <c r="B1" s="13" t="s">
        <v>1789</v>
      </c>
      <c r="C1" s="13" t="s">
        <v>1790</v>
      </c>
    </row>
    <row r="2" customHeight="1" spans="1:3">
      <c r="A2" s="13" t="s">
        <v>1386</v>
      </c>
      <c r="B2" s="13" t="s">
        <v>1791</v>
      </c>
      <c r="C2" s="13" t="s">
        <v>1792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1793</v>
      </c>
      <c r="C4" s="13">
        <v>1</v>
      </c>
    </row>
    <row r="5" customHeight="1" spans="1:3">
      <c r="A5" s="13">
        <v>2</v>
      </c>
      <c r="B5" s="13" t="s">
        <v>1794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1775</v>
      </c>
      <c r="B1" s="10" t="s">
        <v>1776</v>
      </c>
      <c r="C1" s="10" t="s">
        <v>1777</v>
      </c>
      <c r="D1" s="10" t="s">
        <v>1778</v>
      </c>
      <c r="E1" s="10" t="s">
        <v>0</v>
      </c>
      <c r="F1" s="10" t="s">
        <v>1779</v>
      </c>
    </row>
    <row r="2" customHeight="1" spans="1:17">
      <c r="A2" s="9" t="s">
        <v>1386</v>
      </c>
      <c r="B2" s="9" t="s">
        <v>1780</v>
      </c>
      <c r="C2" s="9" t="s">
        <v>1781</v>
      </c>
      <c r="D2" s="9" t="s">
        <v>1782</v>
      </c>
      <c r="E2" s="9" t="s">
        <v>1783</v>
      </c>
      <c r="F2" s="9" t="s">
        <v>1784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 t="shared" ref="F5:F68" si="0"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f t="shared" si="0"/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f t="shared" si="0"/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f t="shared" si="0"/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f t="shared" si="0"/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f t="shared" si="0"/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f t="shared" si="0"/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f t="shared" si="0"/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f t="shared" si="0"/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f t="shared" si="0"/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f t="shared" si="0"/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f t="shared" si="0"/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f t="shared" si="0"/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f t="shared" si="0"/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f t="shared" si="0"/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f t="shared" si="0"/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f t="shared" si="0"/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f t="shared" si="0"/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f t="shared" si="0"/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f t="shared" si="0"/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f t="shared" si="0"/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f t="shared" si="0"/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f t="shared" si="0"/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f t="shared" si="0"/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f t="shared" si="0"/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 t="shared" ref="D30:D78" si="1">D5+1</f>
        <v>2</v>
      </c>
      <c r="E30" s="1">
        <v>11202</v>
      </c>
      <c r="F30" s="11">
        <f t="shared" si="0"/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f t="shared" si="1"/>
        <v>2</v>
      </c>
      <c r="E31" s="1">
        <v>11203</v>
      </c>
      <c r="F31" s="11">
        <f t="shared" si="0"/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f t="shared" si="1"/>
        <v>2</v>
      </c>
      <c r="E32" s="1">
        <v>11204</v>
      </c>
      <c r="F32" s="11">
        <f t="shared" si="0"/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f t="shared" si="1"/>
        <v>2</v>
      </c>
      <c r="E33" s="1">
        <v>11205</v>
      </c>
      <c r="F33" s="11">
        <f t="shared" si="0"/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f t="shared" si="1"/>
        <v>2</v>
      </c>
      <c r="E34" s="1">
        <v>11206</v>
      </c>
      <c r="F34" s="11">
        <f t="shared" si="0"/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f t="shared" si="1"/>
        <v>2</v>
      </c>
      <c r="E35" s="1">
        <v>11207</v>
      </c>
      <c r="F35" s="11">
        <f t="shared" si="0"/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f t="shared" si="1"/>
        <v>2</v>
      </c>
      <c r="E36" s="1">
        <v>11208</v>
      </c>
      <c r="F36" s="11">
        <f t="shared" si="0"/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f t="shared" si="1"/>
        <v>2</v>
      </c>
      <c r="E37" s="1">
        <v>11209</v>
      </c>
      <c r="F37" s="11">
        <f t="shared" si="0"/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f t="shared" si="1"/>
        <v>2</v>
      </c>
      <c r="E38" s="1">
        <v>11210</v>
      </c>
      <c r="F38" s="11">
        <f t="shared" si="0"/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f t="shared" si="1"/>
        <v>2</v>
      </c>
      <c r="E39" s="1">
        <v>11211</v>
      </c>
      <c r="F39" s="11">
        <f t="shared" si="0"/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f t="shared" si="1"/>
        <v>2</v>
      </c>
      <c r="E40" s="1">
        <v>11212</v>
      </c>
      <c r="F40" s="11">
        <f t="shared" si="0"/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f t="shared" si="1"/>
        <v>2</v>
      </c>
      <c r="E41" s="1">
        <v>11213</v>
      </c>
      <c r="F41" s="11">
        <f t="shared" si="0"/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f t="shared" si="1"/>
        <v>2</v>
      </c>
      <c r="E42" s="1">
        <v>11214</v>
      </c>
      <c r="F42" s="11">
        <f t="shared" si="0"/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f t="shared" si="1"/>
        <v>2</v>
      </c>
      <c r="E43" s="1">
        <v>11215</v>
      </c>
      <c r="F43" s="11">
        <f t="shared" si="0"/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f t="shared" si="1"/>
        <v>2</v>
      </c>
      <c r="E44" s="1">
        <v>11216</v>
      </c>
      <c r="F44" s="11">
        <f t="shared" si="0"/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f t="shared" si="1"/>
        <v>2</v>
      </c>
      <c r="E45" s="1">
        <v>11217</v>
      </c>
      <c r="F45" s="11">
        <f t="shared" si="0"/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f t="shared" si="1"/>
        <v>2</v>
      </c>
      <c r="E46" s="1">
        <v>11218</v>
      </c>
      <c r="F46" s="11">
        <f t="shared" si="0"/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f t="shared" si="1"/>
        <v>2</v>
      </c>
      <c r="E47" s="1">
        <v>11219</v>
      </c>
      <c r="F47" s="11">
        <f t="shared" si="0"/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f t="shared" si="1"/>
        <v>2</v>
      </c>
      <c r="E48" s="1">
        <v>11220</v>
      </c>
      <c r="F48" s="11">
        <f t="shared" si="0"/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f t="shared" si="1"/>
        <v>2</v>
      </c>
      <c r="E49" s="1">
        <v>11221</v>
      </c>
      <c r="F49" s="11">
        <f t="shared" si="0"/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f t="shared" si="1"/>
        <v>2</v>
      </c>
      <c r="E50" s="1">
        <v>11222</v>
      </c>
      <c r="F50" s="11">
        <f t="shared" si="0"/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f t="shared" si="1"/>
        <v>2</v>
      </c>
      <c r="E51" s="1">
        <v>11223</v>
      </c>
      <c r="F51" s="11">
        <f t="shared" si="0"/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f t="shared" si="1"/>
        <v>2</v>
      </c>
      <c r="E52" s="1">
        <v>11224</v>
      </c>
      <c r="F52" s="11">
        <f t="shared" si="0"/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f t="shared" si="1"/>
        <v>2</v>
      </c>
      <c r="E53" s="1">
        <v>11225</v>
      </c>
      <c r="F53" s="11">
        <f t="shared" si="0"/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f t="shared" si="1"/>
        <v>3</v>
      </c>
      <c r="E54" s="1">
        <v>11301</v>
      </c>
      <c r="F54" s="11">
        <f t="shared" si="0"/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f t="shared" si="1"/>
        <v>3</v>
      </c>
      <c r="E55" s="1">
        <v>11302</v>
      </c>
      <c r="F55" s="11">
        <f t="shared" si="0"/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f t="shared" si="1"/>
        <v>3</v>
      </c>
      <c r="E56" s="1">
        <v>11303</v>
      </c>
      <c r="F56" s="11">
        <f t="shared" si="0"/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f t="shared" si="1"/>
        <v>3</v>
      </c>
      <c r="E57" s="1">
        <v>11304</v>
      </c>
      <c r="F57" s="11">
        <f t="shared" si="0"/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f t="shared" si="1"/>
        <v>3</v>
      </c>
      <c r="E58" s="1">
        <v>11305</v>
      </c>
      <c r="F58" s="11">
        <f t="shared" si="0"/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f t="shared" si="1"/>
        <v>3</v>
      </c>
      <c r="E59" s="1">
        <v>11306</v>
      </c>
      <c r="F59" s="11">
        <f t="shared" si="0"/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f t="shared" si="1"/>
        <v>3</v>
      </c>
      <c r="E60" s="1">
        <v>11307</v>
      </c>
      <c r="F60" s="11">
        <f t="shared" si="0"/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f t="shared" si="1"/>
        <v>3</v>
      </c>
      <c r="E61" s="1">
        <v>11308</v>
      </c>
      <c r="F61" s="11">
        <f t="shared" si="0"/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f t="shared" si="1"/>
        <v>3</v>
      </c>
      <c r="E62" s="1">
        <v>11309</v>
      </c>
      <c r="F62" s="11">
        <f t="shared" si="0"/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f t="shared" si="1"/>
        <v>3</v>
      </c>
      <c r="E63" s="1">
        <v>11310</v>
      </c>
      <c r="F63" s="11">
        <f t="shared" si="0"/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f t="shared" si="1"/>
        <v>3</v>
      </c>
      <c r="E64" s="1">
        <v>11311</v>
      </c>
      <c r="F64" s="11">
        <f t="shared" si="0"/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f t="shared" si="1"/>
        <v>3</v>
      </c>
      <c r="E65" s="1">
        <v>11312</v>
      </c>
      <c r="F65" s="11">
        <f t="shared" si="0"/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f t="shared" si="1"/>
        <v>3</v>
      </c>
      <c r="E66" s="1">
        <v>11313</v>
      </c>
      <c r="F66" s="11">
        <f t="shared" si="0"/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f t="shared" si="1"/>
        <v>3</v>
      </c>
      <c r="E67" s="1">
        <v>11314</v>
      </c>
      <c r="F67" s="11">
        <f t="shared" si="0"/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f t="shared" si="1"/>
        <v>3</v>
      </c>
      <c r="E68" s="1">
        <v>11315</v>
      </c>
      <c r="F68" s="11">
        <f t="shared" si="0"/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f t="shared" si="1"/>
        <v>3</v>
      </c>
      <c r="E69" s="1">
        <v>11316</v>
      </c>
      <c r="F69" s="11">
        <f t="shared" ref="F69:F132" si="2"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f t="shared" si="1"/>
        <v>3</v>
      </c>
      <c r="E70" s="1">
        <v>11317</v>
      </c>
      <c r="F70" s="11">
        <f t="shared" si="2"/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f t="shared" si="1"/>
        <v>3</v>
      </c>
      <c r="E71" s="1">
        <v>11318</v>
      </c>
      <c r="F71" s="11">
        <f t="shared" si="2"/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f t="shared" si="1"/>
        <v>3</v>
      </c>
      <c r="E72" s="1">
        <v>11319</v>
      </c>
      <c r="F72" s="11">
        <f t="shared" si="2"/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f t="shared" si="1"/>
        <v>3</v>
      </c>
      <c r="E73" s="1">
        <v>11320</v>
      </c>
      <c r="F73" s="11">
        <f t="shared" si="2"/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f t="shared" si="1"/>
        <v>3</v>
      </c>
      <c r="E74" s="1">
        <v>11321</v>
      </c>
      <c r="F74" s="11">
        <f t="shared" si="2"/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f t="shared" si="1"/>
        <v>3</v>
      </c>
      <c r="E75" s="1">
        <v>11322</v>
      </c>
      <c r="F75" s="11">
        <f t="shared" si="2"/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f t="shared" si="1"/>
        <v>3</v>
      </c>
      <c r="E76" s="1">
        <v>11323</v>
      </c>
      <c r="F76" s="11">
        <f t="shared" si="2"/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f t="shared" si="1"/>
        <v>3</v>
      </c>
      <c r="E77" s="1">
        <v>11324</v>
      </c>
      <c r="F77" s="11">
        <f t="shared" si="2"/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f t="shared" si="1"/>
        <v>3</v>
      </c>
      <c r="E78" s="1">
        <v>11325</v>
      </c>
      <c r="F78" s="11">
        <f t="shared" si="2"/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f t="shared" si="2"/>
        <v>10</v>
      </c>
    </row>
    <row r="80" customHeight="1" spans="1:6">
      <c r="A80" s="11">
        <v>10077</v>
      </c>
      <c r="B80" s="11">
        <f t="shared" ref="B80:B143" si="3">B5+1</f>
        <v>2</v>
      </c>
      <c r="C80" s="11">
        <v>1</v>
      </c>
      <c r="D80" s="11">
        <v>1</v>
      </c>
      <c r="E80" s="1">
        <v>11102</v>
      </c>
      <c r="F80" s="11">
        <f t="shared" si="2"/>
        <v>10</v>
      </c>
    </row>
    <row r="81" customHeight="1" spans="1:6">
      <c r="A81" s="11">
        <v>10078</v>
      </c>
      <c r="B81" s="11">
        <f t="shared" si="3"/>
        <v>2</v>
      </c>
      <c r="C81" s="11">
        <v>1</v>
      </c>
      <c r="D81" s="11">
        <v>1</v>
      </c>
      <c r="E81" s="1">
        <v>11103</v>
      </c>
      <c r="F81" s="11">
        <f t="shared" si="2"/>
        <v>10</v>
      </c>
    </row>
    <row r="82" customHeight="1" spans="1:6">
      <c r="A82" s="11">
        <v>10079</v>
      </c>
      <c r="B82" s="11">
        <f t="shared" si="3"/>
        <v>2</v>
      </c>
      <c r="C82" s="11">
        <v>1</v>
      </c>
      <c r="D82" s="11">
        <v>1</v>
      </c>
      <c r="E82" s="1">
        <v>11104</v>
      </c>
      <c r="F82" s="11">
        <f t="shared" si="2"/>
        <v>10</v>
      </c>
    </row>
    <row r="83" customHeight="1" spans="1:6">
      <c r="A83" s="11">
        <v>10080</v>
      </c>
      <c r="B83" s="11">
        <f t="shared" si="3"/>
        <v>2</v>
      </c>
      <c r="C83" s="11">
        <v>1</v>
      </c>
      <c r="D83" s="11">
        <v>1</v>
      </c>
      <c r="E83" s="1">
        <v>11105</v>
      </c>
      <c r="F83" s="11">
        <f t="shared" si="2"/>
        <v>10</v>
      </c>
    </row>
    <row r="84" customHeight="1" spans="1:6">
      <c r="A84" s="11">
        <v>10081</v>
      </c>
      <c r="B84" s="11">
        <f t="shared" si="3"/>
        <v>2</v>
      </c>
      <c r="C84" s="11">
        <v>1</v>
      </c>
      <c r="D84" s="11">
        <v>1</v>
      </c>
      <c r="E84" s="1">
        <v>11106</v>
      </c>
      <c r="F84" s="11">
        <f t="shared" si="2"/>
        <v>10</v>
      </c>
    </row>
    <row r="85" customHeight="1" spans="1:6">
      <c r="A85" s="11">
        <v>10082</v>
      </c>
      <c r="B85" s="11">
        <f t="shared" si="3"/>
        <v>2</v>
      </c>
      <c r="C85" s="11">
        <v>1</v>
      </c>
      <c r="D85" s="11">
        <v>1</v>
      </c>
      <c r="E85" s="1">
        <v>11107</v>
      </c>
      <c r="F85" s="11">
        <f t="shared" si="2"/>
        <v>10</v>
      </c>
    </row>
    <row r="86" customHeight="1" spans="1:6">
      <c r="A86" s="11">
        <v>10083</v>
      </c>
      <c r="B86" s="11">
        <f t="shared" si="3"/>
        <v>2</v>
      </c>
      <c r="C86" s="11">
        <v>1</v>
      </c>
      <c r="D86" s="11">
        <v>1</v>
      </c>
      <c r="E86" s="1">
        <v>11108</v>
      </c>
      <c r="F86" s="11">
        <f t="shared" si="2"/>
        <v>10</v>
      </c>
    </row>
    <row r="87" customHeight="1" spans="1:6">
      <c r="A87" s="11">
        <v>10084</v>
      </c>
      <c r="B87" s="11">
        <f t="shared" si="3"/>
        <v>2</v>
      </c>
      <c r="C87" s="11">
        <v>1</v>
      </c>
      <c r="D87" s="11">
        <v>1</v>
      </c>
      <c r="E87" s="1">
        <v>11109</v>
      </c>
      <c r="F87" s="11">
        <f t="shared" si="2"/>
        <v>10</v>
      </c>
    </row>
    <row r="88" customHeight="1" spans="1:6">
      <c r="A88" s="11">
        <v>10085</v>
      </c>
      <c r="B88" s="11">
        <f t="shared" si="3"/>
        <v>2</v>
      </c>
      <c r="C88" s="11">
        <v>1</v>
      </c>
      <c r="D88" s="11">
        <v>1</v>
      </c>
      <c r="E88" s="1">
        <v>11110</v>
      </c>
      <c r="F88" s="11">
        <f t="shared" si="2"/>
        <v>10</v>
      </c>
    </row>
    <row r="89" customHeight="1" spans="1:6">
      <c r="A89" s="11">
        <v>10086</v>
      </c>
      <c r="B89" s="11">
        <f t="shared" si="3"/>
        <v>2</v>
      </c>
      <c r="C89" s="11">
        <v>1</v>
      </c>
      <c r="D89" s="11">
        <v>1</v>
      </c>
      <c r="E89" s="1">
        <v>11111</v>
      </c>
      <c r="F89" s="11">
        <f t="shared" si="2"/>
        <v>10</v>
      </c>
    </row>
    <row r="90" customHeight="1" spans="1:6">
      <c r="A90" s="11">
        <v>10087</v>
      </c>
      <c r="B90" s="11">
        <f t="shared" si="3"/>
        <v>2</v>
      </c>
      <c r="C90" s="11">
        <v>1</v>
      </c>
      <c r="D90" s="11">
        <v>1</v>
      </c>
      <c r="E90" s="1">
        <v>11112</v>
      </c>
      <c r="F90" s="11">
        <f t="shared" si="2"/>
        <v>10</v>
      </c>
    </row>
    <row r="91" customHeight="1" spans="1:6">
      <c r="A91" s="11">
        <v>10088</v>
      </c>
      <c r="B91" s="11">
        <f t="shared" si="3"/>
        <v>2</v>
      </c>
      <c r="C91" s="11">
        <v>1</v>
      </c>
      <c r="D91" s="11">
        <v>1</v>
      </c>
      <c r="E91" s="1">
        <v>11113</v>
      </c>
      <c r="F91" s="11">
        <f t="shared" si="2"/>
        <v>10</v>
      </c>
    </row>
    <row r="92" customHeight="1" spans="1:6">
      <c r="A92" s="11">
        <v>10089</v>
      </c>
      <c r="B92" s="11">
        <f t="shared" si="3"/>
        <v>2</v>
      </c>
      <c r="C92" s="11">
        <v>1</v>
      </c>
      <c r="D92" s="11">
        <v>1</v>
      </c>
      <c r="E92" s="1">
        <v>11114</v>
      </c>
      <c r="F92" s="11">
        <f t="shared" si="2"/>
        <v>10</v>
      </c>
    </row>
    <row r="93" customHeight="1" spans="1:6">
      <c r="A93" s="11">
        <v>10090</v>
      </c>
      <c r="B93" s="11">
        <f t="shared" si="3"/>
        <v>2</v>
      </c>
      <c r="C93" s="11">
        <v>1</v>
      </c>
      <c r="D93" s="11">
        <v>1</v>
      </c>
      <c r="E93" s="1">
        <v>11115</v>
      </c>
      <c r="F93" s="11">
        <f t="shared" si="2"/>
        <v>10</v>
      </c>
    </row>
    <row r="94" customHeight="1" spans="1:6">
      <c r="A94" s="11">
        <v>10091</v>
      </c>
      <c r="B94" s="11">
        <f t="shared" si="3"/>
        <v>2</v>
      </c>
      <c r="C94" s="11">
        <v>1</v>
      </c>
      <c r="D94" s="11">
        <v>1</v>
      </c>
      <c r="E94" s="1">
        <v>11116</v>
      </c>
      <c r="F94" s="11">
        <f t="shared" si="2"/>
        <v>10</v>
      </c>
    </row>
    <row r="95" customHeight="1" spans="1:6">
      <c r="A95" s="11">
        <v>10092</v>
      </c>
      <c r="B95" s="11">
        <f t="shared" si="3"/>
        <v>2</v>
      </c>
      <c r="C95" s="11">
        <v>1</v>
      </c>
      <c r="D95" s="11">
        <v>1</v>
      </c>
      <c r="E95" s="1">
        <v>11117</v>
      </c>
      <c r="F95" s="11">
        <f t="shared" si="2"/>
        <v>10</v>
      </c>
    </row>
    <row r="96" customHeight="1" spans="1:6">
      <c r="A96" s="11">
        <v>10093</v>
      </c>
      <c r="B96" s="11">
        <f t="shared" si="3"/>
        <v>2</v>
      </c>
      <c r="C96" s="11">
        <v>1</v>
      </c>
      <c r="D96" s="11">
        <v>1</v>
      </c>
      <c r="E96" s="1">
        <v>11118</v>
      </c>
      <c r="F96" s="11">
        <f t="shared" si="2"/>
        <v>10</v>
      </c>
    </row>
    <row r="97" customHeight="1" spans="1:6">
      <c r="A97" s="11">
        <v>10094</v>
      </c>
      <c r="B97" s="11">
        <f t="shared" si="3"/>
        <v>2</v>
      </c>
      <c r="C97" s="11">
        <v>1</v>
      </c>
      <c r="D97" s="11">
        <v>1</v>
      </c>
      <c r="E97" s="1">
        <v>11119</v>
      </c>
      <c r="F97" s="11">
        <f t="shared" si="2"/>
        <v>10</v>
      </c>
    </row>
    <row r="98" customHeight="1" spans="1:6">
      <c r="A98" s="11">
        <v>10095</v>
      </c>
      <c r="B98" s="11">
        <f t="shared" si="3"/>
        <v>2</v>
      </c>
      <c r="C98" s="11">
        <v>1</v>
      </c>
      <c r="D98" s="11">
        <v>1</v>
      </c>
      <c r="E98" s="1">
        <v>11120</v>
      </c>
      <c r="F98" s="11">
        <f t="shared" si="2"/>
        <v>10</v>
      </c>
    </row>
    <row r="99" customHeight="1" spans="1:6">
      <c r="A99" s="11">
        <v>10096</v>
      </c>
      <c r="B99" s="11">
        <f t="shared" si="3"/>
        <v>2</v>
      </c>
      <c r="C99" s="11">
        <v>1</v>
      </c>
      <c r="D99" s="11">
        <v>1</v>
      </c>
      <c r="E99" s="1">
        <v>11121</v>
      </c>
      <c r="F99" s="11">
        <f t="shared" si="2"/>
        <v>0</v>
      </c>
    </row>
    <row r="100" customHeight="1" spans="1:6">
      <c r="A100" s="11">
        <v>10097</v>
      </c>
      <c r="B100" s="11">
        <f t="shared" si="3"/>
        <v>2</v>
      </c>
      <c r="C100" s="11">
        <v>1</v>
      </c>
      <c r="D100" s="11">
        <v>1</v>
      </c>
      <c r="E100" s="1">
        <v>11122</v>
      </c>
      <c r="F100" s="11">
        <f t="shared" si="2"/>
        <v>0</v>
      </c>
    </row>
    <row r="101" customHeight="1" spans="1:6">
      <c r="A101" s="11">
        <v>10098</v>
      </c>
      <c r="B101" s="11">
        <f t="shared" si="3"/>
        <v>2</v>
      </c>
      <c r="C101" s="11">
        <v>1</v>
      </c>
      <c r="D101" s="11">
        <v>1</v>
      </c>
      <c r="E101" s="1">
        <v>11123</v>
      </c>
      <c r="F101" s="11">
        <f t="shared" si="2"/>
        <v>0</v>
      </c>
    </row>
    <row r="102" customHeight="1" spans="1:6">
      <c r="A102" s="11">
        <v>10099</v>
      </c>
      <c r="B102" s="11">
        <f t="shared" si="3"/>
        <v>2</v>
      </c>
      <c r="C102" s="11">
        <v>1</v>
      </c>
      <c r="D102" s="11">
        <v>1</v>
      </c>
      <c r="E102" s="1">
        <v>11124</v>
      </c>
      <c r="F102" s="11">
        <f t="shared" si="2"/>
        <v>0</v>
      </c>
    </row>
    <row r="103" customHeight="1" spans="1:6">
      <c r="A103" s="11">
        <v>10100</v>
      </c>
      <c r="B103" s="11">
        <f t="shared" si="3"/>
        <v>2</v>
      </c>
      <c r="C103" s="11">
        <v>1</v>
      </c>
      <c r="D103" s="11">
        <v>1</v>
      </c>
      <c r="E103" s="1">
        <v>11125</v>
      </c>
      <c r="F103" s="11">
        <f t="shared" si="2"/>
        <v>0</v>
      </c>
    </row>
    <row r="104" customHeight="1" spans="1:6">
      <c r="A104" s="11">
        <v>10101</v>
      </c>
      <c r="B104" s="11">
        <f t="shared" si="3"/>
        <v>2</v>
      </c>
      <c r="C104" s="11">
        <v>1</v>
      </c>
      <c r="D104" s="11">
        <f>D79+1</f>
        <v>2</v>
      </c>
      <c r="E104" s="1">
        <v>11201</v>
      </c>
      <c r="F104" s="11">
        <f t="shared" si="2"/>
        <v>10</v>
      </c>
    </row>
    <row r="105" customHeight="1" spans="1:6">
      <c r="A105" s="11">
        <v>10102</v>
      </c>
      <c r="B105" s="11">
        <f t="shared" si="3"/>
        <v>2</v>
      </c>
      <c r="C105" s="11">
        <v>1</v>
      </c>
      <c r="D105" s="11">
        <f t="shared" ref="D105:D153" si="4">D80+1</f>
        <v>2</v>
      </c>
      <c r="E105" s="1">
        <v>11202</v>
      </c>
      <c r="F105" s="11">
        <f t="shared" si="2"/>
        <v>10</v>
      </c>
    </row>
    <row r="106" customHeight="1" spans="1:6">
      <c r="A106" s="11">
        <v>10103</v>
      </c>
      <c r="B106" s="11">
        <f t="shared" si="3"/>
        <v>2</v>
      </c>
      <c r="C106" s="11">
        <v>1</v>
      </c>
      <c r="D106" s="11">
        <f t="shared" si="4"/>
        <v>2</v>
      </c>
      <c r="E106" s="1">
        <v>11203</v>
      </c>
      <c r="F106" s="11">
        <f t="shared" si="2"/>
        <v>10</v>
      </c>
    </row>
    <row r="107" customHeight="1" spans="1:6">
      <c r="A107" s="11">
        <v>10104</v>
      </c>
      <c r="B107" s="11">
        <f t="shared" si="3"/>
        <v>2</v>
      </c>
      <c r="C107" s="11">
        <v>1</v>
      </c>
      <c r="D107" s="11">
        <f t="shared" si="4"/>
        <v>2</v>
      </c>
      <c r="E107" s="1">
        <v>11204</v>
      </c>
      <c r="F107" s="11">
        <f t="shared" si="2"/>
        <v>10</v>
      </c>
    </row>
    <row r="108" customHeight="1" spans="1:6">
      <c r="A108" s="11">
        <v>10105</v>
      </c>
      <c r="B108" s="11">
        <f t="shared" si="3"/>
        <v>2</v>
      </c>
      <c r="C108" s="11">
        <v>1</v>
      </c>
      <c r="D108" s="11">
        <f t="shared" si="4"/>
        <v>2</v>
      </c>
      <c r="E108" s="1">
        <v>11205</v>
      </c>
      <c r="F108" s="11">
        <f t="shared" si="2"/>
        <v>10</v>
      </c>
    </row>
    <row r="109" customHeight="1" spans="1:6">
      <c r="A109" s="11">
        <v>10106</v>
      </c>
      <c r="B109" s="11">
        <f t="shared" si="3"/>
        <v>2</v>
      </c>
      <c r="C109" s="11">
        <v>1</v>
      </c>
      <c r="D109" s="11">
        <f t="shared" si="4"/>
        <v>2</v>
      </c>
      <c r="E109" s="1">
        <v>11206</v>
      </c>
      <c r="F109" s="11">
        <f t="shared" si="2"/>
        <v>10</v>
      </c>
    </row>
    <row r="110" customHeight="1" spans="1:6">
      <c r="A110" s="11">
        <v>10107</v>
      </c>
      <c r="B110" s="11">
        <f t="shared" si="3"/>
        <v>2</v>
      </c>
      <c r="C110" s="11">
        <v>1</v>
      </c>
      <c r="D110" s="11">
        <f t="shared" si="4"/>
        <v>2</v>
      </c>
      <c r="E110" s="1">
        <v>11207</v>
      </c>
      <c r="F110" s="11">
        <f t="shared" si="2"/>
        <v>10</v>
      </c>
    </row>
    <row r="111" customHeight="1" spans="1:6">
      <c r="A111" s="11">
        <v>10108</v>
      </c>
      <c r="B111" s="11">
        <f t="shared" si="3"/>
        <v>2</v>
      </c>
      <c r="C111" s="11">
        <v>1</v>
      </c>
      <c r="D111" s="11">
        <f t="shared" si="4"/>
        <v>2</v>
      </c>
      <c r="E111" s="1">
        <v>11208</v>
      </c>
      <c r="F111" s="11">
        <f t="shared" si="2"/>
        <v>10</v>
      </c>
    </row>
    <row r="112" customHeight="1" spans="1:6">
      <c r="A112" s="11">
        <v>10109</v>
      </c>
      <c r="B112" s="11">
        <f t="shared" si="3"/>
        <v>2</v>
      </c>
      <c r="C112" s="11">
        <v>1</v>
      </c>
      <c r="D112" s="11">
        <f t="shared" si="4"/>
        <v>2</v>
      </c>
      <c r="E112" s="1">
        <v>11209</v>
      </c>
      <c r="F112" s="11">
        <f t="shared" si="2"/>
        <v>10</v>
      </c>
    </row>
    <row r="113" customHeight="1" spans="1:6">
      <c r="A113" s="11">
        <v>10110</v>
      </c>
      <c r="B113" s="11">
        <f t="shared" si="3"/>
        <v>2</v>
      </c>
      <c r="C113" s="11">
        <v>1</v>
      </c>
      <c r="D113" s="11">
        <f t="shared" si="4"/>
        <v>2</v>
      </c>
      <c r="E113" s="1">
        <v>11210</v>
      </c>
      <c r="F113" s="11">
        <f t="shared" si="2"/>
        <v>10</v>
      </c>
    </row>
    <row r="114" customHeight="1" spans="1:6">
      <c r="A114" s="11">
        <v>10111</v>
      </c>
      <c r="B114" s="11">
        <f t="shared" si="3"/>
        <v>2</v>
      </c>
      <c r="C114" s="11">
        <v>1</v>
      </c>
      <c r="D114" s="11">
        <f t="shared" si="4"/>
        <v>2</v>
      </c>
      <c r="E114" s="1">
        <v>11211</v>
      </c>
      <c r="F114" s="11">
        <f t="shared" si="2"/>
        <v>10</v>
      </c>
    </row>
    <row r="115" customHeight="1" spans="1:6">
      <c r="A115" s="11">
        <v>10112</v>
      </c>
      <c r="B115" s="11">
        <f t="shared" si="3"/>
        <v>2</v>
      </c>
      <c r="C115" s="11">
        <v>1</v>
      </c>
      <c r="D115" s="11">
        <f t="shared" si="4"/>
        <v>2</v>
      </c>
      <c r="E115" s="1">
        <v>11212</v>
      </c>
      <c r="F115" s="11">
        <f t="shared" si="2"/>
        <v>10</v>
      </c>
    </row>
    <row r="116" customHeight="1" spans="1:6">
      <c r="A116" s="11">
        <v>10113</v>
      </c>
      <c r="B116" s="11">
        <f t="shared" si="3"/>
        <v>2</v>
      </c>
      <c r="C116" s="11">
        <v>1</v>
      </c>
      <c r="D116" s="11">
        <f t="shared" si="4"/>
        <v>2</v>
      </c>
      <c r="E116" s="1">
        <v>11213</v>
      </c>
      <c r="F116" s="11">
        <f t="shared" si="2"/>
        <v>10</v>
      </c>
    </row>
    <row r="117" customHeight="1" spans="1:6">
      <c r="A117" s="11">
        <v>10114</v>
      </c>
      <c r="B117" s="11">
        <f t="shared" si="3"/>
        <v>2</v>
      </c>
      <c r="C117" s="11">
        <v>1</v>
      </c>
      <c r="D117" s="11">
        <f t="shared" si="4"/>
        <v>2</v>
      </c>
      <c r="E117" s="1">
        <v>11214</v>
      </c>
      <c r="F117" s="11">
        <f t="shared" si="2"/>
        <v>10</v>
      </c>
    </row>
    <row r="118" customHeight="1" spans="1:6">
      <c r="A118" s="11">
        <v>10115</v>
      </c>
      <c r="B118" s="11">
        <f t="shared" si="3"/>
        <v>2</v>
      </c>
      <c r="C118" s="11">
        <v>1</v>
      </c>
      <c r="D118" s="11">
        <f t="shared" si="4"/>
        <v>2</v>
      </c>
      <c r="E118" s="1">
        <v>11215</v>
      </c>
      <c r="F118" s="11">
        <f t="shared" si="2"/>
        <v>10</v>
      </c>
    </row>
    <row r="119" customHeight="1" spans="1:6">
      <c r="A119" s="11">
        <v>10116</v>
      </c>
      <c r="B119" s="11">
        <f t="shared" si="3"/>
        <v>2</v>
      </c>
      <c r="C119" s="11">
        <v>1</v>
      </c>
      <c r="D119" s="11">
        <f t="shared" si="4"/>
        <v>2</v>
      </c>
      <c r="E119" s="1">
        <v>11216</v>
      </c>
      <c r="F119" s="11">
        <f t="shared" si="2"/>
        <v>10</v>
      </c>
    </row>
    <row r="120" customHeight="1" spans="1:6">
      <c r="A120" s="11">
        <v>10117</v>
      </c>
      <c r="B120" s="11">
        <f t="shared" si="3"/>
        <v>2</v>
      </c>
      <c r="C120" s="11">
        <v>1</v>
      </c>
      <c r="D120" s="11">
        <f t="shared" si="4"/>
        <v>2</v>
      </c>
      <c r="E120" s="1">
        <v>11217</v>
      </c>
      <c r="F120" s="11">
        <f t="shared" si="2"/>
        <v>10</v>
      </c>
    </row>
    <row r="121" customHeight="1" spans="1:6">
      <c r="A121" s="11">
        <v>10118</v>
      </c>
      <c r="B121" s="11">
        <f t="shared" si="3"/>
        <v>2</v>
      </c>
      <c r="C121" s="11">
        <v>1</v>
      </c>
      <c r="D121" s="11">
        <f t="shared" si="4"/>
        <v>2</v>
      </c>
      <c r="E121" s="1">
        <v>11218</v>
      </c>
      <c r="F121" s="11">
        <f t="shared" si="2"/>
        <v>10</v>
      </c>
    </row>
    <row r="122" customHeight="1" spans="1:6">
      <c r="A122" s="11">
        <v>10119</v>
      </c>
      <c r="B122" s="11">
        <f t="shared" si="3"/>
        <v>2</v>
      </c>
      <c r="C122" s="11">
        <v>1</v>
      </c>
      <c r="D122" s="11">
        <f t="shared" si="4"/>
        <v>2</v>
      </c>
      <c r="E122" s="1">
        <v>11219</v>
      </c>
      <c r="F122" s="11">
        <f t="shared" si="2"/>
        <v>10</v>
      </c>
    </row>
    <row r="123" customHeight="1" spans="1:6">
      <c r="A123" s="11">
        <v>10120</v>
      </c>
      <c r="B123" s="11">
        <f t="shared" si="3"/>
        <v>2</v>
      </c>
      <c r="C123" s="11">
        <v>1</v>
      </c>
      <c r="D123" s="11">
        <f t="shared" si="4"/>
        <v>2</v>
      </c>
      <c r="E123" s="1">
        <v>11220</v>
      </c>
      <c r="F123" s="11">
        <f t="shared" si="2"/>
        <v>10</v>
      </c>
    </row>
    <row r="124" customHeight="1" spans="1:6">
      <c r="A124" s="11">
        <v>10121</v>
      </c>
      <c r="B124" s="11">
        <f t="shared" si="3"/>
        <v>2</v>
      </c>
      <c r="C124" s="11">
        <v>1</v>
      </c>
      <c r="D124" s="11">
        <f t="shared" si="4"/>
        <v>2</v>
      </c>
      <c r="E124" s="1">
        <v>11221</v>
      </c>
      <c r="F124" s="11">
        <f t="shared" si="2"/>
        <v>0</v>
      </c>
    </row>
    <row r="125" customHeight="1" spans="1:6">
      <c r="A125" s="11">
        <v>10122</v>
      </c>
      <c r="B125" s="11">
        <f t="shared" si="3"/>
        <v>2</v>
      </c>
      <c r="C125" s="11">
        <v>1</v>
      </c>
      <c r="D125" s="11">
        <f t="shared" si="4"/>
        <v>2</v>
      </c>
      <c r="E125" s="1">
        <v>11222</v>
      </c>
      <c r="F125" s="11">
        <f t="shared" si="2"/>
        <v>0</v>
      </c>
    </row>
    <row r="126" customHeight="1" spans="1:6">
      <c r="A126" s="11">
        <v>10123</v>
      </c>
      <c r="B126" s="11">
        <f t="shared" si="3"/>
        <v>2</v>
      </c>
      <c r="C126" s="11">
        <v>1</v>
      </c>
      <c r="D126" s="11">
        <f t="shared" si="4"/>
        <v>2</v>
      </c>
      <c r="E126" s="1">
        <v>11223</v>
      </c>
      <c r="F126" s="11">
        <f t="shared" si="2"/>
        <v>0</v>
      </c>
    </row>
    <row r="127" customHeight="1" spans="1:6">
      <c r="A127" s="11">
        <v>10124</v>
      </c>
      <c r="B127" s="11">
        <f t="shared" si="3"/>
        <v>2</v>
      </c>
      <c r="C127" s="11">
        <v>1</v>
      </c>
      <c r="D127" s="11">
        <f t="shared" si="4"/>
        <v>2</v>
      </c>
      <c r="E127" s="1">
        <v>11224</v>
      </c>
      <c r="F127" s="11">
        <f t="shared" si="2"/>
        <v>0</v>
      </c>
    </row>
    <row r="128" customHeight="1" spans="1:6">
      <c r="A128" s="11">
        <v>10125</v>
      </c>
      <c r="B128" s="11">
        <f t="shared" si="3"/>
        <v>2</v>
      </c>
      <c r="C128" s="11">
        <v>1</v>
      </c>
      <c r="D128" s="11">
        <f t="shared" si="4"/>
        <v>2</v>
      </c>
      <c r="E128" s="1">
        <v>11225</v>
      </c>
      <c r="F128" s="11">
        <f t="shared" si="2"/>
        <v>0</v>
      </c>
    </row>
    <row r="129" customHeight="1" spans="1:6">
      <c r="A129" s="11">
        <v>10126</v>
      </c>
      <c r="B129" s="11">
        <f t="shared" si="3"/>
        <v>2</v>
      </c>
      <c r="C129" s="11">
        <v>1</v>
      </c>
      <c r="D129" s="11">
        <f t="shared" si="4"/>
        <v>3</v>
      </c>
      <c r="E129" s="1">
        <v>11301</v>
      </c>
      <c r="F129" s="11">
        <f t="shared" si="2"/>
        <v>10</v>
      </c>
    </row>
    <row r="130" customHeight="1" spans="1:6">
      <c r="A130" s="11">
        <v>10127</v>
      </c>
      <c r="B130" s="11">
        <f t="shared" si="3"/>
        <v>2</v>
      </c>
      <c r="C130" s="11">
        <v>1</v>
      </c>
      <c r="D130" s="11">
        <f t="shared" si="4"/>
        <v>3</v>
      </c>
      <c r="E130" s="1">
        <v>11302</v>
      </c>
      <c r="F130" s="11">
        <f t="shared" si="2"/>
        <v>10</v>
      </c>
    </row>
    <row r="131" customHeight="1" spans="1:6">
      <c r="A131" s="11">
        <v>10128</v>
      </c>
      <c r="B131" s="11">
        <f t="shared" si="3"/>
        <v>2</v>
      </c>
      <c r="C131" s="11">
        <v>1</v>
      </c>
      <c r="D131" s="11">
        <f t="shared" si="4"/>
        <v>3</v>
      </c>
      <c r="E131" s="1">
        <v>11303</v>
      </c>
      <c r="F131" s="11">
        <f t="shared" si="2"/>
        <v>10</v>
      </c>
    </row>
    <row r="132" customHeight="1" spans="1:6">
      <c r="A132" s="11">
        <v>10129</v>
      </c>
      <c r="B132" s="11">
        <f t="shared" si="3"/>
        <v>2</v>
      </c>
      <c r="C132" s="11">
        <v>1</v>
      </c>
      <c r="D132" s="11">
        <f t="shared" si="4"/>
        <v>3</v>
      </c>
      <c r="E132" s="1">
        <v>11304</v>
      </c>
      <c r="F132" s="11">
        <f t="shared" si="2"/>
        <v>10</v>
      </c>
    </row>
    <row r="133" customHeight="1" spans="1:6">
      <c r="A133" s="11">
        <v>10130</v>
      </c>
      <c r="B133" s="11">
        <f t="shared" si="3"/>
        <v>2</v>
      </c>
      <c r="C133" s="11">
        <v>1</v>
      </c>
      <c r="D133" s="11">
        <f t="shared" si="4"/>
        <v>3</v>
      </c>
      <c r="E133" s="1">
        <v>11305</v>
      </c>
      <c r="F133" s="11">
        <f t="shared" ref="F133:F196" si="5">VLOOKUP(RIGHT(E133,2)*1,$J$4:$Q$29,B133+1,0)</f>
        <v>10</v>
      </c>
    </row>
    <row r="134" customHeight="1" spans="1:6">
      <c r="A134" s="11">
        <v>10131</v>
      </c>
      <c r="B134" s="11">
        <f t="shared" si="3"/>
        <v>2</v>
      </c>
      <c r="C134" s="11">
        <v>1</v>
      </c>
      <c r="D134" s="11">
        <f t="shared" si="4"/>
        <v>3</v>
      </c>
      <c r="E134" s="1">
        <v>11306</v>
      </c>
      <c r="F134" s="11">
        <f t="shared" si="5"/>
        <v>10</v>
      </c>
    </row>
    <row r="135" customHeight="1" spans="1:6">
      <c r="A135" s="11">
        <v>10132</v>
      </c>
      <c r="B135" s="11">
        <f t="shared" si="3"/>
        <v>2</v>
      </c>
      <c r="C135" s="11">
        <v>1</v>
      </c>
      <c r="D135" s="11">
        <f t="shared" si="4"/>
        <v>3</v>
      </c>
      <c r="E135" s="1">
        <v>11307</v>
      </c>
      <c r="F135" s="11">
        <f t="shared" si="5"/>
        <v>10</v>
      </c>
    </row>
    <row r="136" customHeight="1" spans="1:6">
      <c r="A136" s="11">
        <v>10133</v>
      </c>
      <c r="B136" s="11">
        <f t="shared" si="3"/>
        <v>2</v>
      </c>
      <c r="C136" s="11">
        <v>1</v>
      </c>
      <c r="D136" s="11">
        <f t="shared" si="4"/>
        <v>3</v>
      </c>
      <c r="E136" s="1">
        <v>11308</v>
      </c>
      <c r="F136" s="11">
        <f t="shared" si="5"/>
        <v>10</v>
      </c>
    </row>
    <row r="137" customHeight="1" spans="1:6">
      <c r="A137" s="11">
        <v>10134</v>
      </c>
      <c r="B137" s="11">
        <f t="shared" si="3"/>
        <v>2</v>
      </c>
      <c r="C137" s="11">
        <v>1</v>
      </c>
      <c r="D137" s="11">
        <f t="shared" si="4"/>
        <v>3</v>
      </c>
      <c r="E137" s="1">
        <v>11309</v>
      </c>
      <c r="F137" s="11">
        <f t="shared" si="5"/>
        <v>10</v>
      </c>
    </row>
    <row r="138" customHeight="1" spans="1:6">
      <c r="A138" s="11">
        <v>10135</v>
      </c>
      <c r="B138" s="11">
        <f t="shared" si="3"/>
        <v>2</v>
      </c>
      <c r="C138" s="11">
        <v>1</v>
      </c>
      <c r="D138" s="11">
        <f t="shared" si="4"/>
        <v>3</v>
      </c>
      <c r="E138" s="1">
        <v>11310</v>
      </c>
      <c r="F138" s="11">
        <f t="shared" si="5"/>
        <v>10</v>
      </c>
    </row>
    <row r="139" customHeight="1" spans="1:6">
      <c r="A139" s="11">
        <v>10136</v>
      </c>
      <c r="B139" s="11">
        <f t="shared" si="3"/>
        <v>2</v>
      </c>
      <c r="C139" s="11">
        <v>1</v>
      </c>
      <c r="D139" s="11">
        <f t="shared" si="4"/>
        <v>3</v>
      </c>
      <c r="E139" s="1">
        <v>11311</v>
      </c>
      <c r="F139" s="11">
        <f t="shared" si="5"/>
        <v>10</v>
      </c>
    </row>
    <row r="140" customHeight="1" spans="1:6">
      <c r="A140" s="11">
        <v>10137</v>
      </c>
      <c r="B140" s="11">
        <f t="shared" si="3"/>
        <v>2</v>
      </c>
      <c r="C140" s="11">
        <v>1</v>
      </c>
      <c r="D140" s="11">
        <f t="shared" si="4"/>
        <v>3</v>
      </c>
      <c r="E140" s="1">
        <v>11312</v>
      </c>
      <c r="F140" s="11">
        <f t="shared" si="5"/>
        <v>10</v>
      </c>
    </row>
    <row r="141" customHeight="1" spans="1:6">
      <c r="A141" s="11">
        <v>10138</v>
      </c>
      <c r="B141" s="11">
        <f t="shared" si="3"/>
        <v>2</v>
      </c>
      <c r="C141" s="11">
        <v>1</v>
      </c>
      <c r="D141" s="11">
        <f t="shared" si="4"/>
        <v>3</v>
      </c>
      <c r="E141" s="1">
        <v>11313</v>
      </c>
      <c r="F141" s="11">
        <f t="shared" si="5"/>
        <v>10</v>
      </c>
    </row>
    <row r="142" customHeight="1" spans="1:6">
      <c r="A142" s="11">
        <v>10139</v>
      </c>
      <c r="B142" s="11">
        <f t="shared" si="3"/>
        <v>2</v>
      </c>
      <c r="C142" s="11">
        <v>1</v>
      </c>
      <c r="D142" s="11">
        <f t="shared" si="4"/>
        <v>3</v>
      </c>
      <c r="E142" s="1">
        <v>11314</v>
      </c>
      <c r="F142" s="11">
        <f t="shared" si="5"/>
        <v>10</v>
      </c>
    </row>
    <row r="143" customHeight="1" spans="1:6">
      <c r="A143" s="11">
        <v>10140</v>
      </c>
      <c r="B143" s="11">
        <f t="shared" si="3"/>
        <v>2</v>
      </c>
      <c r="C143" s="11">
        <v>1</v>
      </c>
      <c r="D143" s="11">
        <f t="shared" si="4"/>
        <v>3</v>
      </c>
      <c r="E143" s="1">
        <v>11315</v>
      </c>
      <c r="F143" s="11">
        <f t="shared" si="5"/>
        <v>10</v>
      </c>
    </row>
    <row r="144" customHeight="1" spans="1:6">
      <c r="A144" s="11">
        <v>10141</v>
      </c>
      <c r="B144" s="11">
        <f t="shared" ref="B144:B207" si="6">B69+1</f>
        <v>2</v>
      </c>
      <c r="C144" s="11">
        <v>1</v>
      </c>
      <c r="D144" s="11">
        <f t="shared" si="4"/>
        <v>3</v>
      </c>
      <c r="E144" s="1">
        <v>11316</v>
      </c>
      <c r="F144" s="11">
        <f t="shared" si="5"/>
        <v>10</v>
      </c>
    </row>
    <row r="145" customHeight="1" spans="1:6">
      <c r="A145" s="11">
        <v>10142</v>
      </c>
      <c r="B145" s="11">
        <f t="shared" si="6"/>
        <v>2</v>
      </c>
      <c r="C145" s="11">
        <v>1</v>
      </c>
      <c r="D145" s="11">
        <f t="shared" si="4"/>
        <v>3</v>
      </c>
      <c r="E145" s="1">
        <v>11317</v>
      </c>
      <c r="F145" s="11">
        <f t="shared" si="5"/>
        <v>10</v>
      </c>
    </row>
    <row r="146" customHeight="1" spans="1:6">
      <c r="A146" s="11">
        <v>10143</v>
      </c>
      <c r="B146" s="11">
        <f t="shared" si="6"/>
        <v>2</v>
      </c>
      <c r="C146" s="11">
        <v>1</v>
      </c>
      <c r="D146" s="11">
        <f t="shared" si="4"/>
        <v>3</v>
      </c>
      <c r="E146" s="1">
        <v>11318</v>
      </c>
      <c r="F146" s="11">
        <f t="shared" si="5"/>
        <v>10</v>
      </c>
    </row>
    <row r="147" customHeight="1" spans="1:6">
      <c r="A147" s="11">
        <v>10144</v>
      </c>
      <c r="B147" s="11">
        <f t="shared" si="6"/>
        <v>2</v>
      </c>
      <c r="C147" s="11">
        <v>1</v>
      </c>
      <c r="D147" s="11">
        <f t="shared" si="4"/>
        <v>3</v>
      </c>
      <c r="E147" s="1">
        <v>11319</v>
      </c>
      <c r="F147" s="11">
        <f t="shared" si="5"/>
        <v>10</v>
      </c>
    </row>
    <row r="148" customHeight="1" spans="1:6">
      <c r="A148" s="11">
        <v>10145</v>
      </c>
      <c r="B148" s="11">
        <f t="shared" si="6"/>
        <v>2</v>
      </c>
      <c r="C148" s="11">
        <v>1</v>
      </c>
      <c r="D148" s="11">
        <f t="shared" si="4"/>
        <v>3</v>
      </c>
      <c r="E148" s="1">
        <v>11320</v>
      </c>
      <c r="F148" s="11">
        <f t="shared" si="5"/>
        <v>10</v>
      </c>
    </row>
    <row r="149" customHeight="1" spans="1:6">
      <c r="A149" s="11">
        <v>10146</v>
      </c>
      <c r="B149" s="11">
        <f t="shared" si="6"/>
        <v>2</v>
      </c>
      <c r="C149" s="11">
        <v>1</v>
      </c>
      <c r="D149" s="11">
        <f t="shared" si="4"/>
        <v>3</v>
      </c>
      <c r="E149" s="1">
        <v>11321</v>
      </c>
      <c r="F149" s="11">
        <f t="shared" si="5"/>
        <v>0</v>
      </c>
    </row>
    <row r="150" customHeight="1" spans="1:6">
      <c r="A150" s="11">
        <v>10147</v>
      </c>
      <c r="B150" s="11">
        <f t="shared" si="6"/>
        <v>2</v>
      </c>
      <c r="C150" s="11">
        <v>1</v>
      </c>
      <c r="D150" s="11">
        <f t="shared" si="4"/>
        <v>3</v>
      </c>
      <c r="E150" s="1">
        <v>11322</v>
      </c>
      <c r="F150" s="11">
        <f t="shared" si="5"/>
        <v>0</v>
      </c>
    </row>
    <row r="151" customHeight="1" spans="1:6">
      <c r="A151" s="11">
        <v>10148</v>
      </c>
      <c r="B151" s="11">
        <f t="shared" si="6"/>
        <v>2</v>
      </c>
      <c r="C151" s="11">
        <v>1</v>
      </c>
      <c r="D151" s="11">
        <f t="shared" si="4"/>
        <v>3</v>
      </c>
      <c r="E151" s="1">
        <v>11323</v>
      </c>
      <c r="F151" s="11">
        <f t="shared" si="5"/>
        <v>0</v>
      </c>
    </row>
    <row r="152" customHeight="1" spans="1:6">
      <c r="A152" s="11">
        <v>10149</v>
      </c>
      <c r="B152" s="11">
        <f t="shared" si="6"/>
        <v>2</v>
      </c>
      <c r="C152" s="11">
        <v>1</v>
      </c>
      <c r="D152" s="11">
        <f t="shared" si="4"/>
        <v>3</v>
      </c>
      <c r="E152" s="1">
        <v>11324</v>
      </c>
      <c r="F152" s="11">
        <f t="shared" si="5"/>
        <v>0</v>
      </c>
    </row>
    <row r="153" customHeight="1" spans="1:6">
      <c r="A153" s="11">
        <v>10150</v>
      </c>
      <c r="B153" s="11">
        <f t="shared" si="6"/>
        <v>2</v>
      </c>
      <c r="C153" s="11">
        <v>1</v>
      </c>
      <c r="D153" s="11">
        <f t="shared" si="4"/>
        <v>3</v>
      </c>
      <c r="E153" s="1">
        <v>11325</v>
      </c>
      <c r="F153" s="11">
        <f t="shared" si="5"/>
        <v>0</v>
      </c>
    </row>
    <row r="154" customHeight="1" spans="1:6">
      <c r="A154" s="11">
        <v>10151</v>
      </c>
      <c r="B154" s="11">
        <f t="shared" si="6"/>
        <v>3</v>
      </c>
      <c r="C154" s="11">
        <v>1</v>
      </c>
      <c r="D154" s="11">
        <v>1</v>
      </c>
      <c r="E154" s="1">
        <v>11101</v>
      </c>
      <c r="F154" s="11">
        <f t="shared" si="5"/>
        <v>0</v>
      </c>
    </row>
    <row r="155" customHeight="1" spans="1:6">
      <c r="A155" s="11">
        <v>10152</v>
      </c>
      <c r="B155" s="11">
        <f t="shared" si="6"/>
        <v>3</v>
      </c>
      <c r="C155" s="11">
        <v>1</v>
      </c>
      <c r="D155" s="11">
        <v>1</v>
      </c>
      <c r="E155" s="1">
        <v>11102</v>
      </c>
      <c r="F155" s="11">
        <f t="shared" si="5"/>
        <v>0</v>
      </c>
    </row>
    <row r="156" customHeight="1" spans="1:6">
      <c r="A156" s="11">
        <v>10153</v>
      </c>
      <c r="B156" s="11">
        <f t="shared" si="6"/>
        <v>3</v>
      </c>
      <c r="C156" s="11">
        <v>1</v>
      </c>
      <c r="D156" s="11">
        <v>1</v>
      </c>
      <c r="E156" s="1">
        <v>11103</v>
      </c>
      <c r="F156" s="11">
        <f t="shared" si="5"/>
        <v>0</v>
      </c>
    </row>
    <row r="157" customHeight="1" spans="1:6">
      <c r="A157" s="11">
        <v>10154</v>
      </c>
      <c r="B157" s="11">
        <f t="shared" si="6"/>
        <v>3</v>
      </c>
      <c r="C157" s="11">
        <v>1</v>
      </c>
      <c r="D157" s="11">
        <v>1</v>
      </c>
      <c r="E157" s="1">
        <v>11104</v>
      </c>
      <c r="F157" s="11">
        <f t="shared" si="5"/>
        <v>0</v>
      </c>
    </row>
    <row r="158" customHeight="1" spans="1:6">
      <c r="A158" s="11">
        <v>10155</v>
      </c>
      <c r="B158" s="11">
        <f t="shared" si="6"/>
        <v>3</v>
      </c>
      <c r="C158" s="11">
        <v>1</v>
      </c>
      <c r="D158" s="11">
        <v>1</v>
      </c>
      <c r="E158" s="1">
        <v>11105</v>
      </c>
      <c r="F158" s="11">
        <f t="shared" si="5"/>
        <v>0</v>
      </c>
    </row>
    <row r="159" customHeight="1" spans="1:6">
      <c r="A159" s="11">
        <v>10156</v>
      </c>
      <c r="B159" s="11">
        <f t="shared" si="6"/>
        <v>3</v>
      </c>
      <c r="C159" s="11">
        <v>1</v>
      </c>
      <c r="D159" s="11">
        <v>1</v>
      </c>
      <c r="E159" s="1">
        <v>11106</v>
      </c>
      <c r="F159" s="11">
        <f t="shared" si="5"/>
        <v>0</v>
      </c>
    </row>
    <row r="160" customHeight="1" spans="1:6">
      <c r="A160" s="11">
        <v>10157</v>
      </c>
      <c r="B160" s="11">
        <f t="shared" si="6"/>
        <v>3</v>
      </c>
      <c r="C160" s="11">
        <v>1</v>
      </c>
      <c r="D160" s="11">
        <v>1</v>
      </c>
      <c r="E160" s="1">
        <v>11107</v>
      </c>
      <c r="F160" s="11">
        <f t="shared" si="5"/>
        <v>0</v>
      </c>
    </row>
    <row r="161" customHeight="1" spans="1:6">
      <c r="A161" s="11">
        <v>10158</v>
      </c>
      <c r="B161" s="11">
        <f t="shared" si="6"/>
        <v>3</v>
      </c>
      <c r="C161" s="11">
        <v>1</v>
      </c>
      <c r="D161" s="11">
        <v>1</v>
      </c>
      <c r="E161" s="1">
        <v>11108</v>
      </c>
      <c r="F161" s="11">
        <f t="shared" si="5"/>
        <v>0</v>
      </c>
    </row>
    <row r="162" customHeight="1" spans="1:6">
      <c r="A162" s="11">
        <v>10159</v>
      </c>
      <c r="B162" s="11">
        <f t="shared" si="6"/>
        <v>3</v>
      </c>
      <c r="C162" s="11">
        <v>1</v>
      </c>
      <c r="D162" s="11">
        <v>1</v>
      </c>
      <c r="E162" s="1">
        <v>11109</v>
      </c>
      <c r="F162" s="11">
        <f t="shared" si="5"/>
        <v>0</v>
      </c>
    </row>
    <row r="163" customHeight="1" spans="1:6">
      <c r="A163" s="11">
        <v>10160</v>
      </c>
      <c r="B163" s="11">
        <f t="shared" si="6"/>
        <v>3</v>
      </c>
      <c r="C163" s="11">
        <v>1</v>
      </c>
      <c r="D163" s="11">
        <v>1</v>
      </c>
      <c r="E163" s="1">
        <v>11110</v>
      </c>
      <c r="F163" s="11">
        <f t="shared" si="5"/>
        <v>0</v>
      </c>
    </row>
    <row r="164" customHeight="1" spans="1:6">
      <c r="A164" s="11">
        <v>10161</v>
      </c>
      <c r="B164" s="11">
        <f t="shared" si="6"/>
        <v>3</v>
      </c>
      <c r="C164" s="11">
        <v>1</v>
      </c>
      <c r="D164" s="11">
        <v>1</v>
      </c>
      <c r="E164" s="1">
        <v>11111</v>
      </c>
      <c r="F164" s="11">
        <f t="shared" si="5"/>
        <v>10</v>
      </c>
    </row>
    <row r="165" customHeight="1" spans="1:6">
      <c r="A165" s="11">
        <v>10162</v>
      </c>
      <c r="B165" s="11">
        <f t="shared" si="6"/>
        <v>3</v>
      </c>
      <c r="C165" s="11">
        <v>1</v>
      </c>
      <c r="D165" s="11">
        <v>1</v>
      </c>
      <c r="E165" s="1">
        <v>11112</v>
      </c>
      <c r="F165" s="11">
        <f t="shared" si="5"/>
        <v>10</v>
      </c>
    </row>
    <row r="166" customHeight="1" spans="1:6">
      <c r="A166" s="11">
        <v>10163</v>
      </c>
      <c r="B166" s="11">
        <f t="shared" si="6"/>
        <v>3</v>
      </c>
      <c r="C166" s="11">
        <v>1</v>
      </c>
      <c r="D166" s="11">
        <v>1</v>
      </c>
      <c r="E166" s="1">
        <v>11113</v>
      </c>
      <c r="F166" s="11">
        <f t="shared" si="5"/>
        <v>10</v>
      </c>
    </row>
    <row r="167" customHeight="1" spans="1:6">
      <c r="A167" s="11">
        <v>10164</v>
      </c>
      <c r="B167" s="11">
        <f t="shared" si="6"/>
        <v>3</v>
      </c>
      <c r="C167" s="11">
        <v>1</v>
      </c>
      <c r="D167" s="11">
        <v>1</v>
      </c>
      <c r="E167" s="1">
        <v>11114</v>
      </c>
      <c r="F167" s="11">
        <f t="shared" si="5"/>
        <v>10</v>
      </c>
    </row>
    <row r="168" customHeight="1" spans="1:6">
      <c r="A168" s="11">
        <v>10165</v>
      </c>
      <c r="B168" s="11">
        <f t="shared" si="6"/>
        <v>3</v>
      </c>
      <c r="C168" s="11">
        <v>1</v>
      </c>
      <c r="D168" s="11">
        <v>1</v>
      </c>
      <c r="E168" s="1">
        <v>11115</v>
      </c>
      <c r="F168" s="11">
        <f t="shared" si="5"/>
        <v>10</v>
      </c>
    </row>
    <row r="169" customHeight="1" spans="1:6">
      <c r="A169" s="11">
        <v>10166</v>
      </c>
      <c r="B169" s="11">
        <f t="shared" si="6"/>
        <v>3</v>
      </c>
      <c r="C169" s="11">
        <v>1</v>
      </c>
      <c r="D169" s="11">
        <v>1</v>
      </c>
      <c r="E169" s="1">
        <v>11116</v>
      </c>
      <c r="F169" s="11">
        <f t="shared" si="5"/>
        <v>10</v>
      </c>
    </row>
    <row r="170" customHeight="1" spans="1:6">
      <c r="A170" s="11">
        <v>10167</v>
      </c>
      <c r="B170" s="11">
        <f t="shared" si="6"/>
        <v>3</v>
      </c>
      <c r="C170" s="11">
        <v>1</v>
      </c>
      <c r="D170" s="11">
        <v>1</v>
      </c>
      <c r="E170" s="1">
        <v>11117</v>
      </c>
      <c r="F170" s="11">
        <f t="shared" si="5"/>
        <v>10</v>
      </c>
    </row>
    <row r="171" customHeight="1" spans="1:6">
      <c r="A171" s="11">
        <v>10168</v>
      </c>
      <c r="B171" s="11">
        <f t="shared" si="6"/>
        <v>3</v>
      </c>
      <c r="C171" s="11">
        <v>1</v>
      </c>
      <c r="D171" s="11">
        <v>1</v>
      </c>
      <c r="E171" s="1">
        <v>11118</v>
      </c>
      <c r="F171" s="11">
        <f t="shared" si="5"/>
        <v>10</v>
      </c>
    </row>
    <row r="172" customHeight="1" spans="1:6">
      <c r="A172" s="11">
        <v>10169</v>
      </c>
      <c r="B172" s="11">
        <f t="shared" si="6"/>
        <v>3</v>
      </c>
      <c r="C172" s="11">
        <v>1</v>
      </c>
      <c r="D172" s="11">
        <v>1</v>
      </c>
      <c r="E172" s="1">
        <v>11119</v>
      </c>
      <c r="F172" s="11">
        <f t="shared" si="5"/>
        <v>10</v>
      </c>
    </row>
    <row r="173" customHeight="1" spans="1:6">
      <c r="A173" s="11">
        <v>10170</v>
      </c>
      <c r="B173" s="11">
        <f t="shared" si="6"/>
        <v>3</v>
      </c>
      <c r="C173" s="11">
        <v>1</v>
      </c>
      <c r="D173" s="11">
        <v>1</v>
      </c>
      <c r="E173" s="1">
        <v>11120</v>
      </c>
      <c r="F173" s="11">
        <f t="shared" si="5"/>
        <v>10</v>
      </c>
    </row>
    <row r="174" customHeight="1" spans="1:6">
      <c r="A174" s="11">
        <v>10171</v>
      </c>
      <c r="B174" s="11">
        <f t="shared" si="6"/>
        <v>3</v>
      </c>
      <c r="C174" s="11">
        <v>1</v>
      </c>
      <c r="D174" s="11">
        <v>1</v>
      </c>
      <c r="E174" s="1">
        <v>11121</v>
      </c>
      <c r="F174" s="11">
        <f t="shared" si="5"/>
        <v>10</v>
      </c>
    </row>
    <row r="175" customHeight="1" spans="1:6">
      <c r="A175" s="11">
        <v>10172</v>
      </c>
      <c r="B175" s="11">
        <f t="shared" si="6"/>
        <v>3</v>
      </c>
      <c r="C175" s="11">
        <v>1</v>
      </c>
      <c r="D175" s="11">
        <v>1</v>
      </c>
      <c r="E175" s="1">
        <v>11122</v>
      </c>
      <c r="F175" s="11">
        <f t="shared" si="5"/>
        <v>10</v>
      </c>
    </row>
    <row r="176" customHeight="1" spans="1:6">
      <c r="A176" s="11">
        <v>10173</v>
      </c>
      <c r="B176" s="11">
        <f t="shared" si="6"/>
        <v>3</v>
      </c>
      <c r="C176" s="11">
        <v>1</v>
      </c>
      <c r="D176" s="11">
        <v>1</v>
      </c>
      <c r="E176" s="1">
        <v>11123</v>
      </c>
      <c r="F176" s="11">
        <f t="shared" si="5"/>
        <v>10</v>
      </c>
    </row>
    <row r="177" customHeight="1" spans="1:6">
      <c r="A177" s="11">
        <v>10174</v>
      </c>
      <c r="B177" s="11">
        <f t="shared" si="6"/>
        <v>3</v>
      </c>
      <c r="C177" s="11">
        <v>1</v>
      </c>
      <c r="D177" s="11">
        <v>1</v>
      </c>
      <c r="E177" s="1">
        <v>11124</v>
      </c>
      <c r="F177" s="11">
        <f t="shared" si="5"/>
        <v>10</v>
      </c>
    </row>
    <row r="178" customHeight="1" spans="1:6">
      <c r="A178" s="11">
        <v>10175</v>
      </c>
      <c r="B178" s="11">
        <f t="shared" si="6"/>
        <v>3</v>
      </c>
      <c r="C178" s="11">
        <v>1</v>
      </c>
      <c r="D178" s="11">
        <v>1</v>
      </c>
      <c r="E178" s="1">
        <v>11125</v>
      </c>
      <c r="F178" s="11">
        <f t="shared" si="5"/>
        <v>10</v>
      </c>
    </row>
    <row r="179" customHeight="1" spans="1:6">
      <c r="A179" s="11">
        <v>10176</v>
      </c>
      <c r="B179" s="11">
        <f t="shared" si="6"/>
        <v>3</v>
      </c>
      <c r="C179" s="11">
        <v>1</v>
      </c>
      <c r="D179" s="11">
        <f>D154+1</f>
        <v>2</v>
      </c>
      <c r="E179" s="1">
        <v>11201</v>
      </c>
      <c r="F179" s="11">
        <f t="shared" si="5"/>
        <v>0</v>
      </c>
    </row>
    <row r="180" customHeight="1" spans="1:6">
      <c r="A180" s="11">
        <v>10177</v>
      </c>
      <c r="B180" s="11">
        <f t="shared" si="6"/>
        <v>3</v>
      </c>
      <c r="C180" s="11">
        <v>1</v>
      </c>
      <c r="D180" s="11">
        <f t="shared" ref="D180:D228" si="7">D155+1</f>
        <v>2</v>
      </c>
      <c r="E180" s="1">
        <v>11202</v>
      </c>
      <c r="F180" s="11">
        <f t="shared" si="5"/>
        <v>0</v>
      </c>
    </row>
    <row r="181" customHeight="1" spans="1:6">
      <c r="A181" s="11">
        <v>10178</v>
      </c>
      <c r="B181" s="11">
        <f t="shared" si="6"/>
        <v>3</v>
      </c>
      <c r="C181" s="11">
        <v>1</v>
      </c>
      <c r="D181" s="11">
        <f t="shared" si="7"/>
        <v>2</v>
      </c>
      <c r="E181" s="1">
        <v>11203</v>
      </c>
      <c r="F181" s="11">
        <f t="shared" si="5"/>
        <v>0</v>
      </c>
    </row>
    <row r="182" customHeight="1" spans="1:6">
      <c r="A182" s="11">
        <v>10179</v>
      </c>
      <c r="B182" s="11">
        <f t="shared" si="6"/>
        <v>3</v>
      </c>
      <c r="C182" s="11">
        <v>1</v>
      </c>
      <c r="D182" s="11">
        <f t="shared" si="7"/>
        <v>2</v>
      </c>
      <c r="E182" s="1">
        <v>11204</v>
      </c>
      <c r="F182" s="11">
        <f t="shared" si="5"/>
        <v>0</v>
      </c>
    </row>
    <row r="183" customHeight="1" spans="1:6">
      <c r="A183" s="11">
        <v>10180</v>
      </c>
      <c r="B183" s="11">
        <f t="shared" si="6"/>
        <v>3</v>
      </c>
      <c r="C183" s="11">
        <v>1</v>
      </c>
      <c r="D183" s="11">
        <f t="shared" si="7"/>
        <v>2</v>
      </c>
      <c r="E183" s="1">
        <v>11205</v>
      </c>
      <c r="F183" s="11">
        <f t="shared" si="5"/>
        <v>0</v>
      </c>
    </row>
    <row r="184" customHeight="1" spans="1:6">
      <c r="A184" s="11">
        <v>10181</v>
      </c>
      <c r="B184" s="11">
        <f t="shared" si="6"/>
        <v>3</v>
      </c>
      <c r="C184" s="11">
        <v>1</v>
      </c>
      <c r="D184" s="11">
        <f t="shared" si="7"/>
        <v>2</v>
      </c>
      <c r="E184" s="1">
        <v>11206</v>
      </c>
      <c r="F184" s="11">
        <f t="shared" si="5"/>
        <v>0</v>
      </c>
    </row>
    <row r="185" customHeight="1" spans="1:6">
      <c r="A185" s="11">
        <v>10182</v>
      </c>
      <c r="B185" s="11">
        <f t="shared" si="6"/>
        <v>3</v>
      </c>
      <c r="C185" s="11">
        <v>1</v>
      </c>
      <c r="D185" s="11">
        <f t="shared" si="7"/>
        <v>2</v>
      </c>
      <c r="E185" s="1">
        <v>11207</v>
      </c>
      <c r="F185" s="11">
        <f t="shared" si="5"/>
        <v>0</v>
      </c>
    </row>
    <row r="186" customHeight="1" spans="1:6">
      <c r="A186" s="11">
        <v>10183</v>
      </c>
      <c r="B186" s="11">
        <f t="shared" si="6"/>
        <v>3</v>
      </c>
      <c r="C186" s="11">
        <v>1</v>
      </c>
      <c r="D186" s="11">
        <f t="shared" si="7"/>
        <v>2</v>
      </c>
      <c r="E186" s="1">
        <v>11208</v>
      </c>
      <c r="F186" s="11">
        <f t="shared" si="5"/>
        <v>0</v>
      </c>
    </row>
    <row r="187" customHeight="1" spans="1:6">
      <c r="A187" s="11">
        <v>10184</v>
      </c>
      <c r="B187" s="11">
        <f t="shared" si="6"/>
        <v>3</v>
      </c>
      <c r="C187" s="11">
        <v>1</v>
      </c>
      <c r="D187" s="11">
        <f t="shared" si="7"/>
        <v>2</v>
      </c>
      <c r="E187" s="1">
        <v>11209</v>
      </c>
      <c r="F187" s="11">
        <f t="shared" si="5"/>
        <v>0</v>
      </c>
    </row>
    <row r="188" customHeight="1" spans="1:6">
      <c r="A188" s="11">
        <v>10185</v>
      </c>
      <c r="B188" s="11">
        <f t="shared" si="6"/>
        <v>3</v>
      </c>
      <c r="C188" s="11">
        <v>1</v>
      </c>
      <c r="D188" s="11">
        <f t="shared" si="7"/>
        <v>2</v>
      </c>
      <c r="E188" s="1">
        <v>11210</v>
      </c>
      <c r="F188" s="11">
        <f t="shared" si="5"/>
        <v>0</v>
      </c>
    </row>
    <row r="189" customHeight="1" spans="1:6">
      <c r="A189" s="11">
        <v>10186</v>
      </c>
      <c r="B189" s="11">
        <f t="shared" si="6"/>
        <v>3</v>
      </c>
      <c r="C189" s="11">
        <v>1</v>
      </c>
      <c r="D189" s="11">
        <f t="shared" si="7"/>
        <v>2</v>
      </c>
      <c r="E189" s="1">
        <v>11211</v>
      </c>
      <c r="F189" s="11">
        <f t="shared" si="5"/>
        <v>10</v>
      </c>
    </row>
    <row r="190" customHeight="1" spans="1:6">
      <c r="A190" s="11">
        <v>10187</v>
      </c>
      <c r="B190" s="11">
        <f t="shared" si="6"/>
        <v>3</v>
      </c>
      <c r="C190" s="11">
        <v>1</v>
      </c>
      <c r="D190" s="11">
        <f t="shared" si="7"/>
        <v>2</v>
      </c>
      <c r="E190" s="1">
        <v>11212</v>
      </c>
      <c r="F190" s="11">
        <f t="shared" si="5"/>
        <v>10</v>
      </c>
    </row>
    <row r="191" customHeight="1" spans="1:6">
      <c r="A191" s="11">
        <v>10188</v>
      </c>
      <c r="B191" s="11">
        <f t="shared" si="6"/>
        <v>3</v>
      </c>
      <c r="C191" s="11">
        <v>1</v>
      </c>
      <c r="D191" s="11">
        <f t="shared" si="7"/>
        <v>2</v>
      </c>
      <c r="E191" s="1">
        <v>11213</v>
      </c>
      <c r="F191" s="11">
        <f t="shared" si="5"/>
        <v>10</v>
      </c>
    </row>
    <row r="192" customHeight="1" spans="1:6">
      <c r="A192" s="11">
        <v>10189</v>
      </c>
      <c r="B192" s="11">
        <f t="shared" si="6"/>
        <v>3</v>
      </c>
      <c r="C192" s="11">
        <v>1</v>
      </c>
      <c r="D192" s="11">
        <f t="shared" si="7"/>
        <v>2</v>
      </c>
      <c r="E192" s="1">
        <v>11214</v>
      </c>
      <c r="F192" s="11">
        <f t="shared" si="5"/>
        <v>10</v>
      </c>
    </row>
    <row r="193" customHeight="1" spans="1:6">
      <c r="A193" s="11">
        <v>10190</v>
      </c>
      <c r="B193" s="11">
        <f t="shared" si="6"/>
        <v>3</v>
      </c>
      <c r="C193" s="11">
        <v>1</v>
      </c>
      <c r="D193" s="11">
        <f t="shared" si="7"/>
        <v>2</v>
      </c>
      <c r="E193" s="1">
        <v>11215</v>
      </c>
      <c r="F193" s="11">
        <f t="shared" si="5"/>
        <v>10</v>
      </c>
    </row>
    <row r="194" customHeight="1" spans="1:6">
      <c r="A194" s="11">
        <v>10191</v>
      </c>
      <c r="B194" s="11">
        <f t="shared" si="6"/>
        <v>3</v>
      </c>
      <c r="C194" s="11">
        <v>1</v>
      </c>
      <c r="D194" s="11">
        <f t="shared" si="7"/>
        <v>2</v>
      </c>
      <c r="E194" s="1">
        <v>11216</v>
      </c>
      <c r="F194" s="11">
        <f t="shared" si="5"/>
        <v>10</v>
      </c>
    </row>
    <row r="195" customHeight="1" spans="1:6">
      <c r="A195" s="11">
        <v>10192</v>
      </c>
      <c r="B195" s="11">
        <f t="shared" si="6"/>
        <v>3</v>
      </c>
      <c r="C195" s="11">
        <v>1</v>
      </c>
      <c r="D195" s="11">
        <f t="shared" si="7"/>
        <v>2</v>
      </c>
      <c r="E195" s="1">
        <v>11217</v>
      </c>
      <c r="F195" s="11">
        <f t="shared" si="5"/>
        <v>10</v>
      </c>
    </row>
    <row r="196" customHeight="1" spans="1:6">
      <c r="A196" s="11">
        <v>10193</v>
      </c>
      <c r="B196" s="11">
        <f t="shared" si="6"/>
        <v>3</v>
      </c>
      <c r="C196" s="11">
        <v>1</v>
      </c>
      <c r="D196" s="11">
        <f t="shared" si="7"/>
        <v>2</v>
      </c>
      <c r="E196" s="1">
        <v>11218</v>
      </c>
      <c r="F196" s="11">
        <f t="shared" si="5"/>
        <v>10</v>
      </c>
    </row>
    <row r="197" customHeight="1" spans="1:6">
      <c r="A197" s="11">
        <v>10194</v>
      </c>
      <c r="B197" s="11">
        <f t="shared" si="6"/>
        <v>3</v>
      </c>
      <c r="C197" s="11">
        <v>1</v>
      </c>
      <c r="D197" s="11">
        <f t="shared" si="7"/>
        <v>2</v>
      </c>
      <c r="E197" s="1">
        <v>11219</v>
      </c>
      <c r="F197" s="11">
        <f t="shared" ref="F197:F260" si="8">VLOOKUP(RIGHT(E197,2)*1,$J$4:$Q$29,B197+1,0)</f>
        <v>10</v>
      </c>
    </row>
    <row r="198" customHeight="1" spans="1:6">
      <c r="A198" s="11">
        <v>10195</v>
      </c>
      <c r="B198" s="11">
        <f t="shared" si="6"/>
        <v>3</v>
      </c>
      <c r="C198" s="11">
        <v>1</v>
      </c>
      <c r="D198" s="11">
        <f t="shared" si="7"/>
        <v>2</v>
      </c>
      <c r="E198" s="1">
        <v>11220</v>
      </c>
      <c r="F198" s="11">
        <f t="shared" si="8"/>
        <v>10</v>
      </c>
    </row>
    <row r="199" customHeight="1" spans="1:6">
      <c r="A199" s="11">
        <v>10196</v>
      </c>
      <c r="B199" s="11">
        <f t="shared" si="6"/>
        <v>3</v>
      </c>
      <c r="C199" s="11">
        <v>1</v>
      </c>
      <c r="D199" s="11">
        <f t="shared" si="7"/>
        <v>2</v>
      </c>
      <c r="E199" s="1">
        <v>11221</v>
      </c>
      <c r="F199" s="11">
        <f t="shared" si="8"/>
        <v>10</v>
      </c>
    </row>
    <row r="200" customHeight="1" spans="1:6">
      <c r="A200" s="11">
        <v>10197</v>
      </c>
      <c r="B200" s="11">
        <f t="shared" si="6"/>
        <v>3</v>
      </c>
      <c r="C200" s="11">
        <v>1</v>
      </c>
      <c r="D200" s="11">
        <f t="shared" si="7"/>
        <v>2</v>
      </c>
      <c r="E200" s="1">
        <v>11222</v>
      </c>
      <c r="F200" s="11">
        <f t="shared" si="8"/>
        <v>10</v>
      </c>
    </row>
    <row r="201" customHeight="1" spans="1:6">
      <c r="A201" s="11">
        <v>10198</v>
      </c>
      <c r="B201" s="11">
        <f t="shared" si="6"/>
        <v>3</v>
      </c>
      <c r="C201" s="11">
        <v>1</v>
      </c>
      <c r="D201" s="11">
        <f t="shared" si="7"/>
        <v>2</v>
      </c>
      <c r="E201" s="1">
        <v>11223</v>
      </c>
      <c r="F201" s="11">
        <f t="shared" si="8"/>
        <v>10</v>
      </c>
    </row>
    <row r="202" customHeight="1" spans="1:6">
      <c r="A202" s="11">
        <v>10199</v>
      </c>
      <c r="B202" s="11">
        <f t="shared" si="6"/>
        <v>3</v>
      </c>
      <c r="C202" s="11">
        <v>1</v>
      </c>
      <c r="D202" s="11">
        <f t="shared" si="7"/>
        <v>2</v>
      </c>
      <c r="E202" s="1">
        <v>11224</v>
      </c>
      <c r="F202" s="11">
        <f t="shared" si="8"/>
        <v>10</v>
      </c>
    </row>
    <row r="203" customHeight="1" spans="1:6">
      <c r="A203" s="11">
        <v>10200</v>
      </c>
      <c r="B203" s="11">
        <f t="shared" si="6"/>
        <v>3</v>
      </c>
      <c r="C203" s="11">
        <v>1</v>
      </c>
      <c r="D203" s="11">
        <f t="shared" si="7"/>
        <v>2</v>
      </c>
      <c r="E203" s="1">
        <v>11225</v>
      </c>
      <c r="F203" s="11">
        <f t="shared" si="8"/>
        <v>10</v>
      </c>
    </row>
    <row r="204" customHeight="1" spans="1:6">
      <c r="A204" s="11">
        <v>10201</v>
      </c>
      <c r="B204" s="11">
        <f t="shared" si="6"/>
        <v>3</v>
      </c>
      <c r="C204" s="11">
        <v>1</v>
      </c>
      <c r="D204" s="11">
        <f t="shared" si="7"/>
        <v>3</v>
      </c>
      <c r="E204" s="1">
        <v>11301</v>
      </c>
      <c r="F204" s="11">
        <f t="shared" si="8"/>
        <v>0</v>
      </c>
    </row>
    <row r="205" customHeight="1" spans="1:6">
      <c r="A205" s="11">
        <v>10202</v>
      </c>
      <c r="B205" s="11">
        <f t="shared" si="6"/>
        <v>3</v>
      </c>
      <c r="C205" s="11">
        <v>1</v>
      </c>
      <c r="D205" s="11">
        <f t="shared" si="7"/>
        <v>3</v>
      </c>
      <c r="E205" s="1">
        <v>11302</v>
      </c>
      <c r="F205" s="11">
        <f t="shared" si="8"/>
        <v>0</v>
      </c>
    </row>
    <row r="206" customHeight="1" spans="1:6">
      <c r="A206" s="11">
        <v>10203</v>
      </c>
      <c r="B206" s="11">
        <f t="shared" si="6"/>
        <v>3</v>
      </c>
      <c r="C206" s="11">
        <v>1</v>
      </c>
      <c r="D206" s="11">
        <f t="shared" si="7"/>
        <v>3</v>
      </c>
      <c r="E206" s="1">
        <v>11303</v>
      </c>
      <c r="F206" s="11">
        <f t="shared" si="8"/>
        <v>0</v>
      </c>
    </row>
    <row r="207" customHeight="1" spans="1:6">
      <c r="A207" s="11">
        <v>10204</v>
      </c>
      <c r="B207" s="11">
        <f t="shared" si="6"/>
        <v>3</v>
      </c>
      <c r="C207" s="11">
        <v>1</v>
      </c>
      <c r="D207" s="11">
        <f t="shared" si="7"/>
        <v>3</v>
      </c>
      <c r="E207" s="1">
        <v>11304</v>
      </c>
      <c r="F207" s="11">
        <f t="shared" si="8"/>
        <v>0</v>
      </c>
    </row>
    <row r="208" customHeight="1" spans="1:6">
      <c r="A208" s="11">
        <v>10205</v>
      </c>
      <c r="B208" s="11">
        <f t="shared" ref="B208:B271" si="9">B133+1</f>
        <v>3</v>
      </c>
      <c r="C208" s="11">
        <v>1</v>
      </c>
      <c r="D208" s="11">
        <f t="shared" si="7"/>
        <v>3</v>
      </c>
      <c r="E208" s="1">
        <v>11305</v>
      </c>
      <c r="F208" s="11">
        <f t="shared" si="8"/>
        <v>0</v>
      </c>
    </row>
    <row r="209" customHeight="1" spans="1:6">
      <c r="A209" s="11">
        <v>10206</v>
      </c>
      <c r="B209" s="11">
        <f t="shared" si="9"/>
        <v>3</v>
      </c>
      <c r="C209" s="11">
        <v>1</v>
      </c>
      <c r="D209" s="11">
        <f t="shared" si="7"/>
        <v>3</v>
      </c>
      <c r="E209" s="1">
        <v>11306</v>
      </c>
      <c r="F209" s="11">
        <f t="shared" si="8"/>
        <v>0</v>
      </c>
    </row>
    <row r="210" customHeight="1" spans="1:6">
      <c r="A210" s="11">
        <v>10207</v>
      </c>
      <c r="B210" s="11">
        <f t="shared" si="9"/>
        <v>3</v>
      </c>
      <c r="C210" s="11">
        <v>1</v>
      </c>
      <c r="D210" s="11">
        <f t="shared" si="7"/>
        <v>3</v>
      </c>
      <c r="E210" s="1">
        <v>11307</v>
      </c>
      <c r="F210" s="11">
        <f t="shared" si="8"/>
        <v>0</v>
      </c>
    </row>
    <row r="211" customHeight="1" spans="1:6">
      <c r="A211" s="11">
        <v>10208</v>
      </c>
      <c r="B211" s="11">
        <f t="shared" si="9"/>
        <v>3</v>
      </c>
      <c r="C211" s="11">
        <v>1</v>
      </c>
      <c r="D211" s="11">
        <f t="shared" si="7"/>
        <v>3</v>
      </c>
      <c r="E211" s="1">
        <v>11308</v>
      </c>
      <c r="F211" s="11">
        <f t="shared" si="8"/>
        <v>0</v>
      </c>
    </row>
    <row r="212" customHeight="1" spans="1:6">
      <c r="A212" s="11">
        <v>10209</v>
      </c>
      <c r="B212" s="11">
        <f t="shared" si="9"/>
        <v>3</v>
      </c>
      <c r="C212" s="11">
        <v>1</v>
      </c>
      <c r="D212" s="11">
        <f t="shared" si="7"/>
        <v>3</v>
      </c>
      <c r="E212" s="1">
        <v>11309</v>
      </c>
      <c r="F212" s="11">
        <f t="shared" si="8"/>
        <v>0</v>
      </c>
    </row>
    <row r="213" customHeight="1" spans="1:6">
      <c r="A213" s="11">
        <v>10210</v>
      </c>
      <c r="B213" s="11">
        <f t="shared" si="9"/>
        <v>3</v>
      </c>
      <c r="C213" s="11">
        <v>1</v>
      </c>
      <c r="D213" s="11">
        <f t="shared" si="7"/>
        <v>3</v>
      </c>
      <c r="E213" s="1">
        <v>11310</v>
      </c>
      <c r="F213" s="11">
        <f t="shared" si="8"/>
        <v>0</v>
      </c>
    </row>
    <row r="214" customHeight="1" spans="1:6">
      <c r="A214" s="11">
        <v>10211</v>
      </c>
      <c r="B214" s="11">
        <f t="shared" si="9"/>
        <v>3</v>
      </c>
      <c r="C214" s="11">
        <v>1</v>
      </c>
      <c r="D214" s="11">
        <f t="shared" si="7"/>
        <v>3</v>
      </c>
      <c r="E214" s="1">
        <v>11311</v>
      </c>
      <c r="F214" s="11">
        <f t="shared" si="8"/>
        <v>10</v>
      </c>
    </row>
    <row r="215" customHeight="1" spans="1:6">
      <c r="A215" s="11">
        <v>10212</v>
      </c>
      <c r="B215" s="11">
        <f t="shared" si="9"/>
        <v>3</v>
      </c>
      <c r="C215" s="11">
        <v>1</v>
      </c>
      <c r="D215" s="11">
        <f t="shared" si="7"/>
        <v>3</v>
      </c>
      <c r="E215" s="1">
        <v>11312</v>
      </c>
      <c r="F215" s="11">
        <f t="shared" si="8"/>
        <v>10</v>
      </c>
    </row>
    <row r="216" customHeight="1" spans="1:6">
      <c r="A216" s="11">
        <v>10213</v>
      </c>
      <c r="B216" s="11">
        <f t="shared" si="9"/>
        <v>3</v>
      </c>
      <c r="C216" s="11">
        <v>1</v>
      </c>
      <c r="D216" s="11">
        <f t="shared" si="7"/>
        <v>3</v>
      </c>
      <c r="E216" s="1">
        <v>11313</v>
      </c>
      <c r="F216" s="11">
        <f t="shared" si="8"/>
        <v>10</v>
      </c>
    </row>
    <row r="217" customHeight="1" spans="1:6">
      <c r="A217" s="11">
        <v>10214</v>
      </c>
      <c r="B217" s="11">
        <f t="shared" si="9"/>
        <v>3</v>
      </c>
      <c r="C217" s="11">
        <v>1</v>
      </c>
      <c r="D217" s="11">
        <f t="shared" si="7"/>
        <v>3</v>
      </c>
      <c r="E217" s="1">
        <v>11314</v>
      </c>
      <c r="F217" s="11">
        <f t="shared" si="8"/>
        <v>10</v>
      </c>
    </row>
    <row r="218" customHeight="1" spans="1:6">
      <c r="A218" s="11">
        <v>10215</v>
      </c>
      <c r="B218" s="11">
        <f t="shared" si="9"/>
        <v>3</v>
      </c>
      <c r="C218" s="11">
        <v>1</v>
      </c>
      <c r="D218" s="11">
        <f t="shared" si="7"/>
        <v>3</v>
      </c>
      <c r="E218" s="1">
        <v>11315</v>
      </c>
      <c r="F218" s="11">
        <f t="shared" si="8"/>
        <v>10</v>
      </c>
    </row>
    <row r="219" customHeight="1" spans="1:6">
      <c r="A219" s="11">
        <v>10216</v>
      </c>
      <c r="B219" s="11">
        <f t="shared" si="9"/>
        <v>3</v>
      </c>
      <c r="C219" s="11">
        <v>1</v>
      </c>
      <c r="D219" s="11">
        <f t="shared" si="7"/>
        <v>3</v>
      </c>
      <c r="E219" s="1">
        <v>11316</v>
      </c>
      <c r="F219" s="11">
        <f t="shared" si="8"/>
        <v>10</v>
      </c>
    </row>
    <row r="220" customHeight="1" spans="1:6">
      <c r="A220" s="11">
        <v>10217</v>
      </c>
      <c r="B220" s="11">
        <f t="shared" si="9"/>
        <v>3</v>
      </c>
      <c r="C220" s="11">
        <v>1</v>
      </c>
      <c r="D220" s="11">
        <f t="shared" si="7"/>
        <v>3</v>
      </c>
      <c r="E220" s="1">
        <v>11317</v>
      </c>
      <c r="F220" s="11">
        <f t="shared" si="8"/>
        <v>10</v>
      </c>
    </row>
    <row r="221" customHeight="1" spans="1:6">
      <c r="A221" s="11">
        <v>10218</v>
      </c>
      <c r="B221" s="11">
        <f t="shared" si="9"/>
        <v>3</v>
      </c>
      <c r="C221" s="11">
        <v>1</v>
      </c>
      <c r="D221" s="11">
        <f t="shared" si="7"/>
        <v>3</v>
      </c>
      <c r="E221" s="1">
        <v>11318</v>
      </c>
      <c r="F221" s="11">
        <f t="shared" si="8"/>
        <v>10</v>
      </c>
    </row>
    <row r="222" customHeight="1" spans="1:6">
      <c r="A222" s="11">
        <v>10219</v>
      </c>
      <c r="B222" s="11">
        <f t="shared" si="9"/>
        <v>3</v>
      </c>
      <c r="C222" s="11">
        <v>1</v>
      </c>
      <c r="D222" s="11">
        <f t="shared" si="7"/>
        <v>3</v>
      </c>
      <c r="E222" s="1">
        <v>11319</v>
      </c>
      <c r="F222" s="11">
        <f t="shared" si="8"/>
        <v>10</v>
      </c>
    </row>
    <row r="223" customHeight="1" spans="1:6">
      <c r="A223" s="11">
        <v>10220</v>
      </c>
      <c r="B223" s="11">
        <f t="shared" si="9"/>
        <v>3</v>
      </c>
      <c r="C223" s="11">
        <v>1</v>
      </c>
      <c r="D223" s="11">
        <f t="shared" si="7"/>
        <v>3</v>
      </c>
      <c r="E223" s="1">
        <v>11320</v>
      </c>
      <c r="F223" s="11">
        <f t="shared" si="8"/>
        <v>10</v>
      </c>
    </row>
    <row r="224" customHeight="1" spans="1:6">
      <c r="A224" s="11">
        <v>10221</v>
      </c>
      <c r="B224" s="11">
        <f t="shared" si="9"/>
        <v>3</v>
      </c>
      <c r="C224" s="11">
        <v>1</v>
      </c>
      <c r="D224" s="11">
        <f t="shared" si="7"/>
        <v>3</v>
      </c>
      <c r="E224" s="1">
        <v>11321</v>
      </c>
      <c r="F224" s="11">
        <f t="shared" si="8"/>
        <v>10</v>
      </c>
    </row>
    <row r="225" customHeight="1" spans="1:6">
      <c r="A225" s="11">
        <v>10222</v>
      </c>
      <c r="B225" s="11">
        <f t="shared" si="9"/>
        <v>3</v>
      </c>
      <c r="C225" s="11">
        <v>1</v>
      </c>
      <c r="D225" s="11">
        <f t="shared" si="7"/>
        <v>3</v>
      </c>
      <c r="E225" s="1">
        <v>11322</v>
      </c>
      <c r="F225" s="11">
        <f t="shared" si="8"/>
        <v>10</v>
      </c>
    </row>
    <row r="226" customHeight="1" spans="1:6">
      <c r="A226" s="11">
        <v>10223</v>
      </c>
      <c r="B226" s="11">
        <f t="shared" si="9"/>
        <v>3</v>
      </c>
      <c r="C226" s="11">
        <v>1</v>
      </c>
      <c r="D226" s="11">
        <f t="shared" si="7"/>
        <v>3</v>
      </c>
      <c r="E226" s="1">
        <v>11323</v>
      </c>
      <c r="F226" s="11">
        <f t="shared" si="8"/>
        <v>10</v>
      </c>
    </row>
    <row r="227" customHeight="1" spans="1:6">
      <c r="A227" s="11">
        <v>10224</v>
      </c>
      <c r="B227" s="11">
        <f t="shared" si="9"/>
        <v>3</v>
      </c>
      <c r="C227" s="11">
        <v>1</v>
      </c>
      <c r="D227" s="11">
        <f t="shared" si="7"/>
        <v>3</v>
      </c>
      <c r="E227" s="1">
        <v>11324</v>
      </c>
      <c r="F227" s="11">
        <f t="shared" si="8"/>
        <v>10</v>
      </c>
    </row>
    <row r="228" customHeight="1" spans="1:6">
      <c r="A228" s="11">
        <v>10225</v>
      </c>
      <c r="B228" s="11">
        <f t="shared" si="9"/>
        <v>3</v>
      </c>
      <c r="C228" s="11">
        <v>1</v>
      </c>
      <c r="D228" s="11">
        <f t="shared" si="7"/>
        <v>3</v>
      </c>
      <c r="E228" s="1">
        <v>11325</v>
      </c>
      <c r="F228" s="11">
        <f t="shared" si="8"/>
        <v>10</v>
      </c>
    </row>
    <row r="229" customHeight="1" spans="1:6">
      <c r="A229" s="11">
        <v>10226</v>
      </c>
      <c r="B229" s="11">
        <f t="shared" si="9"/>
        <v>4</v>
      </c>
      <c r="C229" s="11">
        <v>1</v>
      </c>
      <c r="D229" s="11">
        <v>1</v>
      </c>
      <c r="E229" s="1">
        <v>11101</v>
      </c>
      <c r="F229" s="11">
        <f t="shared" si="8"/>
        <v>0</v>
      </c>
    </row>
    <row r="230" customHeight="1" spans="1:6">
      <c r="A230" s="11">
        <v>10227</v>
      </c>
      <c r="B230" s="11">
        <f t="shared" si="9"/>
        <v>4</v>
      </c>
      <c r="C230" s="11">
        <v>1</v>
      </c>
      <c r="D230" s="11">
        <v>1</v>
      </c>
      <c r="E230" s="1">
        <v>11102</v>
      </c>
      <c r="F230" s="11">
        <f t="shared" si="8"/>
        <v>0</v>
      </c>
    </row>
    <row r="231" customHeight="1" spans="1:6">
      <c r="A231" s="11">
        <v>10228</v>
      </c>
      <c r="B231" s="11">
        <f t="shared" si="9"/>
        <v>4</v>
      </c>
      <c r="C231" s="11">
        <v>1</v>
      </c>
      <c r="D231" s="11">
        <v>1</v>
      </c>
      <c r="E231" s="1">
        <v>11103</v>
      </c>
      <c r="F231" s="11">
        <f t="shared" si="8"/>
        <v>0</v>
      </c>
    </row>
    <row r="232" customHeight="1" spans="1:6">
      <c r="A232" s="11">
        <v>10229</v>
      </c>
      <c r="B232" s="11">
        <f t="shared" si="9"/>
        <v>4</v>
      </c>
      <c r="C232" s="11">
        <v>1</v>
      </c>
      <c r="D232" s="11">
        <v>1</v>
      </c>
      <c r="E232" s="1">
        <v>11104</v>
      </c>
      <c r="F232" s="11">
        <f t="shared" si="8"/>
        <v>0</v>
      </c>
    </row>
    <row r="233" customHeight="1" spans="1:6">
      <c r="A233" s="11">
        <v>10230</v>
      </c>
      <c r="B233" s="11">
        <f t="shared" si="9"/>
        <v>4</v>
      </c>
      <c r="C233" s="11">
        <v>1</v>
      </c>
      <c r="D233" s="11">
        <v>1</v>
      </c>
      <c r="E233" s="1">
        <v>11105</v>
      </c>
      <c r="F233" s="11">
        <f t="shared" si="8"/>
        <v>0</v>
      </c>
    </row>
    <row r="234" customHeight="1" spans="1:6">
      <c r="A234" s="11">
        <v>10231</v>
      </c>
      <c r="B234" s="11">
        <f t="shared" si="9"/>
        <v>4</v>
      </c>
      <c r="C234" s="11">
        <v>1</v>
      </c>
      <c r="D234" s="11">
        <v>1</v>
      </c>
      <c r="E234" s="1">
        <v>11106</v>
      </c>
      <c r="F234" s="11">
        <f t="shared" si="8"/>
        <v>0</v>
      </c>
    </row>
    <row r="235" customHeight="1" spans="1:6">
      <c r="A235" s="11">
        <v>10232</v>
      </c>
      <c r="B235" s="11">
        <f t="shared" si="9"/>
        <v>4</v>
      </c>
      <c r="C235" s="11">
        <v>1</v>
      </c>
      <c r="D235" s="11">
        <v>1</v>
      </c>
      <c r="E235" s="1">
        <v>11107</v>
      </c>
      <c r="F235" s="11">
        <f t="shared" si="8"/>
        <v>0</v>
      </c>
    </row>
    <row r="236" customHeight="1" spans="1:6">
      <c r="A236" s="11">
        <v>10233</v>
      </c>
      <c r="B236" s="11">
        <f t="shared" si="9"/>
        <v>4</v>
      </c>
      <c r="C236" s="11">
        <v>1</v>
      </c>
      <c r="D236" s="11">
        <v>1</v>
      </c>
      <c r="E236" s="1">
        <v>11108</v>
      </c>
      <c r="F236" s="11">
        <f t="shared" si="8"/>
        <v>0</v>
      </c>
    </row>
    <row r="237" customHeight="1" spans="1:6">
      <c r="A237" s="11">
        <v>10234</v>
      </c>
      <c r="B237" s="11">
        <f t="shared" si="9"/>
        <v>4</v>
      </c>
      <c r="C237" s="11">
        <v>1</v>
      </c>
      <c r="D237" s="11">
        <v>1</v>
      </c>
      <c r="E237" s="1">
        <v>11109</v>
      </c>
      <c r="F237" s="11">
        <f t="shared" si="8"/>
        <v>0</v>
      </c>
    </row>
    <row r="238" customHeight="1" spans="1:6">
      <c r="A238" s="11">
        <v>10235</v>
      </c>
      <c r="B238" s="11">
        <f t="shared" si="9"/>
        <v>4</v>
      </c>
      <c r="C238" s="11">
        <v>1</v>
      </c>
      <c r="D238" s="11">
        <v>1</v>
      </c>
      <c r="E238" s="1">
        <v>11110</v>
      </c>
      <c r="F238" s="11">
        <f t="shared" si="8"/>
        <v>0</v>
      </c>
    </row>
    <row r="239" customHeight="1" spans="1:6">
      <c r="A239" s="11">
        <v>10236</v>
      </c>
      <c r="B239" s="11">
        <f t="shared" si="9"/>
        <v>4</v>
      </c>
      <c r="C239" s="11">
        <v>1</v>
      </c>
      <c r="D239" s="11">
        <v>1</v>
      </c>
      <c r="E239" s="1">
        <v>11111</v>
      </c>
      <c r="F239" s="11">
        <f t="shared" si="8"/>
        <v>0</v>
      </c>
    </row>
    <row r="240" customHeight="1" spans="1:6">
      <c r="A240" s="11">
        <v>10237</v>
      </c>
      <c r="B240" s="11">
        <f t="shared" si="9"/>
        <v>4</v>
      </c>
      <c r="C240" s="11">
        <v>1</v>
      </c>
      <c r="D240" s="11">
        <v>1</v>
      </c>
      <c r="E240" s="1">
        <v>11112</v>
      </c>
      <c r="F240" s="11">
        <f t="shared" si="8"/>
        <v>0</v>
      </c>
    </row>
    <row r="241" customHeight="1" spans="1:6">
      <c r="A241" s="11">
        <v>10238</v>
      </c>
      <c r="B241" s="11">
        <f t="shared" si="9"/>
        <v>4</v>
      </c>
      <c r="C241" s="11">
        <v>1</v>
      </c>
      <c r="D241" s="11">
        <v>1</v>
      </c>
      <c r="E241" s="1">
        <v>11113</v>
      </c>
      <c r="F241" s="11">
        <f t="shared" si="8"/>
        <v>0</v>
      </c>
    </row>
    <row r="242" customHeight="1" spans="1:6">
      <c r="A242" s="11">
        <v>10239</v>
      </c>
      <c r="B242" s="11">
        <f t="shared" si="9"/>
        <v>4</v>
      </c>
      <c r="C242" s="11">
        <v>1</v>
      </c>
      <c r="D242" s="11">
        <v>1</v>
      </c>
      <c r="E242" s="1">
        <v>11114</v>
      </c>
      <c r="F242" s="11">
        <f t="shared" si="8"/>
        <v>0</v>
      </c>
    </row>
    <row r="243" customHeight="1" spans="1:6">
      <c r="A243" s="11">
        <v>10240</v>
      </c>
      <c r="B243" s="11">
        <f t="shared" si="9"/>
        <v>4</v>
      </c>
      <c r="C243" s="11">
        <v>1</v>
      </c>
      <c r="D243" s="11">
        <v>1</v>
      </c>
      <c r="E243" s="1">
        <v>11115</v>
      </c>
      <c r="F243" s="11">
        <f t="shared" si="8"/>
        <v>0</v>
      </c>
    </row>
    <row r="244" customHeight="1" spans="1:6">
      <c r="A244" s="11">
        <v>10241</v>
      </c>
      <c r="B244" s="11">
        <f t="shared" si="9"/>
        <v>4</v>
      </c>
      <c r="C244" s="11">
        <v>1</v>
      </c>
      <c r="D244" s="11">
        <v>1</v>
      </c>
      <c r="E244" s="1">
        <v>11116</v>
      </c>
      <c r="F244" s="11">
        <f t="shared" si="8"/>
        <v>10</v>
      </c>
    </row>
    <row r="245" customHeight="1" spans="1:6">
      <c r="A245" s="11">
        <v>10242</v>
      </c>
      <c r="B245" s="11">
        <f t="shared" si="9"/>
        <v>4</v>
      </c>
      <c r="C245" s="11">
        <v>1</v>
      </c>
      <c r="D245" s="11">
        <v>1</v>
      </c>
      <c r="E245" s="1">
        <v>11117</v>
      </c>
      <c r="F245" s="11">
        <f t="shared" si="8"/>
        <v>10</v>
      </c>
    </row>
    <row r="246" customHeight="1" spans="1:6">
      <c r="A246" s="11">
        <v>10243</v>
      </c>
      <c r="B246" s="11">
        <f t="shared" si="9"/>
        <v>4</v>
      </c>
      <c r="C246" s="11">
        <v>1</v>
      </c>
      <c r="D246" s="11">
        <v>1</v>
      </c>
      <c r="E246" s="1">
        <v>11118</v>
      </c>
      <c r="F246" s="11">
        <f t="shared" si="8"/>
        <v>10</v>
      </c>
    </row>
    <row r="247" customHeight="1" spans="1:6">
      <c r="A247" s="11">
        <v>10244</v>
      </c>
      <c r="B247" s="11">
        <f t="shared" si="9"/>
        <v>4</v>
      </c>
      <c r="C247" s="11">
        <v>1</v>
      </c>
      <c r="D247" s="11">
        <v>1</v>
      </c>
      <c r="E247" s="1">
        <v>11119</v>
      </c>
      <c r="F247" s="11">
        <f t="shared" si="8"/>
        <v>10</v>
      </c>
    </row>
    <row r="248" customHeight="1" spans="1:6">
      <c r="A248" s="11">
        <v>10245</v>
      </c>
      <c r="B248" s="11">
        <f t="shared" si="9"/>
        <v>4</v>
      </c>
      <c r="C248" s="11">
        <v>1</v>
      </c>
      <c r="D248" s="11">
        <v>1</v>
      </c>
      <c r="E248" s="1">
        <v>11120</v>
      </c>
      <c r="F248" s="11">
        <f t="shared" si="8"/>
        <v>10</v>
      </c>
    </row>
    <row r="249" customHeight="1" spans="1:6">
      <c r="A249" s="11">
        <v>10246</v>
      </c>
      <c r="B249" s="11">
        <f t="shared" si="9"/>
        <v>4</v>
      </c>
      <c r="C249" s="11">
        <v>1</v>
      </c>
      <c r="D249" s="11">
        <v>1</v>
      </c>
      <c r="E249" s="1">
        <v>11121</v>
      </c>
      <c r="F249" s="11">
        <f t="shared" si="8"/>
        <v>10</v>
      </c>
    </row>
    <row r="250" customHeight="1" spans="1:6">
      <c r="A250" s="11">
        <v>10247</v>
      </c>
      <c r="B250" s="11">
        <f t="shared" si="9"/>
        <v>4</v>
      </c>
      <c r="C250" s="11">
        <v>1</v>
      </c>
      <c r="D250" s="11">
        <v>1</v>
      </c>
      <c r="E250" s="1">
        <v>11122</v>
      </c>
      <c r="F250" s="11">
        <f t="shared" si="8"/>
        <v>10</v>
      </c>
    </row>
    <row r="251" customHeight="1" spans="1:6">
      <c r="A251" s="11">
        <v>10248</v>
      </c>
      <c r="B251" s="11">
        <f t="shared" si="9"/>
        <v>4</v>
      </c>
      <c r="C251" s="11">
        <v>1</v>
      </c>
      <c r="D251" s="11">
        <v>1</v>
      </c>
      <c r="E251" s="1">
        <v>11123</v>
      </c>
      <c r="F251" s="11">
        <f t="shared" si="8"/>
        <v>10</v>
      </c>
    </row>
    <row r="252" customHeight="1" spans="1:6">
      <c r="A252" s="11">
        <v>10249</v>
      </c>
      <c r="B252" s="11">
        <f t="shared" si="9"/>
        <v>4</v>
      </c>
      <c r="C252" s="11">
        <v>1</v>
      </c>
      <c r="D252" s="11">
        <v>1</v>
      </c>
      <c r="E252" s="1">
        <v>11124</v>
      </c>
      <c r="F252" s="11">
        <f t="shared" si="8"/>
        <v>10</v>
      </c>
    </row>
    <row r="253" customHeight="1" spans="1:6">
      <c r="A253" s="11">
        <v>10250</v>
      </c>
      <c r="B253" s="11">
        <f t="shared" si="9"/>
        <v>4</v>
      </c>
      <c r="C253" s="11">
        <v>1</v>
      </c>
      <c r="D253" s="11">
        <v>1</v>
      </c>
      <c r="E253" s="1">
        <v>11125</v>
      </c>
      <c r="F253" s="11">
        <f t="shared" si="8"/>
        <v>10</v>
      </c>
    </row>
    <row r="254" customHeight="1" spans="1:6">
      <c r="A254" s="11">
        <v>10251</v>
      </c>
      <c r="B254" s="11">
        <f t="shared" si="9"/>
        <v>4</v>
      </c>
      <c r="C254" s="11">
        <v>1</v>
      </c>
      <c r="D254" s="11">
        <f>D229+1</f>
        <v>2</v>
      </c>
      <c r="E254" s="1">
        <v>11201</v>
      </c>
      <c r="F254" s="11">
        <f t="shared" si="8"/>
        <v>0</v>
      </c>
    </row>
    <row r="255" customHeight="1" spans="1:6">
      <c r="A255" s="11">
        <v>10252</v>
      </c>
      <c r="B255" s="11">
        <f t="shared" si="9"/>
        <v>4</v>
      </c>
      <c r="C255" s="11">
        <v>1</v>
      </c>
      <c r="D255" s="11">
        <f t="shared" ref="D255:D303" si="10">D230+1</f>
        <v>2</v>
      </c>
      <c r="E255" s="1">
        <v>11202</v>
      </c>
      <c r="F255" s="11">
        <f t="shared" si="8"/>
        <v>0</v>
      </c>
    </row>
    <row r="256" customHeight="1" spans="1:6">
      <c r="A256" s="11">
        <v>10253</v>
      </c>
      <c r="B256" s="11">
        <f t="shared" si="9"/>
        <v>4</v>
      </c>
      <c r="C256" s="11">
        <v>1</v>
      </c>
      <c r="D256" s="11">
        <f t="shared" si="10"/>
        <v>2</v>
      </c>
      <c r="E256" s="1">
        <v>11203</v>
      </c>
      <c r="F256" s="11">
        <f t="shared" si="8"/>
        <v>0</v>
      </c>
    </row>
    <row r="257" customHeight="1" spans="1:6">
      <c r="A257" s="11">
        <v>10254</v>
      </c>
      <c r="B257" s="11">
        <f t="shared" si="9"/>
        <v>4</v>
      </c>
      <c r="C257" s="11">
        <v>1</v>
      </c>
      <c r="D257" s="11">
        <f t="shared" si="10"/>
        <v>2</v>
      </c>
      <c r="E257" s="1">
        <v>11204</v>
      </c>
      <c r="F257" s="11">
        <f t="shared" si="8"/>
        <v>0</v>
      </c>
    </row>
    <row r="258" customHeight="1" spans="1:6">
      <c r="A258" s="11">
        <v>10255</v>
      </c>
      <c r="B258" s="11">
        <f t="shared" si="9"/>
        <v>4</v>
      </c>
      <c r="C258" s="11">
        <v>1</v>
      </c>
      <c r="D258" s="11">
        <f t="shared" si="10"/>
        <v>2</v>
      </c>
      <c r="E258" s="1">
        <v>11205</v>
      </c>
      <c r="F258" s="11">
        <f t="shared" si="8"/>
        <v>0</v>
      </c>
    </row>
    <row r="259" customHeight="1" spans="1:6">
      <c r="A259" s="11">
        <v>10256</v>
      </c>
      <c r="B259" s="11">
        <f t="shared" si="9"/>
        <v>4</v>
      </c>
      <c r="C259" s="11">
        <v>1</v>
      </c>
      <c r="D259" s="11">
        <f t="shared" si="10"/>
        <v>2</v>
      </c>
      <c r="E259" s="1">
        <v>11206</v>
      </c>
      <c r="F259" s="11">
        <f t="shared" si="8"/>
        <v>0</v>
      </c>
    </row>
    <row r="260" customHeight="1" spans="1:6">
      <c r="A260" s="11">
        <v>10257</v>
      </c>
      <c r="B260" s="11">
        <f t="shared" si="9"/>
        <v>4</v>
      </c>
      <c r="C260" s="11">
        <v>1</v>
      </c>
      <c r="D260" s="11">
        <f t="shared" si="10"/>
        <v>2</v>
      </c>
      <c r="E260" s="1">
        <v>11207</v>
      </c>
      <c r="F260" s="11">
        <f t="shared" si="8"/>
        <v>0</v>
      </c>
    </row>
    <row r="261" customHeight="1" spans="1:6">
      <c r="A261" s="11">
        <v>10258</v>
      </c>
      <c r="B261" s="11">
        <f t="shared" si="9"/>
        <v>4</v>
      </c>
      <c r="C261" s="11">
        <v>1</v>
      </c>
      <c r="D261" s="11">
        <f t="shared" si="10"/>
        <v>2</v>
      </c>
      <c r="E261" s="1">
        <v>11208</v>
      </c>
      <c r="F261" s="11">
        <f t="shared" ref="F261:F324" si="11">VLOOKUP(RIGHT(E261,2)*1,$J$4:$Q$29,B261+1,0)</f>
        <v>0</v>
      </c>
    </row>
    <row r="262" customHeight="1" spans="1:6">
      <c r="A262" s="11">
        <v>10259</v>
      </c>
      <c r="B262" s="11">
        <f t="shared" si="9"/>
        <v>4</v>
      </c>
      <c r="C262" s="11">
        <v>1</v>
      </c>
      <c r="D262" s="11">
        <f t="shared" si="10"/>
        <v>2</v>
      </c>
      <c r="E262" s="1">
        <v>11209</v>
      </c>
      <c r="F262" s="11">
        <f t="shared" si="11"/>
        <v>0</v>
      </c>
    </row>
    <row r="263" customHeight="1" spans="1:6">
      <c r="A263" s="11">
        <v>10260</v>
      </c>
      <c r="B263" s="11">
        <f t="shared" si="9"/>
        <v>4</v>
      </c>
      <c r="C263" s="11">
        <v>1</v>
      </c>
      <c r="D263" s="11">
        <f t="shared" si="10"/>
        <v>2</v>
      </c>
      <c r="E263" s="1">
        <v>11210</v>
      </c>
      <c r="F263" s="11">
        <f t="shared" si="11"/>
        <v>0</v>
      </c>
    </row>
    <row r="264" customHeight="1" spans="1:6">
      <c r="A264" s="11">
        <v>10261</v>
      </c>
      <c r="B264" s="11">
        <f t="shared" si="9"/>
        <v>4</v>
      </c>
      <c r="C264" s="11">
        <v>1</v>
      </c>
      <c r="D264" s="11">
        <f t="shared" si="10"/>
        <v>2</v>
      </c>
      <c r="E264" s="1">
        <v>11211</v>
      </c>
      <c r="F264" s="11">
        <f t="shared" si="11"/>
        <v>0</v>
      </c>
    </row>
    <row r="265" customHeight="1" spans="1:6">
      <c r="A265" s="11">
        <v>10262</v>
      </c>
      <c r="B265" s="11">
        <f t="shared" si="9"/>
        <v>4</v>
      </c>
      <c r="C265" s="11">
        <v>1</v>
      </c>
      <c r="D265" s="11">
        <f t="shared" si="10"/>
        <v>2</v>
      </c>
      <c r="E265" s="1">
        <v>11212</v>
      </c>
      <c r="F265" s="11">
        <f t="shared" si="11"/>
        <v>0</v>
      </c>
    </row>
    <row r="266" customHeight="1" spans="1:6">
      <c r="A266" s="11">
        <v>10263</v>
      </c>
      <c r="B266" s="11">
        <f t="shared" si="9"/>
        <v>4</v>
      </c>
      <c r="C266" s="11">
        <v>1</v>
      </c>
      <c r="D266" s="11">
        <f t="shared" si="10"/>
        <v>2</v>
      </c>
      <c r="E266" s="1">
        <v>11213</v>
      </c>
      <c r="F266" s="11">
        <f t="shared" si="11"/>
        <v>0</v>
      </c>
    </row>
    <row r="267" customHeight="1" spans="1:6">
      <c r="A267" s="11">
        <v>10264</v>
      </c>
      <c r="B267" s="11">
        <f t="shared" si="9"/>
        <v>4</v>
      </c>
      <c r="C267" s="11">
        <v>1</v>
      </c>
      <c r="D267" s="11">
        <f t="shared" si="10"/>
        <v>2</v>
      </c>
      <c r="E267" s="1">
        <v>11214</v>
      </c>
      <c r="F267" s="11">
        <f t="shared" si="11"/>
        <v>0</v>
      </c>
    </row>
    <row r="268" customHeight="1" spans="1:6">
      <c r="A268" s="11">
        <v>10265</v>
      </c>
      <c r="B268" s="11">
        <f t="shared" si="9"/>
        <v>4</v>
      </c>
      <c r="C268" s="11">
        <v>1</v>
      </c>
      <c r="D268" s="11">
        <f t="shared" si="10"/>
        <v>2</v>
      </c>
      <c r="E268" s="1">
        <v>11215</v>
      </c>
      <c r="F268" s="11">
        <f t="shared" si="11"/>
        <v>0</v>
      </c>
    </row>
    <row r="269" customHeight="1" spans="1:6">
      <c r="A269" s="11">
        <v>10266</v>
      </c>
      <c r="B269" s="11">
        <f t="shared" si="9"/>
        <v>4</v>
      </c>
      <c r="C269" s="11">
        <v>1</v>
      </c>
      <c r="D269" s="11">
        <f t="shared" si="10"/>
        <v>2</v>
      </c>
      <c r="E269" s="1">
        <v>11216</v>
      </c>
      <c r="F269" s="11">
        <f t="shared" si="11"/>
        <v>10</v>
      </c>
    </row>
    <row r="270" customHeight="1" spans="1:6">
      <c r="A270" s="11">
        <v>10267</v>
      </c>
      <c r="B270" s="11">
        <f t="shared" si="9"/>
        <v>4</v>
      </c>
      <c r="C270" s="11">
        <v>1</v>
      </c>
      <c r="D270" s="11">
        <f t="shared" si="10"/>
        <v>2</v>
      </c>
      <c r="E270" s="1">
        <v>11217</v>
      </c>
      <c r="F270" s="11">
        <f t="shared" si="11"/>
        <v>10</v>
      </c>
    </row>
    <row r="271" customHeight="1" spans="1:6">
      <c r="A271" s="11">
        <v>10268</v>
      </c>
      <c r="B271" s="11">
        <f t="shared" si="9"/>
        <v>4</v>
      </c>
      <c r="C271" s="11">
        <v>1</v>
      </c>
      <c r="D271" s="11">
        <f t="shared" si="10"/>
        <v>2</v>
      </c>
      <c r="E271" s="1">
        <v>11218</v>
      </c>
      <c r="F271" s="11">
        <f t="shared" si="11"/>
        <v>10</v>
      </c>
    </row>
    <row r="272" customHeight="1" spans="1:6">
      <c r="A272" s="11">
        <v>10269</v>
      </c>
      <c r="B272" s="11">
        <f t="shared" ref="B272:B335" si="12">B197+1</f>
        <v>4</v>
      </c>
      <c r="C272" s="11">
        <v>1</v>
      </c>
      <c r="D272" s="11">
        <f t="shared" si="10"/>
        <v>2</v>
      </c>
      <c r="E272" s="1">
        <v>11219</v>
      </c>
      <c r="F272" s="11">
        <f t="shared" si="11"/>
        <v>10</v>
      </c>
    </row>
    <row r="273" customHeight="1" spans="1:6">
      <c r="A273" s="11">
        <v>10270</v>
      </c>
      <c r="B273" s="11">
        <f t="shared" si="12"/>
        <v>4</v>
      </c>
      <c r="C273" s="11">
        <v>1</v>
      </c>
      <c r="D273" s="11">
        <f t="shared" si="10"/>
        <v>2</v>
      </c>
      <c r="E273" s="1">
        <v>11220</v>
      </c>
      <c r="F273" s="11">
        <f t="shared" si="11"/>
        <v>10</v>
      </c>
    </row>
    <row r="274" customHeight="1" spans="1:6">
      <c r="A274" s="11">
        <v>10271</v>
      </c>
      <c r="B274" s="11">
        <f t="shared" si="12"/>
        <v>4</v>
      </c>
      <c r="C274" s="11">
        <v>1</v>
      </c>
      <c r="D274" s="11">
        <f t="shared" si="10"/>
        <v>2</v>
      </c>
      <c r="E274" s="1">
        <v>11221</v>
      </c>
      <c r="F274" s="11">
        <f t="shared" si="11"/>
        <v>10</v>
      </c>
    </row>
    <row r="275" customHeight="1" spans="1:6">
      <c r="A275" s="11">
        <v>10272</v>
      </c>
      <c r="B275" s="11">
        <f t="shared" si="12"/>
        <v>4</v>
      </c>
      <c r="C275" s="11">
        <v>1</v>
      </c>
      <c r="D275" s="11">
        <f t="shared" si="10"/>
        <v>2</v>
      </c>
      <c r="E275" s="1">
        <v>11222</v>
      </c>
      <c r="F275" s="11">
        <f t="shared" si="11"/>
        <v>10</v>
      </c>
    </row>
    <row r="276" customHeight="1" spans="1:6">
      <c r="A276" s="11">
        <v>10273</v>
      </c>
      <c r="B276" s="11">
        <f t="shared" si="12"/>
        <v>4</v>
      </c>
      <c r="C276" s="11">
        <v>1</v>
      </c>
      <c r="D276" s="11">
        <f t="shared" si="10"/>
        <v>2</v>
      </c>
      <c r="E276" s="1">
        <v>11223</v>
      </c>
      <c r="F276" s="11">
        <f t="shared" si="11"/>
        <v>10</v>
      </c>
    </row>
    <row r="277" customHeight="1" spans="1:6">
      <c r="A277" s="11">
        <v>10274</v>
      </c>
      <c r="B277" s="11">
        <f t="shared" si="12"/>
        <v>4</v>
      </c>
      <c r="C277" s="11">
        <v>1</v>
      </c>
      <c r="D277" s="11">
        <f t="shared" si="10"/>
        <v>2</v>
      </c>
      <c r="E277" s="1">
        <v>11224</v>
      </c>
      <c r="F277" s="11">
        <f t="shared" si="11"/>
        <v>10</v>
      </c>
    </row>
    <row r="278" customHeight="1" spans="1:6">
      <c r="A278" s="11">
        <v>10275</v>
      </c>
      <c r="B278" s="11">
        <f t="shared" si="12"/>
        <v>4</v>
      </c>
      <c r="C278" s="11">
        <v>1</v>
      </c>
      <c r="D278" s="11">
        <f t="shared" si="10"/>
        <v>2</v>
      </c>
      <c r="E278" s="1">
        <v>11225</v>
      </c>
      <c r="F278" s="11">
        <f t="shared" si="11"/>
        <v>10</v>
      </c>
    </row>
    <row r="279" customHeight="1" spans="1:6">
      <c r="A279" s="11">
        <v>10276</v>
      </c>
      <c r="B279" s="11">
        <f t="shared" si="12"/>
        <v>4</v>
      </c>
      <c r="C279" s="11">
        <v>1</v>
      </c>
      <c r="D279" s="11">
        <f t="shared" si="10"/>
        <v>3</v>
      </c>
      <c r="E279" s="1">
        <v>11301</v>
      </c>
      <c r="F279" s="11">
        <f t="shared" si="11"/>
        <v>0</v>
      </c>
    </row>
    <row r="280" customHeight="1" spans="1:6">
      <c r="A280" s="11">
        <v>10277</v>
      </c>
      <c r="B280" s="11">
        <f t="shared" si="12"/>
        <v>4</v>
      </c>
      <c r="C280" s="11">
        <v>1</v>
      </c>
      <c r="D280" s="11">
        <f t="shared" si="10"/>
        <v>3</v>
      </c>
      <c r="E280" s="1">
        <v>11302</v>
      </c>
      <c r="F280" s="11">
        <f t="shared" si="11"/>
        <v>0</v>
      </c>
    </row>
    <row r="281" customHeight="1" spans="1:6">
      <c r="A281" s="11">
        <v>10278</v>
      </c>
      <c r="B281" s="11">
        <f t="shared" si="12"/>
        <v>4</v>
      </c>
      <c r="C281" s="11">
        <v>1</v>
      </c>
      <c r="D281" s="11">
        <f t="shared" si="10"/>
        <v>3</v>
      </c>
      <c r="E281" s="1">
        <v>11303</v>
      </c>
      <c r="F281" s="11">
        <f t="shared" si="11"/>
        <v>0</v>
      </c>
    </row>
    <row r="282" customHeight="1" spans="1:6">
      <c r="A282" s="11">
        <v>10279</v>
      </c>
      <c r="B282" s="11">
        <f t="shared" si="12"/>
        <v>4</v>
      </c>
      <c r="C282" s="11">
        <v>1</v>
      </c>
      <c r="D282" s="11">
        <f t="shared" si="10"/>
        <v>3</v>
      </c>
      <c r="E282" s="1">
        <v>11304</v>
      </c>
      <c r="F282" s="11">
        <f t="shared" si="11"/>
        <v>0</v>
      </c>
    </row>
    <row r="283" customHeight="1" spans="1:6">
      <c r="A283" s="11">
        <v>10280</v>
      </c>
      <c r="B283" s="11">
        <f t="shared" si="12"/>
        <v>4</v>
      </c>
      <c r="C283" s="11">
        <v>1</v>
      </c>
      <c r="D283" s="11">
        <f t="shared" si="10"/>
        <v>3</v>
      </c>
      <c r="E283" s="1">
        <v>11305</v>
      </c>
      <c r="F283" s="11">
        <f t="shared" si="11"/>
        <v>0</v>
      </c>
    </row>
    <row r="284" customHeight="1" spans="1:6">
      <c r="A284" s="11">
        <v>10281</v>
      </c>
      <c r="B284" s="11">
        <f t="shared" si="12"/>
        <v>4</v>
      </c>
      <c r="C284" s="11">
        <v>1</v>
      </c>
      <c r="D284" s="11">
        <f t="shared" si="10"/>
        <v>3</v>
      </c>
      <c r="E284" s="1">
        <v>11306</v>
      </c>
      <c r="F284" s="11">
        <f t="shared" si="11"/>
        <v>0</v>
      </c>
    </row>
    <row r="285" customHeight="1" spans="1:6">
      <c r="A285" s="11">
        <v>10282</v>
      </c>
      <c r="B285" s="11">
        <f t="shared" si="12"/>
        <v>4</v>
      </c>
      <c r="C285" s="11">
        <v>1</v>
      </c>
      <c r="D285" s="11">
        <f t="shared" si="10"/>
        <v>3</v>
      </c>
      <c r="E285" s="1">
        <v>11307</v>
      </c>
      <c r="F285" s="11">
        <f t="shared" si="11"/>
        <v>0</v>
      </c>
    </row>
    <row r="286" customHeight="1" spans="1:6">
      <c r="A286" s="11">
        <v>10283</v>
      </c>
      <c r="B286" s="11">
        <f t="shared" si="12"/>
        <v>4</v>
      </c>
      <c r="C286" s="11">
        <v>1</v>
      </c>
      <c r="D286" s="11">
        <f t="shared" si="10"/>
        <v>3</v>
      </c>
      <c r="E286" s="1">
        <v>11308</v>
      </c>
      <c r="F286" s="11">
        <f t="shared" si="11"/>
        <v>0</v>
      </c>
    </row>
    <row r="287" customHeight="1" spans="1:6">
      <c r="A287" s="11">
        <v>10284</v>
      </c>
      <c r="B287" s="11">
        <f t="shared" si="12"/>
        <v>4</v>
      </c>
      <c r="C287" s="11">
        <v>1</v>
      </c>
      <c r="D287" s="11">
        <f t="shared" si="10"/>
        <v>3</v>
      </c>
      <c r="E287" s="1">
        <v>11309</v>
      </c>
      <c r="F287" s="11">
        <f t="shared" si="11"/>
        <v>0</v>
      </c>
    </row>
    <row r="288" customHeight="1" spans="1:6">
      <c r="A288" s="11">
        <v>10285</v>
      </c>
      <c r="B288" s="11">
        <f t="shared" si="12"/>
        <v>4</v>
      </c>
      <c r="C288" s="11">
        <v>1</v>
      </c>
      <c r="D288" s="11">
        <f t="shared" si="10"/>
        <v>3</v>
      </c>
      <c r="E288" s="1">
        <v>11310</v>
      </c>
      <c r="F288" s="11">
        <f t="shared" si="11"/>
        <v>0</v>
      </c>
    </row>
    <row r="289" customHeight="1" spans="1:6">
      <c r="A289" s="11">
        <v>10286</v>
      </c>
      <c r="B289" s="11">
        <f t="shared" si="12"/>
        <v>4</v>
      </c>
      <c r="C289" s="11">
        <v>1</v>
      </c>
      <c r="D289" s="11">
        <f t="shared" si="10"/>
        <v>3</v>
      </c>
      <c r="E289" s="1">
        <v>11311</v>
      </c>
      <c r="F289" s="11">
        <f t="shared" si="11"/>
        <v>0</v>
      </c>
    </row>
    <row r="290" customHeight="1" spans="1:6">
      <c r="A290" s="11">
        <v>10287</v>
      </c>
      <c r="B290" s="11">
        <f t="shared" si="12"/>
        <v>4</v>
      </c>
      <c r="C290" s="11">
        <v>1</v>
      </c>
      <c r="D290" s="11">
        <f t="shared" si="10"/>
        <v>3</v>
      </c>
      <c r="E290" s="1">
        <v>11312</v>
      </c>
      <c r="F290" s="11">
        <f t="shared" si="11"/>
        <v>0</v>
      </c>
    </row>
    <row r="291" customHeight="1" spans="1:6">
      <c r="A291" s="11">
        <v>10288</v>
      </c>
      <c r="B291" s="11">
        <f t="shared" si="12"/>
        <v>4</v>
      </c>
      <c r="C291" s="11">
        <v>1</v>
      </c>
      <c r="D291" s="11">
        <f t="shared" si="10"/>
        <v>3</v>
      </c>
      <c r="E291" s="1">
        <v>11313</v>
      </c>
      <c r="F291" s="11">
        <f t="shared" si="11"/>
        <v>0</v>
      </c>
    </row>
    <row r="292" customHeight="1" spans="1:6">
      <c r="A292" s="11">
        <v>10289</v>
      </c>
      <c r="B292" s="11">
        <f t="shared" si="12"/>
        <v>4</v>
      </c>
      <c r="C292" s="11">
        <v>1</v>
      </c>
      <c r="D292" s="11">
        <f t="shared" si="10"/>
        <v>3</v>
      </c>
      <c r="E292" s="1">
        <v>11314</v>
      </c>
      <c r="F292" s="11">
        <f t="shared" si="11"/>
        <v>0</v>
      </c>
    </row>
    <row r="293" customHeight="1" spans="1:6">
      <c r="A293" s="11">
        <v>10290</v>
      </c>
      <c r="B293" s="11">
        <f t="shared" si="12"/>
        <v>4</v>
      </c>
      <c r="C293" s="11">
        <v>1</v>
      </c>
      <c r="D293" s="11">
        <f t="shared" si="10"/>
        <v>3</v>
      </c>
      <c r="E293" s="1">
        <v>11315</v>
      </c>
      <c r="F293" s="11">
        <f t="shared" si="11"/>
        <v>0</v>
      </c>
    </row>
    <row r="294" customHeight="1" spans="1:6">
      <c r="A294" s="11">
        <v>10291</v>
      </c>
      <c r="B294" s="11">
        <f t="shared" si="12"/>
        <v>4</v>
      </c>
      <c r="C294" s="11">
        <v>1</v>
      </c>
      <c r="D294" s="11">
        <f t="shared" si="10"/>
        <v>3</v>
      </c>
      <c r="E294" s="1">
        <v>11316</v>
      </c>
      <c r="F294" s="11">
        <f t="shared" si="11"/>
        <v>10</v>
      </c>
    </row>
    <row r="295" customHeight="1" spans="1:6">
      <c r="A295" s="11">
        <v>10292</v>
      </c>
      <c r="B295" s="11">
        <f t="shared" si="12"/>
        <v>4</v>
      </c>
      <c r="C295" s="11">
        <v>1</v>
      </c>
      <c r="D295" s="11">
        <f t="shared" si="10"/>
        <v>3</v>
      </c>
      <c r="E295" s="1">
        <v>11317</v>
      </c>
      <c r="F295" s="11">
        <f t="shared" si="11"/>
        <v>10</v>
      </c>
    </row>
    <row r="296" customHeight="1" spans="1:6">
      <c r="A296" s="11">
        <v>10293</v>
      </c>
      <c r="B296" s="11">
        <f t="shared" si="12"/>
        <v>4</v>
      </c>
      <c r="C296" s="11">
        <v>1</v>
      </c>
      <c r="D296" s="11">
        <f t="shared" si="10"/>
        <v>3</v>
      </c>
      <c r="E296" s="1">
        <v>11318</v>
      </c>
      <c r="F296" s="11">
        <f t="shared" si="11"/>
        <v>10</v>
      </c>
    </row>
    <row r="297" customHeight="1" spans="1:6">
      <c r="A297" s="11">
        <v>10294</v>
      </c>
      <c r="B297" s="11">
        <f t="shared" si="12"/>
        <v>4</v>
      </c>
      <c r="C297" s="11">
        <v>1</v>
      </c>
      <c r="D297" s="11">
        <f t="shared" si="10"/>
        <v>3</v>
      </c>
      <c r="E297" s="1">
        <v>11319</v>
      </c>
      <c r="F297" s="11">
        <f t="shared" si="11"/>
        <v>10</v>
      </c>
    </row>
    <row r="298" customHeight="1" spans="1:6">
      <c r="A298" s="11">
        <v>10295</v>
      </c>
      <c r="B298" s="11">
        <f t="shared" si="12"/>
        <v>4</v>
      </c>
      <c r="C298" s="11">
        <v>1</v>
      </c>
      <c r="D298" s="11">
        <f t="shared" si="10"/>
        <v>3</v>
      </c>
      <c r="E298" s="1">
        <v>11320</v>
      </c>
      <c r="F298" s="11">
        <f t="shared" si="11"/>
        <v>10</v>
      </c>
    </row>
    <row r="299" customHeight="1" spans="1:6">
      <c r="A299" s="11">
        <v>10296</v>
      </c>
      <c r="B299" s="11">
        <f t="shared" si="12"/>
        <v>4</v>
      </c>
      <c r="C299" s="11">
        <v>1</v>
      </c>
      <c r="D299" s="11">
        <f t="shared" si="10"/>
        <v>3</v>
      </c>
      <c r="E299" s="1">
        <v>11321</v>
      </c>
      <c r="F299" s="11">
        <f t="shared" si="11"/>
        <v>10</v>
      </c>
    </row>
    <row r="300" customHeight="1" spans="1:6">
      <c r="A300" s="11">
        <v>10297</v>
      </c>
      <c r="B300" s="11">
        <f t="shared" si="12"/>
        <v>4</v>
      </c>
      <c r="C300" s="11">
        <v>1</v>
      </c>
      <c r="D300" s="11">
        <f t="shared" si="10"/>
        <v>3</v>
      </c>
      <c r="E300" s="1">
        <v>11322</v>
      </c>
      <c r="F300" s="11">
        <f t="shared" si="11"/>
        <v>10</v>
      </c>
    </row>
    <row r="301" customHeight="1" spans="1:6">
      <c r="A301" s="11">
        <v>10298</v>
      </c>
      <c r="B301" s="11">
        <f t="shared" si="12"/>
        <v>4</v>
      </c>
      <c r="C301" s="11">
        <v>1</v>
      </c>
      <c r="D301" s="11">
        <f t="shared" si="10"/>
        <v>3</v>
      </c>
      <c r="E301" s="1">
        <v>11323</v>
      </c>
      <c r="F301" s="11">
        <f t="shared" si="11"/>
        <v>10</v>
      </c>
    </row>
    <row r="302" customHeight="1" spans="1:6">
      <c r="A302" s="11">
        <v>10299</v>
      </c>
      <c r="B302" s="11">
        <f t="shared" si="12"/>
        <v>4</v>
      </c>
      <c r="C302" s="11">
        <v>1</v>
      </c>
      <c r="D302" s="11">
        <f t="shared" si="10"/>
        <v>3</v>
      </c>
      <c r="E302" s="1">
        <v>11324</v>
      </c>
      <c r="F302" s="11">
        <f t="shared" si="11"/>
        <v>10</v>
      </c>
    </row>
    <row r="303" customHeight="1" spans="1:6">
      <c r="A303" s="11">
        <v>10300</v>
      </c>
      <c r="B303" s="11">
        <f t="shared" si="12"/>
        <v>4</v>
      </c>
      <c r="C303" s="11">
        <v>1</v>
      </c>
      <c r="D303" s="11">
        <f t="shared" si="10"/>
        <v>3</v>
      </c>
      <c r="E303" s="1">
        <v>11325</v>
      </c>
      <c r="F303" s="11">
        <f t="shared" si="11"/>
        <v>10</v>
      </c>
    </row>
    <row r="304" customHeight="1" spans="1:6">
      <c r="A304" s="11">
        <v>10301</v>
      </c>
      <c r="B304" s="11">
        <f t="shared" si="12"/>
        <v>5</v>
      </c>
      <c r="C304" s="11">
        <v>1</v>
      </c>
      <c r="D304" s="11">
        <v>1</v>
      </c>
      <c r="E304" s="1">
        <v>11101</v>
      </c>
      <c r="F304" s="11">
        <f t="shared" si="11"/>
        <v>0</v>
      </c>
    </row>
    <row r="305" customHeight="1" spans="1:6">
      <c r="A305" s="11">
        <v>10302</v>
      </c>
      <c r="B305" s="11">
        <f t="shared" si="12"/>
        <v>5</v>
      </c>
      <c r="C305" s="11">
        <v>1</v>
      </c>
      <c r="D305" s="11">
        <v>1</v>
      </c>
      <c r="E305" s="1">
        <v>11102</v>
      </c>
      <c r="F305" s="11">
        <f t="shared" si="11"/>
        <v>0</v>
      </c>
    </row>
    <row r="306" customHeight="1" spans="1:6">
      <c r="A306" s="11">
        <v>10303</v>
      </c>
      <c r="B306" s="11">
        <f t="shared" si="12"/>
        <v>5</v>
      </c>
      <c r="C306" s="11">
        <v>1</v>
      </c>
      <c r="D306" s="11">
        <v>1</v>
      </c>
      <c r="E306" s="1">
        <v>11103</v>
      </c>
      <c r="F306" s="11">
        <f t="shared" si="11"/>
        <v>0</v>
      </c>
    </row>
    <row r="307" customHeight="1" spans="1:6">
      <c r="A307" s="11">
        <v>10304</v>
      </c>
      <c r="B307" s="11">
        <f t="shared" si="12"/>
        <v>5</v>
      </c>
      <c r="C307" s="11">
        <v>1</v>
      </c>
      <c r="D307" s="11">
        <v>1</v>
      </c>
      <c r="E307" s="1">
        <v>11104</v>
      </c>
      <c r="F307" s="11">
        <f t="shared" si="11"/>
        <v>0</v>
      </c>
    </row>
    <row r="308" customHeight="1" spans="1:6">
      <c r="A308" s="11">
        <v>10305</v>
      </c>
      <c r="B308" s="11">
        <f t="shared" si="12"/>
        <v>5</v>
      </c>
      <c r="C308" s="11">
        <v>1</v>
      </c>
      <c r="D308" s="11">
        <v>1</v>
      </c>
      <c r="E308" s="1">
        <v>11105</v>
      </c>
      <c r="F308" s="11">
        <f t="shared" si="11"/>
        <v>0</v>
      </c>
    </row>
    <row r="309" customHeight="1" spans="1:6">
      <c r="A309" s="11">
        <v>10306</v>
      </c>
      <c r="B309" s="11">
        <f t="shared" si="12"/>
        <v>5</v>
      </c>
      <c r="C309" s="11">
        <v>1</v>
      </c>
      <c r="D309" s="11">
        <v>1</v>
      </c>
      <c r="E309" s="1">
        <v>11106</v>
      </c>
      <c r="F309" s="11">
        <f t="shared" si="11"/>
        <v>0</v>
      </c>
    </row>
    <row r="310" customHeight="1" spans="1:6">
      <c r="A310" s="11">
        <v>10307</v>
      </c>
      <c r="B310" s="11">
        <f t="shared" si="12"/>
        <v>5</v>
      </c>
      <c r="C310" s="11">
        <v>1</v>
      </c>
      <c r="D310" s="11">
        <v>1</v>
      </c>
      <c r="E310" s="1">
        <v>11107</v>
      </c>
      <c r="F310" s="11">
        <f t="shared" si="11"/>
        <v>0</v>
      </c>
    </row>
    <row r="311" customHeight="1" spans="1:6">
      <c r="A311" s="11">
        <v>10308</v>
      </c>
      <c r="B311" s="11">
        <f t="shared" si="12"/>
        <v>5</v>
      </c>
      <c r="C311" s="11">
        <v>1</v>
      </c>
      <c r="D311" s="11">
        <v>1</v>
      </c>
      <c r="E311" s="1">
        <v>11108</v>
      </c>
      <c r="F311" s="11">
        <f t="shared" si="11"/>
        <v>0</v>
      </c>
    </row>
    <row r="312" customHeight="1" spans="1:6">
      <c r="A312" s="11">
        <v>10309</v>
      </c>
      <c r="B312" s="11">
        <f t="shared" si="12"/>
        <v>5</v>
      </c>
      <c r="C312" s="11">
        <v>1</v>
      </c>
      <c r="D312" s="11">
        <v>1</v>
      </c>
      <c r="E312" s="1">
        <v>11109</v>
      </c>
      <c r="F312" s="11">
        <f t="shared" si="11"/>
        <v>0</v>
      </c>
    </row>
    <row r="313" customHeight="1" spans="1:6">
      <c r="A313" s="11">
        <v>10310</v>
      </c>
      <c r="B313" s="11">
        <f t="shared" si="12"/>
        <v>5</v>
      </c>
      <c r="C313" s="11">
        <v>1</v>
      </c>
      <c r="D313" s="11">
        <v>1</v>
      </c>
      <c r="E313" s="1">
        <v>11110</v>
      </c>
      <c r="F313" s="11">
        <f t="shared" si="11"/>
        <v>0</v>
      </c>
    </row>
    <row r="314" customHeight="1" spans="1:6">
      <c r="A314" s="11">
        <v>10311</v>
      </c>
      <c r="B314" s="11">
        <f t="shared" si="12"/>
        <v>5</v>
      </c>
      <c r="C314" s="11">
        <v>1</v>
      </c>
      <c r="D314" s="11">
        <v>1</v>
      </c>
      <c r="E314" s="1">
        <v>11111</v>
      </c>
      <c r="F314" s="11">
        <f t="shared" si="11"/>
        <v>0</v>
      </c>
    </row>
    <row r="315" customHeight="1" spans="1:6">
      <c r="A315" s="11">
        <v>10312</v>
      </c>
      <c r="B315" s="11">
        <f t="shared" si="12"/>
        <v>5</v>
      </c>
      <c r="C315" s="11">
        <v>1</v>
      </c>
      <c r="D315" s="11">
        <v>1</v>
      </c>
      <c r="E315" s="1">
        <v>11112</v>
      </c>
      <c r="F315" s="11">
        <f t="shared" si="11"/>
        <v>0</v>
      </c>
    </row>
    <row r="316" customHeight="1" spans="1:6">
      <c r="A316" s="11">
        <v>10313</v>
      </c>
      <c r="B316" s="11">
        <f t="shared" si="12"/>
        <v>5</v>
      </c>
      <c r="C316" s="11">
        <v>1</v>
      </c>
      <c r="D316" s="11">
        <v>1</v>
      </c>
      <c r="E316" s="1">
        <v>11113</v>
      </c>
      <c r="F316" s="11">
        <f t="shared" si="11"/>
        <v>0</v>
      </c>
    </row>
    <row r="317" customHeight="1" spans="1:6">
      <c r="A317" s="11">
        <v>10314</v>
      </c>
      <c r="B317" s="11">
        <f t="shared" si="12"/>
        <v>5</v>
      </c>
      <c r="C317" s="11">
        <v>1</v>
      </c>
      <c r="D317" s="11">
        <v>1</v>
      </c>
      <c r="E317" s="1">
        <v>11114</v>
      </c>
      <c r="F317" s="11">
        <f t="shared" si="11"/>
        <v>0</v>
      </c>
    </row>
    <row r="318" customHeight="1" spans="1:6">
      <c r="A318" s="11">
        <v>10315</v>
      </c>
      <c r="B318" s="11">
        <f t="shared" si="12"/>
        <v>5</v>
      </c>
      <c r="C318" s="11">
        <v>1</v>
      </c>
      <c r="D318" s="11">
        <v>1</v>
      </c>
      <c r="E318" s="1">
        <v>11115</v>
      </c>
      <c r="F318" s="11">
        <f t="shared" si="11"/>
        <v>0</v>
      </c>
    </row>
    <row r="319" customHeight="1" spans="1:6">
      <c r="A319" s="11">
        <v>10316</v>
      </c>
      <c r="B319" s="11">
        <f t="shared" si="12"/>
        <v>5</v>
      </c>
      <c r="C319" s="11">
        <v>1</v>
      </c>
      <c r="D319" s="11">
        <v>1</v>
      </c>
      <c r="E319" s="1">
        <v>11116</v>
      </c>
      <c r="F319" s="11">
        <f t="shared" si="11"/>
        <v>10</v>
      </c>
    </row>
    <row r="320" customHeight="1" spans="1:6">
      <c r="A320" s="11">
        <v>10317</v>
      </c>
      <c r="B320" s="11">
        <f t="shared" si="12"/>
        <v>5</v>
      </c>
      <c r="C320" s="11">
        <v>1</v>
      </c>
      <c r="D320" s="11">
        <v>1</v>
      </c>
      <c r="E320" s="1">
        <v>11117</v>
      </c>
      <c r="F320" s="11">
        <f t="shared" si="11"/>
        <v>10</v>
      </c>
    </row>
    <row r="321" customHeight="1" spans="1:6">
      <c r="A321" s="11">
        <v>10318</v>
      </c>
      <c r="B321" s="11">
        <f t="shared" si="12"/>
        <v>5</v>
      </c>
      <c r="C321" s="11">
        <v>1</v>
      </c>
      <c r="D321" s="11">
        <v>1</v>
      </c>
      <c r="E321" s="1">
        <v>11118</v>
      </c>
      <c r="F321" s="11">
        <f t="shared" si="11"/>
        <v>10</v>
      </c>
    </row>
    <row r="322" customHeight="1" spans="1:6">
      <c r="A322" s="11">
        <v>10319</v>
      </c>
      <c r="B322" s="11">
        <f t="shared" si="12"/>
        <v>5</v>
      </c>
      <c r="C322" s="11">
        <v>1</v>
      </c>
      <c r="D322" s="11">
        <v>1</v>
      </c>
      <c r="E322" s="1">
        <v>11119</v>
      </c>
      <c r="F322" s="11">
        <f t="shared" si="11"/>
        <v>10</v>
      </c>
    </row>
    <row r="323" customHeight="1" spans="1:6">
      <c r="A323" s="11">
        <v>10320</v>
      </c>
      <c r="B323" s="11">
        <f t="shared" si="12"/>
        <v>5</v>
      </c>
      <c r="C323" s="11">
        <v>1</v>
      </c>
      <c r="D323" s="11">
        <v>1</v>
      </c>
      <c r="E323" s="1">
        <v>11120</v>
      </c>
      <c r="F323" s="11">
        <f t="shared" si="11"/>
        <v>10</v>
      </c>
    </row>
    <row r="324" customHeight="1" spans="1:6">
      <c r="A324" s="11">
        <v>10321</v>
      </c>
      <c r="B324" s="11">
        <f t="shared" si="12"/>
        <v>5</v>
      </c>
      <c r="C324" s="11">
        <v>1</v>
      </c>
      <c r="D324" s="11">
        <v>1</v>
      </c>
      <c r="E324" s="1">
        <v>11121</v>
      </c>
      <c r="F324" s="11">
        <f t="shared" si="11"/>
        <v>10</v>
      </c>
    </row>
    <row r="325" customHeight="1" spans="1:6">
      <c r="A325" s="11">
        <v>10322</v>
      </c>
      <c r="B325" s="11">
        <f t="shared" si="12"/>
        <v>5</v>
      </c>
      <c r="C325" s="11">
        <v>1</v>
      </c>
      <c r="D325" s="11">
        <v>1</v>
      </c>
      <c r="E325" s="1">
        <v>11122</v>
      </c>
      <c r="F325" s="11">
        <f t="shared" ref="F325:F388" si="13">VLOOKUP(RIGHT(E325,2)*1,$J$4:$Q$29,B325+1,0)</f>
        <v>10</v>
      </c>
    </row>
    <row r="326" customHeight="1" spans="1:6">
      <c r="A326" s="11">
        <v>10323</v>
      </c>
      <c r="B326" s="11">
        <f t="shared" si="12"/>
        <v>5</v>
      </c>
      <c r="C326" s="11">
        <v>1</v>
      </c>
      <c r="D326" s="11">
        <v>1</v>
      </c>
      <c r="E326" s="1">
        <v>11123</v>
      </c>
      <c r="F326" s="11">
        <f t="shared" si="13"/>
        <v>10</v>
      </c>
    </row>
    <row r="327" customHeight="1" spans="1:6">
      <c r="A327" s="11">
        <v>10324</v>
      </c>
      <c r="B327" s="11">
        <f t="shared" si="12"/>
        <v>5</v>
      </c>
      <c r="C327" s="11">
        <v>1</v>
      </c>
      <c r="D327" s="11">
        <v>1</v>
      </c>
      <c r="E327" s="1">
        <v>11124</v>
      </c>
      <c r="F327" s="11">
        <f t="shared" si="13"/>
        <v>10</v>
      </c>
    </row>
    <row r="328" customHeight="1" spans="1:6">
      <c r="A328" s="11">
        <v>10325</v>
      </c>
      <c r="B328" s="11">
        <f t="shared" si="12"/>
        <v>5</v>
      </c>
      <c r="C328" s="11">
        <v>1</v>
      </c>
      <c r="D328" s="11">
        <v>1</v>
      </c>
      <c r="E328" s="1">
        <v>11125</v>
      </c>
      <c r="F328" s="11">
        <f t="shared" si="13"/>
        <v>10</v>
      </c>
    </row>
    <row r="329" customHeight="1" spans="1:6">
      <c r="A329" s="11">
        <v>10326</v>
      </c>
      <c r="B329" s="11">
        <f t="shared" si="12"/>
        <v>5</v>
      </c>
      <c r="C329" s="11">
        <v>1</v>
      </c>
      <c r="D329" s="11">
        <f>D304+1</f>
        <v>2</v>
      </c>
      <c r="E329" s="1">
        <v>11201</v>
      </c>
      <c r="F329" s="11">
        <f t="shared" si="13"/>
        <v>0</v>
      </c>
    </row>
    <row r="330" customHeight="1" spans="1:6">
      <c r="A330" s="11">
        <v>10327</v>
      </c>
      <c r="B330" s="11">
        <f t="shared" si="12"/>
        <v>5</v>
      </c>
      <c r="C330" s="11">
        <v>1</v>
      </c>
      <c r="D330" s="11">
        <f t="shared" ref="D330:D378" si="14">D305+1</f>
        <v>2</v>
      </c>
      <c r="E330" s="1">
        <v>11202</v>
      </c>
      <c r="F330" s="11">
        <f t="shared" si="13"/>
        <v>0</v>
      </c>
    </row>
    <row r="331" customHeight="1" spans="1:6">
      <c r="A331" s="11">
        <v>10328</v>
      </c>
      <c r="B331" s="11">
        <f t="shared" si="12"/>
        <v>5</v>
      </c>
      <c r="C331" s="11">
        <v>1</v>
      </c>
      <c r="D331" s="11">
        <f t="shared" si="14"/>
        <v>2</v>
      </c>
      <c r="E331" s="1">
        <v>11203</v>
      </c>
      <c r="F331" s="11">
        <f t="shared" si="13"/>
        <v>0</v>
      </c>
    </row>
    <row r="332" customHeight="1" spans="1:6">
      <c r="A332" s="11">
        <v>10329</v>
      </c>
      <c r="B332" s="11">
        <f t="shared" si="12"/>
        <v>5</v>
      </c>
      <c r="C332" s="11">
        <v>1</v>
      </c>
      <c r="D332" s="11">
        <f t="shared" si="14"/>
        <v>2</v>
      </c>
      <c r="E332" s="1">
        <v>11204</v>
      </c>
      <c r="F332" s="11">
        <f t="shared" si="13"/>
        <v>0</v>
      </c>
    </row>
    <row r="333" customHeight="1" spans="1:6">
      <c r="A333" s="11">
        <v>10330</v>
      </c>
      <c r="B333" s="11">
        <f t="shared" si="12"/>
        <v>5</v>
      </c>
      <c r="C333" s="11">
        <v>1</v>
      </c>
      <c r="D333" s="11">
        <f t="shared" si="14"/>
        <v>2</v>
      </c>
      <c r="E333" s="1">
        <v>11205</v>
      </c>
      <c r="F333" s="11">
        <f t="shared" si="13"/>
        <v>0</v>
      </c>
    </row>
    <row r="334" customHeight="1" spans="1:6">
      <c r="A334" s="11">
        <v>10331</v>
      </c>
      <c r="B334" s="11">
        <f t="shared" si="12"/>
        <v>5</v>
      </c>
      <c r="C334" s="11">
        <v>1</v>
      </c>
      <c r="D334" s="11">
        <f t="shared" si="14"/>
        <v>2</v>
      </c>
      <c r="E334" s="1">
        <v>11206</v>
      </c>
      <c r="F334" s="11">
        <f t="shared" si="13"/>
        <v>0</v>
      </c>
    </row>
    <row r="335" customHeight="1" spans="1:6">
      <c r="A335" s="11">
        <v>10332</v>
      </c>
      <c r="B335" s="11">
        <f t="shared" si="12"/>
        <v>5</v>
      </c>
      <c r="C335" s="11">
        <v>1</v>
      </c>
      <c r="D335" s="11">
        <f t="shared" si="14"/>
        <v>2</v>
      </c>
      <c r="E335" s="1">
        <v>11207</v>
      </c>
      <c r="F335" s="11">
        <f t="shared" si="13"/>
        <v>0</v>
      </c>
    </row>
    <row r="336" customHeight="1" spans="1:6">
      <c r="A336" s="11">
        <v>10333</v>
      </c>
      <c r="B336" s="11">
        <f t="shared" ref="B336:B399" si="15">B261+1</f>
        <v>5</v>
      </c>
      <c r="C336" s="11">
        <v>1</v>
      </c>
      <c r="D336" s="11">
        <f t="shared" si="14"/>
        <v>2</v>
      </c>
      <c r="E336" s="1">
        <v>11208</v>
      </c>
      <c r="F336" s="11">
        <f t="shared" si="13"/>
        <v>0</v>
      </c>
    </row>
    <row r="337" customHeight="1" spans="1:6">
      <c r="A337" s="11">
        <v>10334</v>
      </c>
      <c r="B337" s="11">
        <f t="shared" si="15"/>
        <v>5</v>
      </c>
      <c r="C337" s="11">
        <v>1</v>
      </c>
      <c r="D337" s="11">
        <f t="shared" si="14"/>
        <v>2</v>
      </c>
      <c r="E337" s="1">
        <v>11209</v>
      </c>
      <c r="F337" s="11">
        <f t="shared" si="13"/>
        <v>0</v>
      </c>
    </row>
    <row r="338" customHeight="1" spans="1:6">
      <c r="A338" s="11">
        <v>10335</v>
      </c>
      <c r="B338" s="11">
        <f t="shared" si="15"/>
        <v>5</v>
      </c>
      <c r="C338" s="11">
        <v>1</v>
      </c>
      <c r="D338" s="11">
        <f t="shared" si="14"/>
        <v>2</v>
      </c>
      <c r="E338" s="1">
        <v>11210</v>
      </c>
      <c r="F338" s="11">
        <f t="shared" si="13"/>
        <v>0</v>
      </c>
    </row>
    <row r="339" customHeight="1" spans="1:6">
      <c r="A339" s="11">
        <v>10336</v>
      </c>
      <c r="B339" s="11">
        <f t="shared" si="15"/>
        <v>5</v>
      </c>
      <c r="C339" s="11">
        <v>1</v>
      </c>
      <c r="D339" s="11">
        <f t="shared" si="14"/>
        <v>2</v>
      </c>
      <c r="E339" s="1">
        <v>11211</v>
      </c>
      <c r="F339" s="11">
        <f t="shared" si="13"/>
        <v>0</v>
      </c>
    </row>
    <row r="340" customHeight="1" spans="1:6">
      <c r="A340" s="11">
        <v>10337</v>
      </c>
      <c r="B340" s="11">
        <f t="shared" si="15"/>
        <v>5</v>
      </c>
      <c r="C340" s="11">
        <v>1</v>
      </c>
      <c r="D340" s="11">
        <f t="shared" si="14"/>
        <v>2</v>
      </c>
      <c r="E340" s="1">
        <v>11212</v>
      </c>
      <c r="F340" s="11">
        <f t="shared" si="13"/>
        <v>0</v>
      </c>
    </row>
    <row r="341" customHeight="1" spans="1:6">
      <c r="A341" s="11">
        <v>10338</v>
      </c>
      <c r="B341" s="11">
        <f t="shared" si="15"/>
        <v>5</v>
      </c>
      <c r="C341" s="11">
        <v>1</v>
      </c>
      <c r="D341" s="11">
        <f t="shared" si="14"/>
        <v>2</v>
      </c>
      <c r="E341" s="1">
        <v>11213</v>
      </c>
      <c r="F341" s="11">
        <f t="shared" si="13"/>
        <v>0</v>
      </c>
    </row>
    <row r="342" customHeight="1" spans="1:6">
      <c r="A342" s="11">
        <v>10339</v>
      </c>
      <c r="B342" s="11">
        <f t="shared" si="15"/>
        <v>5</v>
      </c>
      <c r="C342" s="11">
        <v>1</v>
      </c>
      <c r="D342" s="11">
        <f t="shared" si="14"/>
        <v>2</v>
      </c>
      <c r="E342" s="1">
        <v>11214</v>
      </c>
      <c r="F342" s="11">
        <f t="shared" si="13"/>
        <v>0</v>
      </c>
    </row>
    <row r="343" customHeight="1" spans="1:6">
      <c r="A343" s="11">
        <v>10340</v>
      </c>
      <c r="B343" s="11">
        <f t="shared" si="15"/>
        <v>5</v>
      </c>
      <c r="C343" s="11">
        <v>1</v>
      </c>
      <c r="D343" s="11">
        <f t="shared" si="14"/>
        <v>2</v>
      </c>
      <c r="E343" s="1">
        <v>11215</v>
      </c>
      <c r="F343" s="11">
        <f t="shared" si="13"/>
        <v>0</v>
      </c>
    </row>
    <row r="344" customHeight="1" spans="1:6">
      <c r="A344" s="11">
        <v>10341</v>
      </c>
      <c r="B344" s="11">
        <f t="shared" si="15"/>
        <v>5</v>
      </c>
      <c r="C344" s="11">
        <v>1</v>
      </c>
      <c r="D344" s="11">
        <f t="shared" si="14"/>
        <v>2</v>
      </c>
      <c r="E344" s="1">
        <v>11216</v>
      </c>
      <c r="F344" s="11">
        <f t="shared" si="13"/>
        <v>10</v>
      </c>
    </row>
    <row r="345" customHeight="1" spans="1:6">
      <c r="A345" s="11">
        <v>10342</v>
      </c>
      <c r="B345" s="11">
        <f t="shared" si="15"/>
        <v>5</v>
      </c>
      <c r="C345" s="11">
        <v>1</v>
      </c>
      <c r="D345" s="11">
        <f t="shared" si="14"/>
        <v>2</v>
      </c>
      <c r="E345" s="1">
        <v>11217</v>
      </c>
      <c r="F345" s="11">
        <f t="shared" si="13"/>
        <v>10</v>
      </c>
    </row>
    <row r="346" customHeight="1" spans="1:6">
      <c r="A346" s="11">
        <v>10343</v>
      </c>
      <c r="B346" s="11">
        <f t="shared" si="15"/>
        <v>5</v>
      </c>
      <c r="C346" s="11">
        <v>1</v>
      </c>
      <c r="D346" s="11">
        <f t="shared" si="14"/>
        <v>2</v>
      </c>
      <c r="E346" s="1">
        <v>11218</v>
      </c>
      <c r="F346" s="11">
        <f t="shared" si="13"/>
        <v>10</v>
      </c>
    </row>
    <row r="347" customHeight="1" spans="1:6">
      <c r="A347" s="11">
        <v>10344</v>
      </c>
      <c r="B347" s="11">
        <f t="shared" si="15"/>
        <v>5</v>
      </c>
      <c r="C347" s="11">
        <v>1</v>
      </c>
      <c r="D347" s="11">
        <f t="shared" si="14"/>
        <v>2</v>
      </c>
      <c r="E347" s="1">
        <v>11219</v>
      </c>
      <c r="F347" s="11">
        <f t="shared" si="13"/>
        <v>10</v>
      </c>
    </row>
    <row r="348" customHeight="1" spans="1:6">
      <c r="A348" s="11">
        <v>10345</v>
      </c>
      <c r="B348" s="11">
        <f t="shared" si="15"/>
        <v>5</v>
      </c>
      <c r="C348" s="11">
        <v>1</v>
      </c>
      <c r="D348" s="11">
        <f t="shared" si="14"/>
        <v>2</v>
      </c>
      <c r="E348" s="1">
        <v>11220</v>
      </c>
      <c r="F348" s="11">
        <f t="shared" si="13"/>
        <v>10</v>
      </c>
    </row>
    <row r="349" customHeight="1" spans="1:6">
      <c r="A349" s="11">
        <v>10346</v>
      </c>
      <c r="B349" s="11">
        <f t="shared" si="15"/>
        <v>5</v>
      </c>
      <c r="C349" s="11">
        <v>1</v>
      </c>
      <c r="D349" s="11">
        <f t="shared" si="14"/>
        <v>2</v>
      </c>
      <c r="E349" s="1">
        <v>11221</v>
      </c>
      <c r="F349" s="11">
        <f t="shared" si="13"/>
        <v>10</v>
      </c>
    </row>
    <row r="350" customHeight="1" spans="1:6">
      <c r="A350" s="11">
        <v>10347</v>
      </c>
      <c r="B350" s="11">
        <f t="shared" si="15"/>
        <v>5</v>
      </c>
      <c r="C350" s="11">
        <v>1</v>
      </c>
      <c r="D350" s="11">
        <f t="shared" si="14"/>
        <v>2</v>
      </c>
      <c r="E350" s="1">
        <v>11222</v>
      </c>
      <c r="F350" s="11">
        <f t="shared" si="13"/>
        <v>10</v>
      </c>
    </row>
    <row r="351" customHeight="1" spans="1:6">
      <c r="A351" s="11">
        <v>10348</v>
      </c>
      <c r="B351" s="11">
        <f t="shared" si="15"/>
        <v>5</v>
      </c>
      <c r="C351" s="11">
        <v>1</v>
      </c>
      <c r="D351" s="11">
        <f t="shared" si="14"/>
        <v>2</v>
      </c>
      <c r="E351" s="1">
        <v>11223</v>
      </c>
      <c r="F351" s="11">
        <f t="shared" si="13"/>
        <v>10</v>
      </c>
    </row>
    <row r="352" customHeight="1" spans="1:6">
      <c r="A352" s="11">
        <v>10349</v>
      </c>
      <c r="B352" s="11">
        <f t="shared" si="15"/>
        <v>5</v>
      </c>
      <c r="C352" s="11">
        <v>1</v>
      </c>
      <c r="D352" s="11">
        <f t="shared" si="14"/>
        <v>2</v>
      </c>
      <c r="E352" s="1">
        <v>11224</v>
      </c>
      <c r="F352" s="11">
        <f t="shared" si="13"/>
        <v>10</v>
      </c>
    </row>
    <row r="353" customHeight="1" spans="1:6">
      <c r="A353" s="11">
        <v>10350</v>
      </c>
      <c r="B353" s="11">
        <f t="shared" si="15"/>
        <v>5</v>
      </c>
      <c r="C353" s="11">
        <v>1</v>
      </c>
      <c r="D353" s="11">
        <f t="shared" si="14"/>
        <v>2</v>
      </c>
      <c r="E353" s="1">
        <v>11225</v>
      </c>
      <c r="F353" s="11">
        <f t="shared" si="13"/>
        <v>10</v>
      </c>
    </row>
    <row r="354" customHeight="1" spans="1:6">
      <c r="A354" s="11">
        <v>10351</v>
      </c>
      <c r="B354" s="11">
        <f t="shared" si="15"/>
        <v>5</v>
      </c>
      <c r="C354" s="11">
        <v>1</v>
      </c>
      <c r="D354" s="11">
        <f t="shared" si="14"/>
        <v>3</v>
      </c>
      <c r="E354" s="1">
        <v>11301</v>
      </c>
      <c r="F354" s="11">
        <f t="shared" si="13"/>
        <v>0</v>
      </c>
    </row>
    <row r="355" customHeight="1" spans="1:6">
      <c r="A355" s="11">
        <v>10352</v>
      </c>
      <c r="B355" s="11">
        <f t="shared" si="15"/>
        <v>5</v>
      </c>
      <c r="C355" s="11">
        <v>1</v>
      </c>
      <c r="D355" s="11">
        <f t="shared" si="14"/>
        <v>3</v>
      </c>
      <c r="E355" s="1">
        <v>11302</v>
      </c>
      <c r="F355" s="11">
        <f t="shared" si="13"/>
        <v>0</v>
      </c>
    </row>
    <row r="356" customHeight="1" spans="1:6">
      <c r="A356" s="11">
        <v>10353</v>
      </c>
      <c r="B356" s="11">
        <f t="shared" si="15"/>
        <v>5</v>
      </c>
      <c r="C356" s="11">
        <v>1</v>
      </c>
      <c r="D356" s="11">
        <f t="shared" si="14"/>
        <v>3</v>
      </c>
      <c r="E356" s="1">
        <v>11303</v>
      </c>
      <c r="F356" s="11">
        <f t="shared" si="13"/>
        <v>0</v>
      </c>
    </row>
    <row r="357" customHeight="1" spans="1:6">
      <c r="A357" s="11">
        <v>10354</v>
      </c>
      <c r="B357" s="11">
        <f t="shared" si="15"/>
        <v>5</v>
      </c>
      <c r="C357" s="11">
        <v>1</v>
      </c>
      <c r="D357" s="11">
        <f t="shared" si="14"/>
        <v>3</v>
      </c>
      <c r="E357" s="1">
        <v>11304</v>
      </c>
      <c r="F357" s="11">
        <f t="shared" si="13"/>
        <v>0</v>
      </c>
    </row>
    <row r="358" customHeight="1" spans="1:6">
      <c r="A358" s="11">
        <v>10355</v>
      </c>
      <c r="B358" s="11">
        <f t="shared" si="15"/>
        <v>5</v>
      </c>
      <c r="C358" s="11">
        <v>1</v>
      </c>
      <c r="D358" s="11">
        <f t="shared" si="14"/>
        <v>3</v>
      </c>
      <c r="E358" s="1">
        <v>11305</v>
      </c>
      <c r="F358" s="11">
        <f t="shared" si="13"/>
        <v>0</v>
      </c>
    </row>
    <row r="359" customHeight="1" spans="1:6">
      <c r="A359" s="11">
        <v>10356</v>
      </c>
      <c r="B359" s="11">
        <f t="shared" si="15"/>
        <v>5</v>
      </c>
      <c r="C359" s="11">
        <v>1</v>
      </c>
      <c r="D359" s="11">
        <f t="shared" si="14"/>
        <v>3</v>
      </c>
      <c r="E359" s="1">
        <v>11306</v>
      </c>
      <c r="F359" s="11">
        <f t="shared" si="13"/>
        <v>0</v>
      </c>
    </row>
    <row r="360" customHeight="1" spans="1:6">
      <c r="A360" s="11">
        <v>10357</v>
      </c>
      <c r="B360" s="11">
        <f t="shared" si="15"/>
        <v>5</v>
      </c>
      <c r="C360" s="11">
        <v>1</v>
      </c>
      <c r="D360" s="11">
        <f t="shared" si="14"/>
        <v>3</v>
      </c>
      <c r="E360" s="1">
        <v>11307</v>
      </c>
      <c r="F360" s="11">
        <f t="shared" si="13"/>
        <v>0</v>
      </c>
    </row>
    <row r="361" customHeight="1" spans="1:6">
      <c r="A361" s="11">
        <v>10358</v>
      </c>
      <c r="B361" s="11">
        <f t="shared" si="15"/>
        <v>5</v>
      </c>
      <c r="C361" s="11">
        <v>1</v>
      </c>
      <c r="D361" s="11">
        <f t="shared" si="14"/>
        <v>3</v>
      </c>
      <c r="E361" s="1">
        <v>11308</v>
      </c>
      <c r="F361" s="11">
        <f t="shared" si="13"/>
        <v>0</v>
      </c>
    </row>
    <row r="362" customHeight="1" spans="1:6">
      <c r="A362" s="11">
        <v>10359</v>
      </c>
      <c r="B362" s="11">
        <f t="shared" si="15"/>
        <v>5</v>
      </c>
      <c r="C362" s="11">
        <v>1</v>
      </c>
      <c r="D362" s="11">
        <f t="shared" si="14"/>
        <v>3</v>
      </c>
      <c r="E362" s="1">
        <v>11309</v>
      </c>
      <c r="F362" s="11">
        <f t="shared" si="13"/>
        <v>0</v>
      </c>
    </row>
    <row r="363" customHeight="1" spans="1:6">
      <c r="A363" s="11">
        <v>10360</v>
      </c>
      <c r="B363" s="11">
        <f t="shared" si="15"/>
        <v>5</v>
      </c>
      <c r="C363" s="11">
        <v>1</v>
      </c>
      <c r="D363" s="11">
        <f t="shared" si="14"/>
        <v>3</v>
      </c>
      <c r="E363" s="1">
        <v>11310</v>
      </c>
      <c r="F363" s="11">
        <f t="shared" si="13"/>
        <v>0</v>
      </c>
    </row>
    <row r="364" customHeight="1" spans="1:6">
      <c r="A364" s="11">
        <v>10361</v>
      </c>
      <c r="B364" s="11">
        <f t="shared" si="15"/>
        <v>5</v>
      </c>
      <c r="C364" s="11">
        <v>1</v>
      </c>
      <c r="D364" s="11">
        <f t="shared" si="14"/>
        <v>3</v>
      </c>
      <c r="E364" s="1">
        <v>11311</v>
      </c>
      <c r="F364" s="11">
        <f t="shared" si="13"/>
        <v>0</v>
      </c>
    </row>
    <row r="365" customHeight="1" spans="1:6">
      <c r="A365" s="11">
        <v>10362</v>
      </c>
      <c r="B365" s="11">
        <f t="shared" si="15"/>
        <v>5</v>
      </c>
      <c r="C365" s="11">
        <v>1</v>
      </c>
      <c r="D365" s="11">
        <f t="shared" si="14"/>
        <v>3</v>
      </c>
      <c r="E365" s="1">
        <v>11312</v>
      </c>
      <c r="F365" s="11">
        <f t="shared" si="13"/>
        <v>0</v>
      </c>
    </row>
    <row r="366" customHeight="1" spans="1:6">
      <c r="A366" s="11">
        <v>10363</v>
      </c>
      <c r="B366" s="11">
        <f t="shared" si="15"/>
        <v>5</v>
      </c>
      <c r="C366" s="11">
        <v>1</v>
      </c>
      <c r="D366" s="11">
        <f t="shared" si="14"/>
        <v>3</v>
      </c>
      <c r="E366" s="1">
        <v>11313</v>
      </c>
      <c r="F366" s="11">
        <f t="shared" si="13"/>
        <v>0</v>
      </c>
    </row>
    <row r="367" customHeight="1" spans="1:6">
      <c r="A367" s="11">
        <v>10364</v>
      </c>
      <c r="B367" s="11">
        <f t="shared" si="15"/>
        <v>5</v>
      </c>
      <c r="C367" s="11">
        <v>1</v>
      </c>
      <c r="D367" s="11">
        <f t="shared" si="14"/>
        <v>3</v>
      </c>
      <c r="E367" s="1">
        <v>11314</v>
      </c>
      <c r="F367" s="11">
        <f t="shared" si="13"/>
        <v>0</v>
      </c>
    </row>
    <row r="368" customHeight="1" spans="1:6">
      <c r="A368" s="11">
        <v>10365</v>
      </c>
      <c r="B368" s="11">
        <f t="shared" si="15"/>
        <v>5</v>
      </c>
      <c r="C368" s="11">
        <v>1</v>
      </c>
      <c r="D368" s="11">
        <f t="shared" si="14"/>
        <v>3</v>
      </c>
      <c r="E368" s="1">
        <v>11315</v>
      </c>
      <c r="F368" s="11">
        <f t="shared" si="13"/>
        <v>0</v>
      </c>
    </row>
    <row r="369" customHeight="1" spans="1:6">
      <c r="A369" s="11">
        <v>10366</v>
      </c>
      <c r="B369" s="11">
        <f t="shared" si="15"/>
        <v>5</v>
      </c>
      <c r="C369" s="11">
        <v>1</v>
      </c>
      <c r="D369" s="11">
        <f t="shared" si="14"/>
        <v>3</v>
      </c>
      <c r="E369" s="1">
        <v>11316</v>
      </c>
      <c r="F369" s="11">
        <f t="shared" si="13"/>
        <v>10</v>
      </c>
    </row>
    <row r="370" customHeight="1" spans="1:6">
      <c r="A370" s="11">
        <v>10367</v>
      </c>
      <c r="B370" s="11">
        <f t="shared" si="15"/>
        <v>5</v>
      </c>
      <c r="C370" s="11">
        <v>1</v>
      </c>
      <c r="D370" s="11">
        <f t="shared" si="14"/>
        <v>3</v>
      </c>
      <c r="E370" s="1">
        <v>11317</v>
      </c>
      <c r="F370" s="11">
        <f t="shared" si="13"/>
        <v>10</v>
      </c>
    </row>
    <row r="371" customHeight="1" spans="1:6">
      <c r="A371" s="11">
        <v>10368</v>
      </c>
      <c r="B371" s="11">
        <f t="shared" si="15"/>
        <v>5</v>
      </c>
      <c r="C371" s="11">
        <v>1</v>
      </c>
      <c r="D371" s="11">
        <f t="shared" si="14"/>
        <v>3</v>
      </c>
      <c r="E371" s="1">
        <v>11318</v>
      </c>
      <c r="F371" s="11">
        <f t="shared" si="13"/>
        <v>10</v>
      </c>
    </row>
    <row r="372" customHeight="1" spans="1:6">
      <c r="A372" s="11">
        <v>10369</v>
      </c>
      <c r="B372" s="11">
        <f t="shared" si="15"/>
        <v>5</v>
      </c>
      <c r="C372" s="11">
        <v>1</v>
      </c>
      <c r="D372" s="11">
        <f t="shared" si="14"/>
        <v>3</v>
      </c>
      <c r="E372" s="1">
        <v>11319</v>
      </c>
      <c r="F372" s="11">
        <f t="shared" si="13"/>
        <v>10</v>
      </c>
    </row>
    <row r="373" customHeight="1" spans="1:6">
      <c r="A373" s="11">
        <v>10370</v>
      </c>
      <c r="B373" s="11">
        <f t="shared" si="15"/>
        <v>5</v>
      </c>
      <c r="C373" s="11">
        <v>1</v>
      </c>
      <c r="D373" s="11">
        <f t="shared" si="14"/>
        <v>3</v>
      </c>
      <c r="E373" s="1">
        <v>11320</v>
      </c>
      <c r="F373" s="11">
        <f t="shared" si="13"/>
        <v>10</v>
      </c>
    </row>
    <row r="374" customHeight="1" spans="1:6">
      <c r="A374" s="11">
        <v>10371</v>
      </c>
      <c r="B374" s="11">
        <f t="shared" si="15"/>
        <v>5</v>
      </c>
      <c r="C374" s="11">
        <v>1</v>
      </c>
      <c r="D374" s="11">
        <f t="shared" si="14"/>
        <v>3</v>
      </c>
      <c r="E374" s="1">
        <v>11321</v>
      </c>
      <c r="F374" s="11">
        <f t="shared" si="13"/>
        <v>10</v>
      </c>
    </row>
    <row r="375" customHeight="1" spans="1:6">
      <c r="A375" s="11">
        <v>10372</v>
      </c>
      <c r="B375" s="11">
        <f t="shared" si="15"/>
        <v>5</v>
      </c>
      <c r="C375" s="11">
        <v>1</v>
      </c>
      <c r="D375" s="11">
        <f t="shared" si="14"/>
        <v>3</v>
      </c>
      <c r="E375" s="1">
        <v>11322</v>
      </c>
      <c r="F375" s="11">
        <f t="shared" si="13"/>
        <v>10</v>
      </c>
    </row>
    <row r="376" customHeight="1" spans="1:6">
      <c r="A376" s="11">
        <v>10373</v>
      </c>
      <c r="B376" s="11">
        <f t="shared" si="15"/>
        <v>5</v>
      </c>
      <c r="C376" s="11">
        <v>1</v>
      </c>
      <c r="D376" s="11">
        <f t="shared" si="14"/>
        <v>3</v>
      </c>
      <c r="E376" s="1">
        <v>11323</v>
      </c>
      <c r="F376" s="11">
        <f t="shared" si="13"/>
        <v>10</v>
      </c>
    </row>
    <row r="377" customHeight="1" spans="1:6">
      <c r="A377" s="11">
        <v>10374</v>
      </c>
      <c r="B377" s="11">
        <f t="shared" si="15"/>
        <v>5</v>
      </c>
      <c r="C377" s="11">
        <v>1</v>
      </c>
      <c r="D377" s="11">
        <f t="shared" si="14"/>
        <v>3</v>
      </c>
      <c r="E377" s="1">
        <v>11324</v>
      </c>
      <c r="F377" s="11">
        <f t="shared" si="13"/>
        <v>10</v>
      </c>
    </row>
    <row r="378" customHeight="1" spans="1:6">
      <c r="A378" s="11">
        <v>10375</v>
      </c>
      <c r="B378" s="11">
        <f t="shared" si="15"/>
        <v>5</v>
      </c>
      <c r="C378" s="11">
        <v>1</v>
      </c>
      <c r="D378" s="11">
        <f t="shared" si="14"/>
        <v>3</v>
      </c>
      <c r="E378" s="1">
        <v>11325</v>
      </c>
      <c r="F378" s="11">
        <f t="shared" si="13"/>
        <v>10</v>
      </c>
    </row>
    <row r="379" customHeight="1" spans="1:6">
      <c r="A379" s="11">
        <v>10376</v>
      </c>
      <c r="B379" s="11">
        <f t="shared" si="15"/>
        <v>6</v>
      </c>
      <c r="C379" s="11">
        <v>1</v>
      </c>
      <c r="D379" s="11">
        <v>1</v>
      </c>
      <c r="E379" s="1">
        <v>11101</v>
      </c>
      <c r="F379" s="11">
        <f t="shared" si="13"/>
        <v>0</v>
      </c>
    </row>
    <row r="380" customHeight="1" spans="1:6">
      <c r="A380" s="11">
        <v>10377</v>
      </c>
      <c r="B380" s="11">
        <f t="shared" si="15"/>
        <v>6</v>
      </c>
      <c r="C380" s="11">
        <v>1</v>
      </c>
      <c r="D380" s="11">
        <v>1</v>
      </c>
      <c r="E380" s="1">
        <v>11102</v>
      </c>
      <c r="F380" s="11">
        <f t="shared" si="13"/>
        <v>0</v>
      </c>
    </row>
    <row r="381" customHeight="1" spans="1:6">
      <c r="A381" s="11">
        <v>10378</v>
      </c>
      <c r="B381" s="11">
        <f t="shared" si="15"/>
        <v>6</v>
      </c>
      <c r="C381" s="11">
        <v>1</v>
      </c>
      <c r="D381" s="11">
        <v>1</v>
      </c>
      <c r="E381" s="1">
        <v>11103</v>
      </c>
      <c r="F381" s="11">
        <f t="shared" si="13"/>
        <v>0</v>
      </c>
    </row>
    <row r="382" customHeight="1" spans="1:6">
      <c r="A382" s="11">
        <v>10379</v>
      </c>
      <c r="B382" s="11">
        <f t="shared" si="15"/>
        <v>6</v>
      </c>
      <c r="C382" s="11">
        <v>1</v>
      </c>
      <c r="D382" s="11">
        <v>1</v>
      </c>
      <c r="E382" s="1">
        <v>11104</v>
      </c>
      <c r="F382" s="11">
        <f t="shared" si="13"/>
        <v>0</v>
      </c>
    </row>
    <row r="383" customHeight="1" spans="1:6">
      <c r="A383" s="11">
        <v>10380</v>
      </c>
      <c r="B383" s="11">
        <f t="shared" si="15"/>
        <v>6</v>
      </c>
      <c r="C383" s="11">
        <v>1</v>
      </c>
      <c r="D383" s="11">
        <v>1</v>
      </c>
      <c r="E383" s="1">
        <v>11105</v>
      </c>
      <c r="F383" s="11">
        <f t="shared" si="13"/>
        <v>0</v>
      </c>
    </row>
    <row r="384" customHeight="1" spans="1:6">
      <c r="A384" s="11">
        <v>10381</v>
      </c>
      <c r="B384" s="11">
        <f t="shared" si="15"/>
        <v>6</v>
      </c>
      <c r="C384" s="11">
        <v>1</v>
      </c>
      <c r="D384" s="11">
        <v>1</v>
      </c>
      <c r="E384" s="1">
        <v>11106</v>
      </c>
      <c r="F384" s="11">
        <f t="shared" si="13"/>
        <v>0</v>
      </c>
    </row>
    <row r="385" customHeight="1" spans="1:6">
      <c r="A385" s="11">
        <v>10382</v>
      </c>
      <c r="B385" s="11">
        <f t="shared" si="15"/>
        <v>6</v>
      </c>
      <c r="C385" s="11">
        <v>1</v>
      </c>
      <c r="D385" s="11">
        <v>1</v>
      </c>
      <c r="E385" s="1">
        <v>11107</v>
      </c>
      <c r="F385" s="11">
        <f t="shared" si="13"/>
        <v>0</v>
      </c>
    </row>
    <row r="386" customHeight="1" spans="1:6">
      <c r="A386" s="11">
        <v>10383</v>
      </c>
      <c r="B386" s="11">
        <f t="shared" si="15"/>
        <v>6</v>
      </c>
      <c r="C386" s="11">
        <v>1</v>
      </c>
      <c r="D386" s="11">
        <v>1</v>
      </c>
      <c r="E386" s="1">
        <v>11108</v>
      </c>
      <c r="F386" s="11">
        <f t="shared" si="13"/>
        <v>0</v>
      </c>
    </row>
    <row r="387" customHeight="1" spans="1:6">
      <c r="A387" s="11">
        <v>10384</v>
      </c>
      <c r="B387" s="11">
        <f t="shared" si="15"/>
        <v>6</v>
      </c>
      <c r="C387" s="11">
        <v>1</v>
      </c>
      <c r="D387" s="11">
        <v>1</v>
      </c>
      <c r="E387" s="1">
        <v>11109</v>
      </c>
      <c r="F387" s="11">
        <f t="shared" si="13"/>
        <v>0</v>
      </c>
    </row>
    <row r="388" customHeight="1" spans="1:6">
      <c r="A388" s="11">
        <v>10385</v>
      </c>
      <c r="B388" s="11">
        <f t="shared" si="15"/>
        <v>6</v>
      </c>
      <c r="C388" s="11">
        <v>1</v>
      </c>
      <c r="D388" s="11">
        <v>1</v>
      </c>
      <c r="E388" s="1">
        <v>11110</v>
      </c>
      <c r="F388" s="11">
        <f t="shared" si="13"/>
        <v>0</v>
      </c>
    </row>
    <row r="389" customHeight="1" spans="1:6">
      <c r="A389" s="11">
        <v>10386</v>
      </c>
      <c r="B389" s="11">
        <f t="shared" si="15"/>
        <v>6</v>
      </c>
      <c r="C389" s="11">
        <v>1</v>
      </c>
      <c r="D389" s="11">
        <v>1</v>
      </c>
      <c r="E389" s="1">
        <v>11111</v>
      </c>
      <c r="F389" s="11">
        <f t="shared" ref="F389:F452" si="16">VLOOKUP(RIGHT(E389,2)*1,$J$4:$Q$29,B389+1,0)</f>
        <v>0</v>
      </c>
    </row>
    <row r="390" customHeight="1" spans="1:6">
      <c r="A390" s="11">
        <v>10387</v>
      </c>
      <c r="B390" s="11">
        <f t="shared" si="15"/>
        <v>6</v>
      </c>
      <c r="C390" s="11">
        <v>1</v>
      </c>
      <c r="D390" s="11">
        <v>1</v>
      </c>
      <c r="E390" s="1">
        <v>11112</v>
      </c>
      <c r="F390" s="11">
        <f t="shared" si="16"/>
        <v>0</v>
      </c>
    </row>
    <row r="391" customHeight="1" spans="1:6">
      <c r="A391" s="11">
        <v>10388</v>
      </c>
      <c r="B391" s="11">
        <f t="shared" si="15"/>
        <v>6</v>
      </c>
      <c r="C391" s="11">
        <v>1</v>
      </c>
      <c r="D391" s="11">
        <v>1</v>
      </c>
      <c r="E391" s="1">
        <v>11113</v>
      </c>
      <c r="F391" s="11">
        <f t="shared" si="16"/>
        <v>0</v>
      </c>
    </row>
    <row r="392" customHeight="1" spans="1:6">
      <c r="A392" s="11">
        <v>10389</v>
      </c>
      <c r="B392" s="11">
        <f t="shared" si="15"/>
        <v>6</v>
      </c>
      <c r="C392" s="11">
        <v>1</v>
      </c>
      <c r="D392" s="11">
        <v>1</v>
      </c>
      <c r="E392" s="1">
        <v>11114</v>
      </c>
      <c r="F392" s="11">
        <f t="shared" si="16"/>
        <v>0</v>
      </c>
    </row>
    <row r="393" customHeight="1" spans="1:6">
      <c r="A393" s="11">
        <v>10390</v>
      </c>
      <c r="B393" s="11">
        <f t="shared" si="15"/>
        <v>6</v>
      </c>
      <c r="C393" s="11">
        <v>1</v>
      </c>
      <c r="D393" s="11">
        <v>1</v>
      </c>
      <c r="E393" s="1">
        <v>11115</v>
      </c>
      <c r="F393" s="11">
        <f t="shared" si="16"/>
        <v>0</v>
      </c>
    </row>
    <row r="394" customHeight="1" spans="1:6">
      <c r="A394" s="11">
        <v>10391</v>
      </c>
      <c r="B394" s="11">
        <f t="shared" si="15"/>
        <v>6</v>
      </c>
      <c r="C394" s="11">
        <v>1</v>
      </c>
      <c r="D394" s="11">
        <v>1</v>
      </c>
      <c r="E394" s="1">
        <v>11116</v>
      </c>
      <c r="F394" s="11">
        <f t="shared" si="16"/>
        <v>10</v>
      </c>
    </row>
    <row r="395" customHeight="1" spans="1:6">
      <c r="A395" s="11">
        <v>10392</v>
      </c>
      <c r="B395" s="11">
        <f t="shared" si="15"/>
        <v>6</v>
      </c>
      <c r="C395" s="11">
        <v>1</v>
      </c>
      <c r="D395" s="11">
        <v>1</v>
      </c>
      <c r="E395" s="1">
        <v>11117</v>
      </c>
      <c r="F395" s="11">
        <f t="shared" si="16"/>
        <v>10</v>
      </c>
    </row>
    <row r="396" customHeight="1" spans="1:6">
      <c r="A396" s="11">
        <v>10393</v>
      </c>
      <c r="B396" s="11">
        <f t="shared" si="15"/>
        <v>6</v>
      </c>
      <c r="C396" s="11">
        <v>1</v>
      </c>
      <c r="D396" s="11">
        <v>1</v>
      </c>
      <c r="E396" s="1">
        <v>11118</v>
      </c>
      <c r="F396" s="11">
        <f t="shared" si="16"/>
        <v>10</v>
      </c>
    </row>
    <row r="397" customHeight="1" spans="1:6">
      <c r="A397" s="11">
        <v>10394</v>
      </c>
      <c r="B397" s="11">
        <f t="shared" si="15"/>
        <v>6</v>
      </c>
      <c r="C397" s="11">
        <v>1</v>
      </c>
      <c r="D397" s="11">
        <v>1</v>
      </c>
      <c r="E397" s="1">
        <v>11119</v>
      </c>
      <c r="F397" s="11">
        <f t="shared" si="16"/>
        <v>10</v>
      </c>
    </row>
    <row r="398" customHeight="1" spans="1:6">
      <c r="A398" s="11">
        <v>10395</v>
      </c>
      <c r="B398" s="11">
        <f t="shared" si="15"/>
        <v>6</v>
      </c>
      <c r="C398" s="11">
        <v>1</v>
      </c>
      <c r="D398" s="11">
        <v>1</v>
      </c>
      <c r="E398" s="1">
        <v>11120</v>
      </c>
      <c r="F398" s="11">
        <f t="shared" si="16"/>
        <v>10</v>
      </c>
    </row>
    <row r="399" customHeight="1" spans="1:6">
      <c r="A399" s="11">
        <v>10396</v>
      </c>
      <c r="B399" s="11">
        <f t="shared" si="15"/>
        <v>6</v>
      </c>
      <c r="C399" s="11">
        <v>1</v>
      </c>
      <c r="D399" s="11">
        <v>1</v>
      </c>
      <c r="E399" s="1">
        <v>11121</v>
      </c>
      <c r="F399" s="11">
        <f t="shared" si="16"/>
        <v>10</v>
      </c>
    </row>
    <row r="400" customHeight="1" spans="1:6">
      <c r="A400" s="11">
        <v>10397</v>
      </c>
      <c r="B400" s="11">
        <f t="shared" ref="B400:B463" si="17">B325+1</f>
        <v>6</v>
      </c>
      <c r="C400" s="11">
        <v>1</v>
      </c>
      <c r="D400" s="11">
        <v>1</v>
      </c>
      <c r="E400" s="1">
        <v>11122</v>
      </c>
      <c r="F400" s="11">
        <f t="shared" si="16"/>
        <v>10</v>
      </c>
    </row>
    <row r="401" customHeight="1" spans="1:6">
      <c r="A401" s="11">
        <v>10398</v>
      </c>
      <c r="B401" s="11">
        <f t="shared" si="17"/>
        <v>6</v>
      </c>
      <c r="C401" s="11">
        <v>1</v>
      </c>
      <c r="D401" s="11">
        <v>1</v>
      </c>
      <c r="E401" s="1">
        <v>11123</v>
      </c>
      <c r="F401" s="11">
        <f t="shared" si="16"/>
        <v>10</v>
      </c>
    </row>
    <row r="402" customHeight="1" spans="1:6">
      <c r="A402" s="11">
        <v>10399</v>
      </c>
      <c r="B402" s="11">
        <f t="shared" si="17"/>
        <v>6</v>
      </c>
      <c r="C402" s="11">
        <v>1</v>
      </c>
      <c r="D402" s="11">
        <v>1</v>
      </c>
      <c r="E402" s="1">
        <v>11124</v>
      </c>
      <c r="F402" s="11">
        <f t="shared" si="16"/>
        <v>10</v>
      </c>
    </row>
    <row r="403" customHeight="1" spans="1:6">
      <c r="A403" s="11">
        <v>10400</v>
      </c>
      <c r="B403" s="11">
        <f t="shared" si="17"/>
        <v>6</v>
      </c>
      <c r="C403" s="11">
        <v>1</v>
      </c>
      <c r="D403" s="11">
        <v>1</v>
      </c>
      <c r="E403" s="1">
        <v>11125</v>
      </c>
      <c r="F403" s="11">
        <f t="shared" si="16"/>
        <v>10</v>
      </c>
    </row>
    <row r="404" customHeight="1" spans="1:6">
      <c r="A404" s="11">
        <v>10401</v>
      </c>
      <c r="B404" s="11">
        <f t="shared" si="17"/>
        <v>6</v>
      </c>
      <c r="C404" s="11">
        <v>1</v>
      </c>
      <c r="D404" s="11">
        <f>D379+1</f>
        <v>2</v>
      </c>
      <c r="E404" s="1">
        <v>11201</v>
      </c>
      <c r="F404" s="11">
        <f t="shared" si="16"/>
        <v>0</v>
      </c>
    </row>
    <row r="405" customHeight="1" spans="1:6">
      <c r="A405" s="11">
        <v>10402</v>
      </c>
      <c r="B405" s="11">
        <f t="shared" si="17"/>
        <v>6</v>
      </c>
      <c r="C405" s="11">
        <v>1</v>
      </c>
      <c r="D405" s="11">
        <f t="shared" ref="D405:D453" si="18">D380+1</f>
        <v>2</v>
      </c>
      <c r="E405" s="1">
        <v>11202</v>
      </c>
      <c r="F405" s="11">
        <f t="shared" si="16"/>
        <v>0</v>
      </c>
    </row>
    <row r="406" customHeight="1" spans="1:6">
      <c r="A406" s="11">
        <v>10403</v>
      </c>
      <c r="B406" s="11">
        <f t="shared" si="17"/>
        <v>6</v>
      </c>
      <c r="C406" s="11">
        <v>1</v>
      </c>
      <c r="D406" s="11">
        <f t="shared" si="18"/>
        <v>2</v>
      </c>
      <c r="E406" s="1">
        <v>11203</v>
      </c>
      <c r="F406" s="11">
        <f t="shared" si="16"/>
        <v>0</v>
      </c>
    </row>
    <row r="407" customHeight="1" spans="1:6">
      <c r="A407" s="11">
        <v>10404</v>
      </c>
      <c r="B407" s="11">
        <f t="shared" si="17"/>
        <v>6</v>
      </c>
      <c r="C407" s="11">
        <v>1</v>
      </c>
      <c r="D407" s="11">
        <f t="shared" si="18"/>
        <v>2</v>
      </c>
      <c r="E407" s="1">
        <v>11204</v>
      </c>
      <c r="F407" s="11">
        <f t="shared" si="16"/>
        <v>0</v>
      </c>
    </row>
    <row r="408" customHeight="1" spans="1:6">
      <c r="A408" s="11">
        <v>10405</v>
      </c>
      <c r="B408" s="11">
        <f t="shared" si="17"/>
        <v>6</v>
      </c>
      <c r="C408" s="11">
        <v>1</v>
      </c>
      <c r="D408" s="11">
        <f t="shared" si="18"/>
        <v>2</v>
      </c>
      <c r="E408" s="1">
        <v>11205</v>
      </c>
      <c r="F408" s="11">
        <f t="shared" si="16"/>
        <v>0</v>
      </c>
    </row>
    <row r="409" customHeight="1" spans="1:6">
      <c r="A409" s="11">
        <v>10406</v>
      </c>
      <c r="B409" s="11">
        <f t="shared" si="17"/>
        <v>6</v>
      </c>
      <c r="C409" s="11">
        <v>1</v>
      </c>
      <c r="D409" s="11">
        <f t="shared" si="18"/>
        <v>2</v>
      </c>
      <c r="E409" s="1">
        <v>11206</v>
      </c>
      <c r="F409" s="11">
        <f t="shared" si="16"/>
        <v>0</v>
      </c>
    </row>
    <row r="410" customHeight="1" spans="1:6">
      <c r="A410" s="11">
        <v>10407</v>
      </c>
      <c r="B410" s="11">
        <f t="shared" si="17"/>
        <v>6</v>
      </c>
      <c r="C410" s="11">
        <v>1</v>
      </c>
      <c r="D410" s="11">
        <f t="shared" si="18"/>
        <v>2</v>
      </c>
      <c r="E410" s="1">
        <v>11207</v>
      </c>
      <c r="F410" s="11">
        <f t="shared" si="16"/>
        <v>0</v>
      </c>
    </row>
    <row r="411" customHeight="1" spans="1:6">
      <c r="A411" s="11">
        <v>10408</v>
      </c>
      <c r="B411" s="11">
        <f t="shared" si="17"/>
        <v>6</v>
      </c>
      <c r="C411" s="11">
        <v>1</v>
      </c>
      <c r="D411" s="11">
        <f t="shared" si="18"/>
        <v>2</v>
      </c>
      <c r="E411" s="1">
        <v>11208</v>
      </c>
      <c r="F411" s="11">
        <f t="shared" si="16"/>
        <v>0</v>
      </c>
    </row>
    <row r="412" customHeight="1" spans="1:6">
      <c r="A412" s="11">
        <v>10409</v>
      </c>
      <c r="B412" s="11">
        <f t="shared" si="17"/>
        <v>6</v>
      </c>
      <c r="C412" s="11">
        <v>1</v>
      </c>
      <c r="D412" s="11">
        <f t="shared" si="18"/>
        <v>2</v>
      </c>
      <c r="E412" s="1">
        <v>11209</v>
      </c>
      <c r="F412" s="11">
        <f t="shared" si="16"/>
        <v>0</v>
      </c>
    </row>
    <row r="413" customHeight="1" spans="1:6">
      <c r="A413" s="11">
        <v>10410</v>
      </c>
      <c r="B413" s="11">
        <f t="shared" si="17"/>
        <v>6</v>
      </c>
      <c r="C413" s="11">
        <v>1</v>
      </c>
      <c r="D413" s="11">
        <f t="shared" si="18"/>
        <v>2</v>
      </c>
      <c r="E413" s="1">
        <v>11210</v>
      </c>
      <c r="F413" s="11">
        <f t="shared" si="16"/>
        <v>0</v>
      </c>
    </row>
    <row r="414" customHeight="1" spans="1:6">
      <c r="A414" s="11">
        <v>10411</v>
      </c>
      <c r="B414" s="11">
        <f t="shared" si="17"/>
        <v>6</v>
      </c>
      <c r="C414" s="11">
        <v>1</v>
      </c>
      <c r="D414" s="11">
        <f t="shared" si="18"/>
        <v>2</v>
      </c>
      <c r="E414" s="1">
        <v>11211</v>
      </c>
      <c r="F414" s="11">
        <f t="shared" si="16"/>
        <v>0</v>
      </c>
    </row>
    <row r="415" customHeight="1" spans="1:6">
      <c r="A415" s="11">
        <v>10412</v>
      </c>
      <c r="B415" s="11">
        <f t="shared" si="17"/>
        <v>6</v>
      </c>
      <c r="C415" s="11">
        <v>1</v>
      </c>
      <c r="D415" s="11">
        <f t="shared" si="18"/>
        <v>2</v>
      </c>
      <c r="E415" s="1">
        <v>11212</v>
      </c>
      <c r="F415" s="11">
        <f t="shared" si="16"/>
        <v>0</v>
      </c>
    </row>
    <row r="416" customHeight="1" spans="1:6">
      <c r="A416" s="11">
        <v>10413</v>
      </c>
      <c r="B416" s="11">
        <f t="shared" si="17"/>
        <v>6</v>
      </c>
      <c r="C416" s="11">
        <v>1</v>
      </c>
      <c r="D416" s="11">
        <f t="shared" si="18"/>
        <v>2</v>
      </c>
      <c r="E416" s="1">
        <v>11213</v>
      </c>
      <c r="F416" s="11">
        <f t="shared" si="16"/>
        <v>0</v>
      </c>
    </row>
    <row r="417" customHeight="1" spans="1:6">
      <c r="A417" s="11">
        <v>10414</v>
      </c>
      <c r="B417" s="11">
        <f t="shared" si="17"/>
        <v>6</v>
      </c>
      <c r="C417" s="11">
        <v>1</v>
      </c>
      <c r="D417" s="11">
        <f t="shared" si="18"/>
        <v>2</v>
      </c>
      <c r="E417" s="1">
        <v>11214</v>
      </c>
      <c r="F417" s="11">
        <f t="shared" si="16"/>
        <v>0</v>
      </c>
    </row>
    <row r="418" customHeight="1" spans="1:6">
      <c r="A418" s="11">
        <v>10415</v>
      </c>
      <c r="B418" s="11">
        <f t="shared" si="17"/>
        <v>6</v>
      </c>
      <c r="C418" s="11">
        <v>1</v>
      </c>
      <c r="D418" s="11">
        <f t="shared" si="18"/>
        <v>2</v>
      </c>
      <c r="E418" s="1">
        <v>11215</v>
      </c>
      <c r="F418" s="11">
        <f t="shared" si="16"/>
        <v>0</v>
      </c>
    </row>
    <row r="419" customHeight="1" spans="1:6">
      <c r="A419" s="11">
        <v>10416</v>
      </c>
      <c r="B419" s="11">
        <f t="shared" si="17"/>
        <v>6</v>
      </c>
      <c r="C419" s="11">
        <v>1</v>
      </c>
      <c r="D419" s="11">
        <f t="shared" si="18"/>
        <v>2</v>
      </c>
      <c r="E419" s="1">
        <v>11216</v>
      </c>
      <c r="F419" s="11">
        <f t="shared" si="16"/>
        <v>10</v>
      </c>
    </row>
    <row r="420" customHeight="1" spans="1:6">
      <c r="A420" s="11">
        <v>10417</v>
      </c>
      <c r="B420" s="11">
        <f t="shared" si="17"/>
        <v>6</v>
      </c>
      <c r="C420" s="11">
        <v>1</v>
      </c>
      <c r="D420" s="11">
        <f t="shared" si="18"/>
        <v>2</v>
      </c>
      <c r="E420" s="1">
        <v>11217</v>
      </c>
      <c r="F420" s="11">
        <f t="shared" si="16"/>
        <v>10</v>
      </c>
    </row>
    <row r="421" customHeight="1" spans="1:6">
      <c r="A421" s="11">
        <v>10418</v>
      </c>
      <c r="B421" s="11">
        <f t="shared" si="17"/>
        <v>6</v>
      </c>
      <c r="C421" s="11">
        <v>1</v>
      </c>
      <c r="D421" s="11">
        <f t="shared" si="18"/>
        <v>2</v>
      </c>
      <c r="E421" s="1">
        <v>11218</v>
      </c>
      <c r="F421" s="11">
        <f t="shared" si="16"/>
        <v>10</v>
      </c>
    </row>
    <row r="422" customHeight="1" spans="1:6">
      <c r="A422" s="11">
        <v>10419</v>
      </c>
      <c r="B422" s="11">
        <f t="shared" si="17"/>
        <v>6</v>
      </c>
      <c r="C422" s="11">
        <v>1</v>
      </c>
      <c r="D422" s="11">
        <f t="shared" si="18"/>
        <v>2</v>
      </c>
      <c r="E422" s="1">
        <v>11219</v>
      </c>
      <c r="F422" s="11">
        <f t="shared" si="16"/>
        <v>10</v>
      </c>
    </row>
    <row r="423" customHeight="1" spans="1:6">
      <c r="A423" s="11">
        <v>10420</v>
      </c>
      <c r="B423" s="11">
        <f t="shared" si="17"/>
        <v>6</v>
      </c>
      <c r="C423" s="11">
        <v>1</v>
      </c>
      <c r="D423" s="11">
        <f t="shared" si="18"/>
        <v>2</v>
      </c>
      <c r="E423" s="1">
        <v>11220</v>
      </c>
      <c r="F423" s="11">
        <f t="shared" si="16"/>
        <v>10</v>
      </c>
    </row>
    <row r="424" customHeight="1" spans="1:6">
      <c r="A424" s="11">
        <v>10421</v>
      </c>
      <c r="B424" s="11">
        <f t="shared" si="17"/>
        <v>6</v>
      </c>
      <c r="C424" s="11">
        <v>1</v>
      </c>
      <c r="D424" s="11">
        <f t="shared" si="18"/>
        <v>2</v>
      </c>
      <c r="E424" s="1">
        <v>11221</v>
      </c>
      <c r="F424" s="11">
        <f t="shared" si="16"/>
        <v>10</v>
      </c>
    </row>
    <row r="425" customHeight="1" spans="1:6">
      <c r="A425" s="11">
        <v>10422</v>
      </c>
      <c r="B425" s="11">
        <f t="shared" si="17"/>
        <v>6</v>
      </c>
      <c r="C425" s="11">
        <v>1</v>
      </c>
      <c r="D425" s="11">
        <f t="shared" si="18"/>
        <v>2</v>
      </c>
      <c r="E425" s="1">
        <v>11222</v>
      </c>
      <c r="F425" s="11">
        <f t="shared" si="16"/>
        <v>10</v>
      </c>
    </row>
    <row r="426" customHeight="1" spans="1:6">
      <c r="A426" s="11">
        <v>10423</v>
      </c>
      <c r="B426" s="11">
        <f t="shared" si="17"/>
        <v>6</v>
      </c>
      <c r="C426" s="11">
        <v>1</v>
      </c>
      <c r="D426" s="11">
        <f t="shared" si="18"/>
        <v>2</v>
      </c>
      <c r="E426" s="1">
        <v>11223</v>
      </c>
      <c r="F426" s="11">
        <f t="shared" si="16"/>
        <v>10</v>
      </c>
    </row>
    <row r="427" customHeight="1" spans="1:6">
      <c r="A427" s="11">
        <v>10424</v>
      </c>
      <c r="B427" s="11">
        <f t="shared" si="17"/>
        <v>6</v>
      </c>
      <c r="C427" s="11">
        <v>1</v>
      </c>
      <c r="D427" s="11">
        <f t="shared" si="18"/>
        <v>2</v>
      </c>
      <c r="E427" s="1">
        <v>11224</v>
      </c>
      <c r="F427" s="11">
        <f t="shared" si="16"/>
        <v>10</v>
      </c>
    </row>
    <row r="428" customHeight="1" spans="1:6">
      <c r="A428" s="11">
        <v>10425</v>
      </c>
      <c r="B428" s="11">
        <f t="shared" si="17"/>
        <v>6</v>
      </c>
      <c r="C428" s="11">
        <v>1</v>
      </c>
      <c r="D428" s="11">
        <f t="shared" si="18"/>
        <v>2</v>
      </c>
      <c r="E428" s="1">
        <v>11225</v>
      </c>
      <c r="F428" s="11">
        <f t="shared" si="16"/>
        <v>10</v>
      </c>
    </row>
    <row r="429" customHeight="1" spans="1:6">
      <c r="A429" s="11">
        <v>10426</v>
      </c>
      <c r="B429" s="11">
        <f t="shared" si="17"/>
        <v>6</v>
      </c>
      <c r="C429" s="11">
        <v>1</v>
      </c>
      <c r="D429" s="11">
        <f t="shared" si="18"/>
        <v>3</v>
      </c>
      <c r="E429" s="1">
        <v>11301</v>
      </c>
      <c r="F429" s="11">
        <f t="shared" si="16"/>
        <v>0</v>
      </c>
    </row>
    <row r="430" customHeight="1" spans="1:6">
      <c r="A430" s="11">
        <v>10427</v>
      </c>
      <c r="B430" s="11">
        <f t="shared" si="17"/>
        <v>6</v>
      </c>
      <c r="C430" s="11">
        <v>1</v>
      </c>
      <c r="D430" s="11">
        <f t="shared" si="18"/>
        <v>3</v>
      </c>
      <c r="E430" s="1">
        <v>11302</v>
      </c>
      <c r="F430" s="11">
        <f t="shared" si="16"/>
        <v>0</v>
      </c>
    </row>
    <row r="431" customHeight="1" spans="1:6">
      <c r="A431" s="11">
        <v>10428</v>
      </c>
      <c r="B431" s="11">
        <f t="shared" si="17"/>
        <v>6</v>
      </c>
      <c r="C431" s="11">
        <v>1</v>
      </c>
      <c r="D431" s="11">
        <f t="shared" si="18"/>
        <v>3</v>
      </c>
      <c r="E431" s="1">
        <v>11303</v>
      </c>
      <c r="F431" s="11">
        <f t="shared" si="16"/>
        <v>0</v>
      </c>
    </row>
    <row r="432" customHeight="1" spans="1:6">
      <c r="A432" s="11">
        <v>10429</v>
      </c>
      <c r="B432" s="11">
        <f t="shared" si="17"/>
        <v>6</v>
      </c>
      <c r="C432" s="11">
        <v>1</v>
      </c>
      <c r="D432" s="11">
        <f t="shared" si="18"/>
        <v>3</v>
      </c>
      <c r="E432" s="1">
        <v>11304</v>
      </c>
      <c r="F432" s="11">
        <f t="shared" si="16"/>
        <v>0</v>
      </c>
    </row>
    <row r="433" customHeight="1" spans="1:6">
      <c r="A433" s="11">
        <v>10430</v>
      </c>
      <c r="B433" s="11">
        <f t="shared" si="17"/>
        <v>6</v>
      </c>
      <c r="C433" s="11">
        <v>1</v>
      </c>
      <c r="D433" s="11">
        <f t="shared" si="18"/>
        <v>3</v>
      </c>
      <c r="E433" s="1">
        <v>11305</v>
      </c>
      <c r="F433" s="11">
        <f t="shared" si="16"/>
        <v>0</v>
      </c>
    </row>
    <row r="434" customHeight="1" spans="1:6">
      <c r="A434" s="11">
        <v>10431</v>
      </c>
      <c r="B434" s="11">
        <f t="shared" si="17"/>
        <v>6</v>
      </c>
      <c r="C434" s="11">
        <v>1</v>
      </c>
      <c r="D434" s="11">
        <f t="shared" si="18"/>
        <v>3</v>
      </c>
      <c r="E434" s="1">
        <v>11306</v>
      </c>
      <c r="F434" s="11">
        <f t="shared" si="16"/>
        <v>0</v>
      </c>
    </row>
    <row r="435" customHeight="1" spans="1:6">
      <c r="A435" s="11">
        <v>10432</v>
      </c>
      <c r="B435" s="11">
        <f t="shared" si="17"/>
        <v>6</v>
      </c>
      <c r="C435" s="11">
        <v>1</v>
      </c>
      <c r="D435" s="11">
        <f t="shared" si="18"/>
        <v>3</v>
      </c>
      <c r="E435" s="1">
        <v>11307</v>
      </c>
      <c r="F435" s="11">
        <f t="shared" si="16"/>
        <v>0</v>
      </c>
    </row>
    <row r="436" customHeight="1" spans="1:6">
      <c r="A436" s="11">
        <v>10433</v>
      </c>
      <c r="B436" s="11">
        <f t="shared" si="17"/>
        <v>6</v>
      </c>
      <c r="C436" s="11">
        <v>1</v>
      </c>
      <c r="D436" s="11">
        <f t="shared" si="18"/>
        <v>3</v>
      </c>
      <c r="E436" s="1">
        <v>11308</v>
      </c>
      <c r="F436" s="11">
        <f t="shared" si="16"/>
        <v>0</v>
      </c>
    </row>
    <row r="437" customHeight="1" spans="1:6">
      <c r="A437" s="11">
        <v>10434</v>
      </c>
      <c r="B437" s="11">
        <f t="shared" si="17"/>
        <v>6</v>
      </c>
      <c r="C437" s="11">
        <v>1</v>
      </c>
      <c r="D437" s="11">
        <f t="shared" si="18"/>
        <v>3</v>
      </c>
      <c r="E437" s="1">
        <v>11309</v>
      </c>
      <c r="F437" s="11">
        <f t="shared" si="16"/>
        <v>0</v>
      </c>
    </row>
    <row r="438" customHeight="1" spans="1:6">
      <c r="A438" s="11">
        <v>10435</v>
      </c>
      <c r="B438" s="11">
        <f t="shared" si="17"/>
        <v>6</v>
      </c>
      <c r="C438" s="11">
        <v>1</v>
      </c>
      <c r="D438" s="11">
        <f t="shared" si="18"/>
        <v>3</v>
      </c>
      <c r="E438" s="1">
        <v>11310</v>
      </c>
      <c r="F438" s="11">
        <f t="shared" si="16"/>
        <v>0</v>
      </c>
    </row>
    <row r="439" customHeight="1" spans="1:6">
      <c r="A439" s="11">
        <v>10436</v>
      </c>
      <c r="B439" s="11">
        <f t="shared" si="17"/>
        <v>6</v>
      </c>
      <c r="C439" s="11">
        <v>1</v>
      </c>
      <c r="D439" s="11">
        <f t="shared" si="18"/>
        <v>3</v>
      </c>
      <c r="E439" s="1">
        <v>11311</v>
      </c>
      <c r="F439" s="11">
        <f t="shared" si="16"/>
        <v>0</v>
      </c>
    </row>
    <row r="440" customHeight="1" spans="1:6">
      <c r="A440" s="11">
        <v>10437</v>
      </c>
      <c r="B440" s="11">
        <f t="shared" si="17"/>
        <v>6</v>
      </c>
      <c r="C440" s="11">
        <v>1</v>
      </c>
      <c r="D440" s="11">
        <f t="shared" si="18"/>
        <v>3</v>
      </c>
      <c r="E440" s="1">
        <v>11312</v>
      </c>
      <c r="F440" s="11">
        <f t="shared" si="16"/>
        <v>0</v>
      </c>
    </row>
    <row r="441" customHeight="1" spans="1:6">
      <c r="A441" s="11">
        <v>10438</v>
      </c>
      <c r="B441" s="11">
        <f t="shared" si="17"/>
        <v>6</v>
      </c>
      <c r="C441" s="11">
        <v>1</v>
      </c>
      <c r="D441" s="11">
        <f t="shared" si="18"/>
        <v>3</v>
      </c>
      <c r="E441" s="1">
        <v>11313</v>
      </c>
      <c r="F441" s="11">
        <f t="shared" si="16"/>
        <v>0</v>
      </c>
    </row>
    <row r="442" customHeight="1" spans="1:6">
      <c r="A442" s="11">
        <v>10439</v>
      </c>
      <c r="B442" s="11">
        <f t="shared" si="17"/>
        <v>6</v>
      </c>
      <c r="C442" s="11">
        <v>1</v>
      </c>
      <c r="D442" s="11">
        <f t="shared" si="18"/>
        <v>3</v>
      </c>
      <c r="E442" s="1">
        <v>11314</v>
      </c>
      <c r="F442" s="11">
        <f t="shared" si="16"/>
        <v>0</v>
      </c>
    </row>
    <row r="443" customHeight="1" spans="1:6">
      <c r="A443" s="11">
        <v>10440</v>
      </c>
      <c r="B443" s="11">
        <f t="shared" si="17"/>
        <v>6</v>
      </c>
      <c r="C443" s="11">
        <v>1</v>
      </c>
      <c r="D443" s="11">
        <f t="shared" si="18"/>
        <v>3</v>
      </c>
      <c r="E443" s="1">
        <v>11315</v>
      </c>
      <c r="F443" s="11">
        <f t="shared" si="16"/>
        <v>0</v>
      </c>
    </row>
    <row r="444" customHeight="1" spans="1:6">
      <c r="A444" s="11">
        <v>10441</v>
      </c>
      <c r="B444" s="11">
        <f t="shared" si="17"/>
        <v>6</v>
      </c>
      <c r="C444" s="11">
        <v>1</v>
      </c>
      <c r="D444" s="11">
        <f t="shared" si="18"/>
        <v>3</v>
      </c>
      <c r="E444" s="1">
        <v>11316</v>
      </c>
      <c r="F444" s="11">
        <f t="shared" si="16"/>
        <v>10</v>
      </c>
    </row>
    <row r="445" customHeight="1" spans="1:6">
      <c r="A445" s="11">
        <v>10442</v>
      </c>
      <c r="B445" s="11">
        <f t="shared" si="17"/>
        <v>6</v>
      </c>
      <c r="C445" s="11">
        <v>1</v>
      </c>
      <c r="D445" s="11">
        <f t="shared" si="18"/>
        <v>3</v>
      </c>
      <c r="E445" s="1">
        <v>11317</v>
      </c>
      <c r="F445" s="11">
        <f t="shared" si="16"/>
        <v>10</v>
      </c>
    </row>
    <row r="446" customHeight="1" spans="1:6">
      <c r="A446" s="11">
        <v>10443</v>
      </c>
      <c r="B446" s="11">
        <f t="shared" si="17"/>
        <v>6</v>
      </c>
      <c r="C446" s="11">
        <v>1</v>
      </c>
      <c r="D446" s="11">
        <f t="shared" si="18"/>
        <v>3</v>
      </c>
      <c r="E446" s="1">
        <v>11318</v>
      </c>
      <c r="F446" s="11">
        <f t="shared" si="16"/>
        <v>10</v>
      </c>
    </row>
    <row r="447" customHeight="1" spans="1:6">
      <c r="A447" s="11">
        <v>10444</v>
      </c>
      <c r="B447" s="11">
        <f t="shared" si="17"/>
        <v>6</v>
      </c>
      <c r="C447" s="11">
        <v>1</v>
      </c>
      <c r="D447" s="11">
        <f t="shared" si="18"/>
        <v>3</v>
      </c>
      <c r="E447" s="1">
        <v>11319</v>
      </c>
      <c r="F447" s="11">
        <f t="shared" si="16"/>
        <v>10</v>
      </c>
    </row>
    <row r="448" customHeight="1" spans="1:6">
      <c r="A448" s="11">
        <v>10445</v>
      </c>
      <c r="B448" s="11">
        <f t="shared" si="17"/>
        <v>6</v>
      </c>
      <c r="C448" s="11">
        <v>1</v>
      </c>
      <c r="D448" s="11">
        <f t="shared" si="18"/>
        <v>3</v>
      </c>
      <c r="E448" s="1">
        <v>11320</v>
      </c>
      <c r="F448" s="11">
        <f t="shared" si="16"/>
        <v>10</v>
      </c>
    </row>
    <row r="449" customHeight="1" spans="1:6">
      <c r="A449" s="11">
        <v>10446</v>
      </c>
      <c r="B449" s="11">
        <f t="shared" si="17"/>
        <v>6</v>
      </c>
      <c r="C449" s="11">
        <v>1</v>
      </c>
      <c r="D449" s="11">
        <f t="shared" si="18"/>
        <v>3</v>
      </c>
      <c r="E449" s="1">
        <v>11321</v>
      </c>
      <c r="F449" s="11">
        <f t="shared" si="16"/>
        <v>10</v>
      </c>
    </row>
    <row r="450" customHeight="1" spans="1:6">
      <c r="A450" s="11">
        <v>10447</v>
      </c>
      <c r="B450" s="11">
        <f t="shared" si="17"/>
        <v>6</v>
      </c>
      <c r="C450" s="11">
        <v>1</v>
      </c>
      <c r="D450" s="11">
        <f t="shared" si="18"/>
        <v>3</v>
      </c>
      <c r="E450" s="1">
        <v>11322</v>
      </c>
      <c r="F450" s="11">
        <f t="shared" si="16"/>
        <v>10</v>
      </c>
    </row>
    <row r="451" customHeight="1" spans="1:6">
      <c r="A451" s="11">
        <v>10448</v>
      </c>
      <c r="B451" s="11">
        <f t="shared" si="17"/>
        <v>6</v>
      </c>
      <c r="C451" s="11">
        <v>1</v>
      </c>
      <c r="D451" s="11">
        <f t="shared" si="18"/>
        <v>3</v>
      </c>
      <c r="E451" s="1">
        <v>11323</v>
      </c>
      <c r="F451" s="11">
        <f t="shared" si="16"/>
        <v>10</v>
      </c>
    </row>
    <row r="452" customHeight="1" spans="1:6">
      <c r="A452" s="11">
        <v>10449</v>
      </c>
      <c r="B452" s="11">
        <f t="shared" si="17"/>
        <v>6</v>
      </c>
      <c r="C452" s="11">
        <v>1</v>
      </c>
      <c r="D452" s="11">
        <f t="shared" si="18"/>
        <v>3</v>
      </c>
      <c r="E452" s="1">
        <v>11324</v>
      </c>
      <c r="F452" s="11">
        <f t="shared" si="16"/>
        <v>10</v>
      </c>
    </row>
    <row r="453" customHeight="1" spans="1:6">
      <c r="A453" s="11">
        <v>10450</v>
      </c>
      <c r="B453" s="11">
        <f t="shared" si="17"/>
        <v>6</v>
      </c>
      <c r="C453" s="11">
        <v>1</v>
      </c>
      <c r="D453" s="11">
        <f t="shared" si="18"/>
        <v>3</v>
      </c>
      <c r="E453" s="1">
        <v>11325</v>
      </c>
      <c r="F453" s="11">
        <f t="shared" ref="F453:F516" si="19">VLOOKUP(RIGHT(E453,2)*1,$J$4:$Q$29,B453+1,0)</f>
        <v>10</v>
      </c>
    </row>
    <row r="454" customHeight="1" spans="1:6">
      <c r="A454" s="11">
        <v>10451</v>
      </c>
      <c r="B454" s="11">
        <f t="shared" si="17"/>
        <v>7</v>
      </c>
      <c r="C454" s="11">
        <v>1</v>
      </c>
      <c r="D454" s="11">
        <v>1</v>
      </c>
      <c r="E454" s="1">
        <v>11101</v>
      </c>
      <c r="F454" s="11">
        <f t="shared" si="19"/>
        <v>0</v>
      </c>
    </row>
    <row r="455" customHeight="1" spans="1:6">
      <c r="A455" s="11">
        <v>10452</v>
      </c>
      <c r="B455" s="11">
        <f t="shared" si="17"/>
        <v>7</v>
      </c>
      <c r="C455" s="11">
        <v>1</v>
      </c>
      <c r="D455" s="11">
        <v>1</v>
      </c>
      <c r="E455" s="1">
        <v>11102</v>
      </c>
      <c r="F455" s="11">
        <f t="shared" si="19"/>
        <v>0</v>
      </c>
    </row>
    <row r="456" customHeight="1" spans="1:6">
      <c r="A456" s="11">
        <v>10453</v>
      </c>
      <c r="B456" s="11">
        <f t="shared" si="17"/>
        <v>7</v>
      </c>
      <c r="C456" s="11">
        <v>1</v>
      </c>
      <c r="D456" s="11">
        <v>1</v>
      </c>
      <c r="E456" s="1">
        <v>11103</v>
      </c>
      <c r="F456" s="11">
        <f t="shared" si="19"/>
        <v>0</v>
      </c>
    </row>
    <row r="457" customHeight="1" spans="1:6">
      <c r="A457" s="11">
        <v>10454</v>
      </c>
      <c r="B457" s="11">
        <f t="shared" si="17"/>
        <v>7</v>
      </c>
      <c r="C457" s="11">
        <v>1</v>
      </c>
      <c r="D457" s="11">
        <v>1</v>
      </c>
      <c r="E457" s="1">
        <v>11104</v>
      </c>
      <c r="F457" s="11">
        <f t="shared" si="19"/>
        <v>0</v>
      </c>
    </row>
    <row r="458" customHeight="1" spans="1:6">
      <c r="A458" s="11">
        <v>10455</v>
      </c>
      <c r="B458" s="11">
        <f t="shared" si="17"/>
        <v>7</v>
      </c>
      <c r="C458" s="11">
        <v>1</v>
      </c>
      <c r="D458" s="11">
        <v>1</v>
      </c>
      <c r="E458" s="1">
        <v>11105</v>
      </c>
      <c r="F458" s="11">
        <f t="shared" si="19"/>
        <v>0</v>
      </c>
    </row>
    <row r="459" customHeight="1" spans="1:6">
      <c r="A459" s="11">
        <v>10456</v>
      </c>
      <c r="B459" s="11">
        <f t="shared" si="17"/>
        <v>7</v>
      </c>
      <c r="C459" s="11">
        <v>1</v>
      </c>
      <c r="D459" s="11">
        <v>1</v>
      </c>
      <c r="E459" s="1">
        <v>11106</v>
      </c>
      <c r="F459" s="11">
        <f t="shared" si="19"/>
        <v>0</v>
      </c>
    </row>
    <row r="460" customHeight="1" spans="1:6">
      <c r="A460" s="11">
        <v>10457</v>
      </c>
      <c r="B460" s="11">
        <f t="shared" si="17"/>
        <v>7</v>
      </c>
      <c r="C460" s="11">
        <v>1</v>
      </c>
      <c r="D460" s="11">
        <v>1</v>
      </c>
      <c r="E460" s="1">
        <v>11107</v>
      </c>
      <c r="F460" s="11">
        <f t="shared" si="19"/>
        <v>0</v>
      </c>
    </row>
    <row r="461" customHeight="1" spans="1:6">
      <c r="A461" s="11">
        <v>10458</v>
      </c>
      <c r="B461" s="11">
        <f t="shared" si="17"/>
        <v>7</v>
      </c>
      <c r="C461" s="11">
        <v>1</v>
      </c>
      <c r="D461" s="11">
        <v>1</v>
      </c>
      <c r="E461" s="1">
        <v>11108</v>
      </c>
      <c r="F461" s="11">
        <f t="shared" si="19"/>
        <v>0</v>
      </c>
    </row>
    <row r="462" customHeight="1" spans="1:6">
      <c r="A462" s="11">
        <v>10459</v>
      </c>
      <c r="B462" s="11">
        <f t="shared" si="17"/>
        <v>7</v>
      </c>
      <c r="C462" s="11">
        <v>1</v>
      </c>
      <c r="D462" s="11">
        <v>1</v>
      </c>
      <c r="E462" s="1">
        <v>11109</v>
      </c>
      <c r="F462" s="11">
        <f t="shared" si="19"/>
        <v>0</v>
      </c>
    </row>
    <row r="463" customHeight="1" spans="1:6">
      <c r="A463" s="11">
        <v>10460</v>
      </c>
      <c r="B463" s="11">
        <f t="shared" si="17"/>
        <v>7</v>
      </c>
      <c r="C463" s="11">
        <v>1</v>
      </c>
      <c r="D463" s="11">
        <v>1</v>
      </c>
      <c r="E463" s="1">
        <v>11110</v>
      </c>
      <c r="F463" s="11">
        <f t="shared" si="19"/>
        <v>0</v>
      </c>
    </row>
    <row r="464" customHeight="1" spans="1:6">
      <c r="A464" s="11">
        <v>10461</v>
      </c>
      <c r="B464" s="11">
        <f t="shared" ref="B464:B527" si="20">B389+1</f>
        <v>7</v>
      </c>
      <c r="C464" s="11">
        <v>1</v>
      </c>
      <c r="D464" s="11">
        <v>1</v>
      </c>
      <c r="E464" s="1">
        <v>11111</v>
      </c>
      <c r="F464" s="11">
        <f t="shared" si="19"/>
        <v>0</v>
      </c>
    </row>
    <row r="465" customHeight="1" spans="1:6">
      <c r="A465" s="11">
        <v>10462</v>
      </c>
      <c r="B465" s="11">
        <f t="shared" si="20"/>
        <v>7</v>
      </c>
      <c r="C465" s="11">
        <v>1</v>
      </c>
      <c r="D465" s="11">
        <v>1</v>
      </c>
      <c r="E465" s="1">
        <v>11112</v>
      </c>
      <c r="F465" s="11">
        <f t="shared" si="19"/>
        <v>0</v>
      </c>
    </row>
    <row r="466" customHeight="1" spans="1:6">
      <c r="A466" s="11">
        <v>10463</v>
      </c>
      <c r="B466" s="11">
        <f t="shared" si="20"/>
        <v>7</v>
      </c>
      <c r="C466" s="11">
        <v>1</v>
      </c>
      <c r="D466" s="11">
        <v>1</v>
      </c>
      <c r="E466" s="1">
        <v>11113</v>
      </c>
      <c r="F466" s="11">
        <f t="shared" si="19"/>
        <v>0</v>
      </c>
    </row>
    <row r="467" customHeight="1" spans="1:6">
      <c r="A467" s="11">
        <v>10464</v>
      </c>
      <c r="B467" s="11">
        <f t="shared" si="20"/>
        <v>7</v>
      </c>
      <c r="C467" s="11">
        <v>1</v>
      </c>
      <c r="D467" s="11">
        <v>1</v>
      </c>
      <c r="E467" s="1">
        <v>11114</v>
      </c>
      <c r="F467" s="11">
        <f t="shared" si="19"/>
        <v>0</v>
      </c>
    </row>
    <row r="468" customHeight="1" spans="1:6">
      <c r="A468" s="11">
        <v>10465</v>
      </c>
      <c r="B468" s="11">
        <f t="shared" si="20"/>
        <v>7</v>
      </c>
      <c r="C468" s="11">
        <v>1</v>
      </c>
      <c r="D468" s="11">
        <v>1</v>
      </c>
      <c r="E468" s="1">
        <v>11115</v>
      </c>
      <c r="F468" s="11">
        <f t="shared" si="19"/>
        <v>0</v>
      </c>
    </row>
    <row r="469" customHeight="1" spans="1:6">
      <c r="A469" s="11">
        <v>10466</v>
      </c>
      <c r="B469" s="11">
        <f t="shared" si="20"/>
        <v>7</v>
      </c>
      <c r="C469" s="11">
        <v>1</v>
      </c>
      <c r="D469" s="11">
        <v>1</v>
      </c>
      <c r="E469" s="1">
        <v>11116</v>
      </c>
      <c r="F469" s="11">
        <f t="shared" si="19"/>
        <v>10</v>
      </c>
    </row>
    <row r="470" customHeight="1" spans="1:6">
      <c r="A470" s="11">
        <v>10467</v>
      </c>
      <c r="B470" s="11">
        <f t="shared" si="20"/>
        <v>7</v>
      </c>
      <c r="C470" s="11">
        <v>1</v>
      </c>
      <c r="D470" s="11">
        <v>1</v>
      </c>
      <c r="E470" s="1">
        <v>11117</v>
      </c>
      <c r="F470" s="11">
        <f t="shared" si="19"/>
        <v>10</v>
      </c>
    </row>
    <row r="471" customHeight="1" spans="1:6">
      <c r="A471" s="11">
        <v>10468</v>
      </c>
      <c r="B471" s="11">
        <f t="shared" si="20"/>
        <v>7</v>
      </c>
      <c r="C471" s="11">
        <v>1</v>
      </c>
      <c r="D471" s="11">
        <v>1</v>
      </c>
      <c r="E471" s="1">
        <v>11118</v>
      </c>
      <c r="F471" s="11">
        <f t="shared" si="19"/>
        <v>10</v>
      </c>
    </row>
    <row r="472" customHeight="1" spans="1:6">
      <c r="A472" s="11">
        <v>10469</v>
      </c>
      <c r="B472" s="11">
        <f t="shared" si="20"/>
        <v>7</v>
      </c>
      <c r="C472" s="11">
        <v>1</v>
      </c>
      <c r="D472" s="11">
        <v>1</v>
      </c>
      <c r="E472" s="1">
        <v>11119</v>
      </c>
      <c r="F472" s="11">
        <f t="shared" si="19"/>
        <v>10</v>
      </c>
    </row>
    <row r="473" customHeight="1" spans="1:6">
      <c r="A473" s="11">
        <v>10470</v>
      </c>
      <c r="B473" s="11">
        <f t="shared" si="20"/>
        <v>7</v>
      </c>
      <c r="C473" s="11">
        <v>1</v>
      </c>
      <c r="D473" s="11">
        <v>1</v>
      </c>
      <c r="E473" s="1">
        <v>11120</v>
      </c>
      <c r="F473" s="11">
        <f t="shared" si="19"/>
        <v>10</v>
      </c>
    </row>
    <row r="474" customHeight="1" spans="1:6">
      <c r="A474" s="11">
        <v>10471</v>
      </c>
      <c r="B474" s="11">
        <f t="shared" si="20"/>
        <v>7</v>
      </c>
      <c r="C474" s="11">
        <v>1</v>
      </c>
      <c r="D474" s="11">
        <v>1</v>
      </c>
      <c r="E474" s="1">
        <v>11121</v>
      </c>
      <c r="F474" s="11">
        <f t="shared" si="19"/>
        <v>10</v>
      </c>
    </row>
    <row r="475" customHeight="1" spans="1:6">
      <c r="A475" s="11">
        <v>10472</v>
      </c>
      <c r="B475" s="11">
        <f t="shared" si="20"/>
        <v>7</v>
      </c>
      <c r="C475" s="11">
        <v>1</v>
      </c>
      <c r="D475" s="11">
        <v>1</v>
      </c>
      <c r="E475" s="1">
        <v>11122</v>
      </c>
      <c r="F475" s="11">
        <f t="shared" si="19"/>
        <v>10</v>
      </c>
    </row>
    <row r="476" customHeight="1" spans="1:6">
      <c r="A476" s="11">
        <v>10473</v>
      </c>
      <c r="B476" s="11">
        <f t="shared" si="20"/>
        <v>7</v>
      </c>
      <c r="C476" s="11">
        <v>1</v>
      </c>
      <c r="D476" s="11">
        <v>1</v>
      </c>
      <c r="E476" s="1">
        <v>11123</v>
      </c>
      <c r="F476" s="11">
        <f t="shared" si="19"/>
        <v>10</v>
      </c>
    </row>
    <row r="477" customHeight="1" spans="1:6">
      <c r="A477" s="11">
        <v>10474</v>
      </c>
      <c r="B477" s="11">
        <f t="shared" si="20"/>
        <v>7</v>
      </c>
      <c r="C477" s="11">
        <v>1</v>
      </c>
      <c r="D477" s="11">
        <v>1</v>
      </c>
      <c r="E477" s="1">
        <v>11124</v>
      </c>
      <c r="F477" s="11">
        <f t="shared" si="19"/>
        <v>10</v>
      </c>
    </row>
    <row r="478" customHeight="1" spans="1:6">
      <c r="A478" s="11">
        <v>10475</v>
      </c>
      <c r="B478" s="11">
        <f t="shared" si="20"/>
        <v>7</v>
      </c>
      <c r="C478" s="11">
        <v>1</v>
      </c>
      <c r="D478" s="11">
        <v>1</v>
      </c>
      <c r="E478" s="1">
        <v>11125</v>
      </c>
      <c r="F478" s="11">
        <f t="shared" si="19"/>
        <v>10</v>
      </c>
    </row>
    <row r="479" customHeight="1" spans="1:6">
      <c r="A479" s="11">
        <v>10476</v>
      </c>
      <c r="B479" s="11">
        <f t="shared" si="20"/>
        <v>7</v>
      </c>
      <c r="C479" s="11">
        <v>1</v>
      </c>
      <c r="D479" s="11">
        <f>D454+1</f>
        <v>2</v>
      </c>
      <c r="E479" s="1">
        <v>11201</v>
      </c>
      <c r="F479" s="11">
        <f t="shared" si="19"/>
        <v>0</v>
      </c>
    </row>
    <row r="480" customHeight="1" spans="1:6">
      <c r="A480" s="11">
        <v>10477</v>
      </c>
      <c r="B480" s="11">
        <f t="shared" si="20"/>
        <v>7</v>
      </c>
      <c r="C480" s="11">
        <v>1</v>
      </c>
      <c r="D480" s="11">
        <f t="shared" ref="D480:D528" si="21">D455+1</f>
        <v>2</v>
      </c>
      <c r="E480" s="1">
        <v>11202</v>
      </c>
      <c r="F480" s="11">
        <f t="shared" si="19"/>
        <v>0</v>
      </c>
    </row>
    <row r="481" customHeight="1" spans="1:6">
      <c r="A481" s="11">
        <v>10478</v>
      </c>
      <c r="B481" s="11">
        <f t="shared" si="20"/>
        <v>7</v>
      </c>
      <c r="C481" s="11">
        <v>1</v>
      </c>
      <c r="D481" s="11">
        <f t="shared" si="21"/>
        <v>2</v>
      </c>
      <c r="E481" s="1">
        <v>11203</v>
      </c>
      <c r="F481" s="11">
        <f t="shared" si="19"/>
        <v>0</v>
      </c>
    </row>
    <row r="482" customHeight="1" spans="1:6">
      <c r="A482" s="11">
        <v>10479</v>
      </c>
      <c r="B482" s="11">
        <f t="shared" si="20"/>
        <v>7</v>
      </c>
      <c r="C482" s="11">
        <v>1</v>
      </c>
      <c r="D482" s="11">
        <f t="shared" si="21"/>
        <v>2</v>
      </c>
      <c r="E482" s="1">
        <v>11204</v>
      </c>
      <c r="F482" s="11">
        <f t="shared" si="19"/>
        <v>0</v>
      </c>
    </row>
    <row r="483" customHeight="1" spans="1:6">
      <c r="A483" s="11">
        <v>10480</v>
      </c>
      <c r="B483" s="11">
        <f t="shared" si="20"/>
        <v>7</v>
      </c>
      <c r="C483" s="11">
        <v>1</v>
      </c>
      <c r="D483" s="11">
        <f t="shared" si="21"/>
        <v>2</v>
      </c>
      <c r="E483" s="1">
        <v>11205</v>
      </c>
      <c r="F483" s="11">
        <f t="shared" si="19"/>
        <v>0</v>
      </c>
    </row>
    <row r="484" customHeight="1" spans="1:6">
      <c r="A484" s="11">
        <v>10481</v>
      </c>
      <c r="B484" s="11">
        <f t="shared" si="20"/>
        <v>7</v>
      </c>
      <c r="C484" s="11">
        <v>1</v>
      </c>
      <c r="D484" s="11">
        <f t="shared" si="21"/>
        <v>2</v>
      </c>
      <c r="E484" s="1">
        <v>11206</v>
      </c>
      <c r="F484" s="11">
        <f t="shared" si="19"/>
        <v>0</v>
      </c>
    </row>
    <row r="485" customHeight="1" spans="1:6">
      <c r="A485" s="11">
        <v>10482</v>
      </c>
      <c r="B485" s="11">
        <f t="shared" si="20"/>
        <v>7</v>
      </c>
      <c r="C485" s="11">
        <v>1</v>
      </c>
      <c r="D485" s="11">
        <f t="shared" si="21"/>
        <v>2</v>
      </c>
      <c r="E485" s="1">
        <v>11207</v>
      </c>
      <c r="F485" s="11">
        <f t="shared" si="19"/>
        <v>0</v>
      </c>
    </row>
    <row r="486" customHeight="1" spans="1:6">
      <c r="A486" s="11">
        <v>10483</v>
      </c>
      <c r="B486" s="11">
        <f t="shared" si="20"/>
        <v>7</v>
      </c>
      <c r="C486" s="11">
        <v>1</v>
      </c>
      <c r="D486" s="11">
        <f t="shared" si="21"/>
        <v>2</v>
      </c>
      <c r="E486" s="1">
        <v>11208</v>
      </c>
      <c r="F486" s="11">
        <f t="shared" si="19"/>
        <v>0</v>
      </c>
    </row>
    <row r="487" customHeight="1" spans="1:6">
      <c r="A487" s="11">
        <v>10484</v>
      </c>
      <c r="B487" s="11">
        <f t="shared" si="20"/>
        <v>7</v>
      </c>
      <c r="C487" s="11">
        <v>1</v>
      </c>
      <c r="D487" s="11">
        <f t="shared" si="21"/>
        <v>2</v>
      </c>
      <c r="E487" s="1">
        <v>11209</v>
      </c>
      <c r="F487" s="11">
        <f t="shared" si="19"/>
        <v>0</v>
      </c>
    </row>
    <row r="488" customHeight="1" spans="1:6">
      <c r="A488" s="11">
        <v>10485</v>
      </c>
      <c r="B488" s="11">
        <f t="shared" si="20"/>
        <v>7</v>
      </c>
      <c r="C488" s="11">
        <v>1</v>
      </c>
      <c r="D488" s="11">
        <f t="shared" si="21"/>
        <v>2</v>
      </c>
      <c r="E488" s="1">
        <v>11210</v>
      </c>
      <c r="F488" s="11">
        <f t="shared" si="19"/>
        <v>0</v>
      </c>
    </row>
    <row r="489" customHeight="1" spans="1:6">
      <c r="A489" s="11">
        <v>10486</v>
      </c>
      <c r="B489" s="11">
        <f t="shared" si="20"/>
        <v>7</v>
      </c>
      <c r="C489" s="11">
        <v>1</v>
      </c>
      <c r="D489" s="11">
        <f t="shared" si="21"/>
        <v>2</v>
      </c>
      <c r="E489" s="1">
        <v>11211</v>
      </c>
      <c r="F489" s="11">
        <f t="shared" si="19"/>
        <v>0</v>
      </c>
    </row>
    <row r="490" customHeight="1" spans="1:6">
      <c r="A490" s="11">
        <v>10487</v>
      </c>
      <c r="B490" s="11">
        <f t="shared" si="20"/>
        <v>7</v>
      </c>
      <c r="C490" s="11">
        <v>1</v>
      </c>
      <c r="D490" s="11">
        <f t="shared" si="21"/>
        <v>2</v>
      </c>
      <c r="E490" s="1">
        <v>11212</v>
      </c>
      <c r="F490" s="11">
        <f t="shared" si="19"/>
        <v>0</v>
      </c>
    </row>
    <row r="491" customHeight="1" spans="1:6">
      <c r="A491" s="11">
        <v>10488</v>
      </c>
      <c r="B491" s="11">
        <f t="shared" si="20"/>
        <v>7</v>
      </c>
      <c r="C491" s="11">
        <v>1</v>
      </c>
      <c r="D491" s="11">
        <f t="shared" si="21"/>
        <v>2</v>
      </c>
      <c r="E491" s="1">
        <v>11213</v>
      </c>
      <c r="F491" s="11">
        <f t="shared" si="19"/>
        <v>0</v>
      </c>
    </row>
    <row r="492" customHeight="1" spans="1:6">
      <c r="A492" s="11">
        <v>10489</v>
      </c>
      <c r="B492" s="11">
        <f t="shared" si="20"/>
        <v>7</v>
      </c>
      <c r="C492" s="11">
        <v>1</v>
      </c>
      <c r="D492" s="11">
        <f t="shared" si="21"/>
        <v>2</v>
      </c>
      <c r="E492" s="1">
        <v>11214</v>
      </c>
      <c r="F492" s="11">
        <f t="shared" si="19"/>
        <v>0</v>
      </c>
    </row>
    <row r="493" customHeight="1" spans="1:6">
      <c r="A493" s="11">
        <v>10490</v>
      </c>
      <c r="B493" s="11">
        <f t="shared" si="20"/>
        <v>7</v>
      </c>
      <c r="C493" s="11">
        <v>1</v>
      </c>
      <c r="D493" s="11">
        <f t="shared" si="21"/>
        <v>2</v>
      </c>
      <c r="E493" s="1">
        <v>11215</v>
      </c>
      <c r="F493" s="11">
        <f t="shared" si="19"/>
        <v>0</v>
      </c>
    </row>
    <row r="494" customHeight="1" spans="1:6">
      <c r="A494" s="11">
        <v>10491</v>
      </c>
      <c r="B494" s="11">
        <f t="shared" si="20"/>
        <v>7</v>
      </c>
      <c r="C494" s="11">
        <v>1</v>
      </c>
      <c r="D494" s="11">
        <f t="shared" si="21"/>
        <v>2</v>
      </c>
      <c r="E494" s="1">
        <v>11216</v>
      </c>
      <c r="F494" s="11">
        <f t="shared" si="19"/>
        <v>10</v>
      </c>
    </row>
    <row r="495" customHeight="1" spans="1:6">
      <c r="A495" s="11">
        <v>10492</v>
      </c>
      <c r="B495" s="11">
        <f t="shared" si="20"/>
        <v>7</v>
      </c>
      <c r="C495" s="11">
        <v>1</v>
      </c>
      <c r="D495" s="11">
        <f t="shared" si="21"/>
        <v>2</v>
      </c>
      <c r="E495" s="1">
        <v>11217</v>
      </c>
      <c r="F495" s="11">
        <f t="shared" si="19"/>
        <v>10</v>
      </c>
    </row>
    <row r="496" customHeight="1" spans="1:6">
      <c r="A496" s="11">
        <v>10493</v>
      </c>
      <c r="B496" s="11">
        <f t="shared" si="20"/>
        <v>7</v>
      </c>
      <c r="C496" s="11">
        <v>1</v>
      </c>
      <c r="D496" s="11">
        <f t="shared" si="21"/>
        <v>2</v>
      </c>
      <c r="E496" s="1">
        <v>11218</v>
      </c>
      <c r="F496" s="11">
        <f t="shared" si="19"/>
        <v>10</v>
      </c>
    </row>
    <row r="497" customHeight="1" spans="1:6">
      <c r="A497" s="11">
        <v>10494</v>
      </c>
      <c r="B497" s="11">
        <f t="shared" si="20"/>
        <v>7</v>
      </c>
      <c r="C497" s="11">
        <v>1</v>
      </c>
      <c r="D497" s="11">
        <f t="shared" si="21"/>
        <v>2</v>
      </c>
      <c r="E497" s="1">
        <v>11219</v>
      </c>
      <c r="F497" s="11">
        <f t="shared" si="19"/>
        <v>10</v>
      </c>
    </row>
    <row r="498" customHeight="1" spans="1:6">
      <c r="A498" s="11">
        <v>10495</v>
      </c>
      <c r="B498" s="11">
        <f t="shared" si="20"/>
        <v>7</v>
      </c>
      <c r="C498" s="11">
        <v>1</v>
      </c>
      <c r="D498" s="11">
        <f t="shared" si="21"/>
        <v>2</v>
      </c>
      <c r="E498" s="1">
        <v>11220</v>
      </c>
      <c r="F498" s="11">
        <f t="shared" si="19"/>
        <v>10</v>
      </c>
    </row>
    <row r="499" customHeight="1" spans="1:6">
      <c r="A499" s="11">
        <v>10496</v>
      </c>
      <c r="B499" s="11">
        <f t="shared" si="20"/>
        <v>7</v>
      </c>
      <c r="C499" s="11">
        <v>1</v>
      </c>
      <c r="D499" s="11">
        <f t="shared" si="21"/>
        <v>2</v>
      </c>
      <c r="E499" s="1">
        <v>11221</v>
      </c>
      <c r="F499" s="11">
        <f t="shared" si="19"/>
        <v>10</v>
      </c>
    </row>
    <row r="500" customHeight="1" spans="1:6">
      <c r="A500" s="11">
        <v>10497</v>
      </c>
      <c r="B500" s="11">
        <f t="shared" si="20"/>
        <v>7</v>
      </c>
      <c r="C500" s="11">
        <v>1</v>
      </c>
      <c r="D500" s="11">
        <f t="shared" si="21"/>
        <v>2</v>
      </c>
      <c r="E500" s="1">
        <v>11222</v>
      </c>
      <c r="F500" s="11">
        <f t="shared" si="19"/>
        <v>10</v>
      </c>
    </row>
    <row r="501" customHeight="1" spans="1:6">
      <c r="A501" s="11">
        <v>10498</v>
      </c>
      <c r="B501" s="11">
        <f t="shared" si="20"/>
        <v>7</v>
      </c>
      <c r="C501" s="11">
        <v>1</v>
      </c>
      <c r="D501" s="11">
        <f t="shared" si="21"/>
        <v>2</v>
      </c>
      <c r="E501" s="1">
        <v>11223</v>
      </c>
      <c r="F501" s="11">
        <f t="shared" si="19"/>
        <v>10</v>
      </c>
    </row>
    <row r="502" customHeight="1" spans="1:6">
      <c r="A502" s="11">
        <v>10499</v>
      </c>
      <c r="B502" s="11">
        <f t="shared" si="20"/>
        <v>7</v>
      </c>
      <c r="C502" s="11">
        <v>1</v>
      </c>
      <c r="D502" s="11">
        <f t="shared" si="21"/>
        <v>2</v>
      </c>
      <c r="E502" s="1">
        <v>11224</v>
      </c>
      <c r="F502" s="11">
        <f t="shared" si="19"/>
        <v>10</v>
      </c>
    </row>
    <row r="503" customHeight="1" spans="1:6">
      <c r="A503" s="11">
        <v>10500</v>
      </c>
      <c r="B503" s="11">
        <f t="shared" si="20"/>
        <v>7</v>
      </c>
      <c r="C503" s="11">
        <v>1</v>
      </c>
      <c r="D503" s="11">
        <f t="shared" si="21"/>
        <v>2</v>
      </c>
      <c r="E503" s="1">
        <v>11225</v>
      </c>
      <c r="F503" s="11">
        <f t="shared" si="19"/>
        <v>10</v>
      </c>
    </row>
    <row r="504" customHeight="1" spans="1:6">
      <c r="A504" s="11">
        <v>10501</v>
      </c>
      <c r="B504" s="11">
        <f t="shared" si="20"/>
        <v>7</v>
      </c>
      <c r="C504" s="11">
        <v>1</v>
      </c>
      <c r="D504" s="11">
        <f t="shared" si="21"/>
        <v>3</v>
      </c>
      <c r="E504" s="1">
        <v>11301</v>
      </c>
      <c r="F504" s="11">
        <f t="shared" si="19"/>
        <v>0</v>
      </c>
    </row>
    <row r="505" customHeight="1" spans="1:6">
      <c r="A505" s="11">
        <v>10502</v>
      </c>
      <c r="B505" s="11">
        <f t="shared" si="20"/>
        <v>7</v>
      </c>
      <c r="C505" s="11">
        <v>1</v>
      </c>
      <c r="D505" s="11">
        <f t="shared" si="21"/>
        <v>3</v>
      </c>
      <c r="E505" s="1">
        <v>11302</v>
      </c>
      <c r="F505" s="11">
        <f t="shared" si="19"/>
        <v>0</v>
      </c>
    </row>
    <row r="506" customHeight="1" spans="1:6">
      <c r="A506" s="11">
        <v>10503</v>
      </c>
      <c r="B506" s="11">
        <f t="shared" si="20"/>
        <v>7</v>
      </c>
      <c r="C506" s="11">
        <v>1</v>
      </c>
      <c r="D506" s="11">
        <f t="shared" si="21"/>
        <v>3</v>
      </c>
      <c r="E506" s="1">
        <v>11303</v>
      </c>
      <c r="F506" s="11">
        <f t="shared" si="19"/>
        <v>0</v>
      </c>
    </row>
    <row r="507" customHeight="1" spans="1:6">
      <c r="A507" s="11">
        <v>10504</v>
      </c>
      <c r="B507" s="11">
        <f t="shared" si="20"/>
        <v>7</v>
      </c>
      <c r="C507" s="11">
        <v>1</v>
      </c>
      <c r="D507" s="11">
        <f t="shared" si="21"/>
        <v>3</v>
      </c>
      <c r="E507" s="1">
        <v>11304</v>
      </c>
      <c r="F507" s="11">
        <f t="shared" si="19"/>
        <v>0</v>
      </c>
    </row>
    <row r="508" customHeight="1" spans="1:6">
      <c r="A508" s="11">
        <v>10505</v>
      </c>
      <c r="B508" s="11">
        <f t="shared" si="20"/>
        <v>7</v>
      </c>
      <c r="C508" s="11">
        <v>1</v>
      </c>
      <c r="D508" s="11">
        <f t="shared" si="21"/>
        <v>3</v>
      </c>
      <c r="E508" s="1">
        <v>11305</v>
      </c>
      <c r="F508" s="11">
        <f t="shared" si="19"/>
        <v>0</v>
      </c>
    </row>
    <row r="509" customHeight="1" spans="1:6">
      <c r="A509" s="11">
        <v>10506</v>
      </c>
      <c r="B509" s="11">
        <f t="shared" si="20"/>
        <v>7</v>
      </c>
      <c r="C509" s="11">
        <v>1</v>
      </c>
      <c r="D509" s="11">
        <f t="shared" si="21"/>
        <v>3</v>
      </c>
      <c r="E509" s="1">
        <v>11306</v>
      </c>
      <c r="F509" s="11">
        <f t="shared" si="19"/>
        <v>0</v>
      </c>
    </row>
    <row r="510" customHeight="1" spans="1:6">
      <c r="A510" s="11">
        <v>10507</v>
      </c>
      <c r="B510" s="11">
        <f t="shared" si="20"/>
        <v>7</v>
      </c>
      <c r="C510" s="11">
        <v>1</v>
      </c>
      <c r="D510" s="11">
        <f t="shared" si="21"/>
        <v>3</v>
      </c>
      <c r="E510" s="1">
        <v>11307</v>
      </c>
      <c r="F510" s="11">
        <f t="shared" si="19"/>
        <v>0</v>
      </c>
    </row>
    <row r="511" customHeight="1" spans="1:6">
      <c r="A511" s="11">
        <v>10508</v>
      </c>
      <c r="B511" s="11">
        <f t="shared" si="20"/>
        <v>7</v>
      </c>
      <c r="C511" s="11">
        <v>1</v>
      </c>
      <c r="D511" s="11">
        <f t="shared" si="21"/>
        <v>3</v>
      </c>
      <c r="E511" s="1">
        <v>11308</v>
      </c>
      <c r="F511" s="11">
        <f t="shared" si="19"/>
        <v>0</v>
      </c>
    </row>
    <row r="512" customHeight="1" spans="1:6">
      <c r="A512" s="11">
        <v>10509</v>
      </c>
      <c r="B512" s="11">
        <f t="shared" si="20"/>
        <v>7</v>
      </c>
      <c r="C512" s="11">
        <v>1</v>
      </c>
      <c r="D512" s="11">
        <f t="shared" si="21"/>
        <v>3</v>
      </c>
      <c r="E512" s="1">
        <v>11309</v>
      </c>
      <c r="F512" s="11">
        <f t="shared" si="19"/>
        <v>0</v>
      </c>
    </row>
    <row r="513" customHeight="1" spans="1:6">
      <c r="A513" s="11">
        <v>10510</v>
      </c>
      <c r="B513" s="11">
        <f t="shared" si="20"/>
        <v>7</v>
      </c>
      <c r="C513" s="11">
        <v>1</v>
      </c>
      <c r="D513" s="11">
        <f t="shared" si="21"/>
        <v>3</v>
      </c>
      <c r="E513" s="1">
        <v>11310</v>
      </c>
      <c r="F513" s="11">
        <f t="shared" si="19"/>
        <v>0</v>
      </c>
    </row>
    <row r="514" customHeight="1" spans="1:6">
      <c r="A514" s="11">
        <v>10511</v>
      </c>
      <c r="B514" s="11">
        <f t="shared" si="20"/>
        <v>7</v>
      </c>
      <c r="C514" s="11">
        <v>1</v>
      </c>
      <c r="D514" s="11">
        <f t="shared" si="21"/>
        <v>3</v>
      </c>
      <c r="E514" s="1">
        <v>11311</v>
      </c>
      <c r="F514" s="11">
        <f t="shared" si="19"/>
        <v>0</v>
      </c>
    </row>
    <row r="515" customHeight="1" spans="1:6">
      <c r="A515" s="11">
        <v>10512</v>
      </c>
      <c r="B515" s="11">
        <f t="shared" si="20"/>
        <v>7</v>
      </c>
      <c r="C515" s="11">
        <v>1</v>
      </c>
      <c r="D515" s="11">
        <f t="shared" si="21"/>
        <v>3</v>
      </c>
      <c r="E515" s="1">
        <v>11312</v>
      </c>
      <c r="F515" s="11">
        <f t="shared" si="19"/>
        <v>0</v>
      </c>
    </row>
    <row r="516" customHeight="1" spans="1:6">
      <c r="A516" s="11">
        <v>10513</v>
      </c>
      <c r="B516" s="11">
        <f t="shared" si="20"/>
        <v>7</v>
      </c>
      <c r="C516" s="11">
        <v>1</v>
      </c>
      <c r="D516" s="11">
        <f t="shared" si="21"/>
        <v>3</v>
      </c>
      <c r="E516" s="1">
        <v>11313</v>
      </c>
      <c r="F516" s="11">
        <f t="shared" si="19"/>
        <v>0</v>
      </c>
    </row>
    <row r="517" customHeight="1" spans="1:6">
      <c r="A517" s="11">
        <v>10514</v>
      </c>
      <c r="B517" s="11">
        <f t="shared" si="20"/>
        <v>7</v>
      </c>
      <c r="C517" s="11">
        <v>1</v>
      </c>
      <c r="D517" s="11">
        <f t="shared" si="21"/>
        <v>3</v>
      </c>
      <c r="E517" s="1">
        <v>11314</v>
      </c>
      <c r="F517" s="11">
        <f t="shared" ref="F517:F528" si="22">VLOOKUP(RIGHT(E517,2)*1,$J$4:$Q$29,B517+1,0)</f>
        <v>0</v>
      </c>
    </row>
    <row r="518" customHeight="1" spans="1:6">
      <c r="A518" s="11">
        <v>10515</v>
      </c>
      <c r="B518" s="11">
        <f t="shared" si="20"/>
        <v>7</v>
      </c>
      <c r="C518" s="11">
        <v>1</v>
      </c>
      <c r="D518" s="11">
        <f t="shared" si="21"/>
        <v>3</v>
      </c>
      <c r="E518" s="1">
        <v>11315</v>
      </c>
      <c r="F518" s="11">
        <f t="shared" si="22"/>
        <v>0</v>
      </c>
    </row>
    <row r="519" customHeight="1" spans="1:6">
      <c r="A519" s="11">
        <v>10516</v>
      </c>
      <c r="B519" s="11">
        <f t="shared" si="20"/>
        <v>7</v>
      </c>
      <c r="C519" s="11">
        <v>1</v>
      </c>
      <c r="D519" s="11">
        <f t="shared" si="21"/>
        <v>3</v>
      </c>
      <c r="E519" s="1">
        <v>11316</v>
      </c>
      <c r="F519" s="11">
        <f t="shared" si="22"/>
        <v>10</v>
      </c>
    </row>
    <row r="520" customHeight="1" spans="1:6">
      <c r="A520" s="11">
        <v>10517</v>
      </c>
      <c r="B520" s="11">
        <f t="shared" si="20"/>
        <v>7</v>
      </c>
      <c r="C520" s="11">
        <v>1</v>
      </c>
      <c r="D520" s="11">
        <f t="shared" si="21"/>
        <v>3</v>
      </c>
      <c r="E520" s="1">
        <v>11317</v>
      </c>
      <c r="F520" s="11">
        <f t="shared" si="22"/>
        <v>10</v>
      </c>
    </row>
    <row r="521" customHeight="1" spans="1:6">
      <c r="A521" s="11">
        <v>10518</v>
      </c>
      <c r="B521" s="11">
        <f t="shared" si="20"/>
        <v>7</v>
      </c>
      <c r="C521" s="11">
        <v>1</v>
      </c>
      <c r="D521" s="11">
        <f t="shared" si="21"/>
        <v>3</v>
      </c>
      <c r="E521" s="1">
        <v>11318</v>
      </c>
      <c r="F521" s="11">
        <f t="shared" si="22"/>
        <v>10</v>
      </c>
    </row>
    <row r="522" customHeight="1" spans="1:6">
      <c r="A522" s="11">
        <v>10519</v>
      </c>
      <c r="B522" s="11">
        <f t="shared" si="20"/>
        <v>7</v>
      </c>
      <c r="C522" s="11">
        <v>1</v>
      </c>
      <c r="D522" s="11">
        <f t="shared" si="21"/>
        <v>3</v>
      </c>
      <c r="E522" s="1">
        <v>11319</v>
      </c>
      <c r="F522" s="11">
        <f t="shared" si="22"/>
        <v>10</v>
      </c>
    </row>
    <row r="523" customHeight="1" spans="1:6">
      <c r="A523" s="11">
        <v>10520</v>
      </c>
      <c r="B523" s="11">
        <f t="shared" si="20"/>
        <v>7</v>
      </c>
      <c r="C523" s="11">
        <v>1</v>
      </c>
      <c r="D523" s="11">
        <f t="shared" si="21"/>
        <v>3</v>
      </c>
      <c r="E523" s="1">
        <v>11320</v>
      </c>
      <c r="F523" s="11">
        <f t="shared" si="22"/>
        <v>10</v>
      </c>
    </row>
    <row r="524" customHeight="1" spans="1:6">
      <c r="A524" s="11">
        <v>10521</v>
      </c>
      <c r="B524" s="11">
        <f t="shared" si="20"/>
        <v>7</v>
      </c>
      <c r="C524" s="11">
        <v>1</v>
      </c>
      <c r="D524" s="11">
        <f t="shared" si="21"/>
        <v>3</v>
      </c>
      <c r="E524" s="1">
        <v>11321</v>
      </c>
      <c r="F524" s="11">
        <f t="shared" si="22"/>
        <v>10</v>
      </c>
    </row>
    <row r="525" customHeight="1" spans="1:6">
      <c r="A525" s="11">
        <v>10522</v>
      </c>
      <c r="B525" s="11">
        <f t="shared" si="20"/>
        <v>7</v>
      </c>
      <c r="C525" s="11">
        <v>1</v>
      </c>
      <c r="D525" s="11">
        <f t="shared" si="21"/>
        <v>3</v>
      </c>
      <c r="E525" s="1">
        <v>11322</v>
      </c>
      <c r="F525" s="11">
        <f t="shared" si="22"/>
        <v>10</v>
      </c>
    </row>
    <row r="526" customHeight="1" spans="1:6">
      <c r="A526" s="11">
        <v>10523</v>
      </c>
      <c r="B526" s="11">
        <f t="shared" si="20"/>
        <v>7</v>
      </c>
      <c r="C526" s="11">
        <v>1</v>
      </c>
      <c r="D526" s="11">
        <f t="shared" si="21"/>
        <v>3</v>
      </c>
      <c r="E526" s="1">
        <v>11323</v>
      </c>
      <c r="F526" s="11">
        <f t="shared" si="22"/>
        <v>10</v>
      </c>
    </row>
    <row r="527" customHeight="1" spans="1:6">
      <c r="A527" s="11">
        <v>10524</v>
      </c>
      <c r="B527" s="11">
        <f t="shared" si="20"/>
        <v>7</v>
      </c>
      <c r="C527" s="11">
        <v>1</v>
      </c>
      <c r="D527" s="11">
        <f t="shared" si="21"/>
        <v>3</v>
      </c>
      <c r="E527" s="1">
        <v>11324</v>
      </c>
      <c r="F527" s="11">
        <f t="shared" si="22"/>
        <v>10</v>
      </c>
    </row>
    <row r="528" customHeight="1" spans="1:6">
      <c r="A528" s="11">
        <v>10525</v>
      </c>
      <c r="B528" s="11">
        <f t="shared" ref="B528" si="23">B453+1</f>
        <v>7</v>
      </c>
      <c r="C528" s="11">
        <v>1</v>
      </c>
      <c r="D528" s="11">
        <f t="shared" si="21"/>
        <v>3</v>
      </c>
      <c r="E528" s="1">
        <v>11325</v>
      </c>
      <c r="F528" s="11">
        <f t="shared" si="22"/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 t="shared" ref="F530:F560" si="24"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f t="shared" si="24"/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f t="shared" si="24"/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f t="shared" si="24"/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f t="shared" si="24"/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f t="shared" si="24"/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f t="shared" si="24"/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f t="shared" si="24"/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f t="shared" si="24"/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f t="shared" si="24"/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f t="shared" si="24"/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f t="shared" si="24"/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f t="shared" si="24"/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f t="shared" si="24"/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f t="shared" si="24"/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f t="shared" si="24"/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f t="shared" si="24"/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f t="shared" si="24"/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f t="shared" si="24"/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f t="shared" si="24"/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f t="shared" si="24"/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f t="shared" si="24"/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f t="shared" si="24"/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f t="shared" si="24"/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f t="shared" si="24"/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f t="shared" si="24"/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f t="shared" si="24"/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f t="shared" si="24"/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f t="shared" si="24"/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f t="shared" si="24"/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 t="shared" ref="B560:B623" si="25">B530+1</f>
        <v>2</v>
      </c>
      <c r="C560" s="9">
        <v>2</v>
      </c>
      <c r="D560" s="9">
        <v>1</v>
      </c>
      <c r="E560" s="9">
        <f t="shared" ref="E560:E623" si="26">E530</f>
        <v>12102</v>
      </c>
      <c r="F560" s="9">
        <f t="shared" si="24"/>
        <v>10</v>
      </c>
    </row>
    <row r="561" customHeight="1" spans="1:6">
      <c r="A561" s="11">
        <v>10558</v>
      </c>
      <c r="B561" s="9">
        <f t="shared" si="25"/>
        <v>2</v>
      </c>
      <c r="C561" s="9">
        <v>2</v>
      </c>
      <c r="D561" s="9">
        <v>1</v>
      </c>
      <c r="E561" s="9">
        <f t="shared" si="26"/>
        <v>12103</v>
      </c>
      <c r="F561" s="9">
        <f t="shared" ref="F561:F624" si="27">VLOOKUP(RIGHT(E561,2)*1,$K$529:$R$559,B561+1,0)</f>
        <v>10</v>
      </c>
    </row>
    <row r="562" customHeight="1" spans="1:6">
      <c r="A562" s="11">
        <v>10559</v>
      </c>
      <c r="B562" s="9">
        <f t="shared" si="25"/>
        <v>2</v>
      </c>
      <c r="C562" s="9">
        <v>2</v>
      </c>
      <c r="D562" s="9">
        <v>1</v>
      </c>
      <c r="E562" s="9">
        <f t="shared" si="26"/>
        <v>12104</v>
      </c>
      <c r="F562" s="9">
        <f t="shared" si="27"/>
        <v>10</v>
      </c>
    </row>
    <row r="563" customHeight="1" spans="1:6">
      <c r="A563" s="11">
        <v>10560</v>
      </c>
      <c r="B563" s="9">
        <f t="shared" si="25"/>
        <v>2</v>
      </c>
      <c r="C563" s="9">
        <v>2</v>
      </c>
      <c r="D563" s="9">
        <v>1</v>
      </c>
      <c r="E563" s="9">
        <f t="shared" si="26"/>
        <v>12105</v>
      </c>
      <c r="F563" s="9">
        <f t="shared" si="27"/>
        <v>10</v>
      </c>
    </row>
    <row r="564" customHeight="1" spans="1:6">
      <c r="A564" s="11">
        <v>10561</v>
      </c>
      <c r="B564" s="9">
        <f t="shared" si="25"/>
        <v>2</v>
      </c>
      <c r="C564" s="9">
        <v>2</v>
      </c>
      <c r="D564" s="9">
        <v>1</v>
      </c>
      <c r="E564" s="9">
        <f t="shared" si="26"/>
        <v>12106</v>
      </c>
      <c r="F564" s="9">
        <f t="shared" si="27"/>
        <v>10</v>
      </c>
    </row>
    <row r="565" customHeight="1" spans="1:6">
      <c r="A565" s="11">
        <v>10562</v>
      </c>
      <c r="B565" s="9">
        <f t="shared" si="25"/>
        <v>2</v>
      </c>
      <c r="C565" s="9">
        <v>2</v>
      </c>
      <c r="D565" s="9">
        <v>1</v>
      </c>
      <c r="E565" s="9">
        <f t="shared" si="26"/>
        <v>12107</v>
      </c>
      <c r="F565" s="9">
        <f t="shared" si="27"/>
        <v>10</v>
      </c>
    </row>
    <row r="566" customHeight="1" spans="1:6">
      <c r="A566" s="11">
        <v>10563</v>
      </c>
      <c r="B566" s="9">
        <f t="shared" si="25"/>
        <v>2</v>
      </c>
      <c r="C566" s="9">
        <v>2</v>
      </c>
      <c r="D566" s="9">
        <v>1</v>
      </c>
      <c r="E566" s="9">
        <f t="shared" si="26"/>
        <v>12108</v>
      </c>
      <c r="F566" s="9">
        <f t="shared" si="27"/>
        <v>10</v>
      </c>
    </row>
    <row r="567" customHeight="1" spans="1:6">
      <c r="A567" s="11">
        <v>10564</v>
      </c>
      <c r="B567" s="9">
        <f t="shared" si="25"/>
        <v>2</v>
      </c>
      <c r="C567" s="9">
        <v>2</v>
      </c>
      <c r="D567" s="9">
        <v>1</v>
      </c>
      <c r="E567" s="9">
        <f t="shared" si="26"/>
        <v>12109</v>
      </c>
      <c r="F567" s="9">
        <f t="shared" si="27"/>
        <v>10</v>
      </c>
    </row>
    <row r="568" customHeight="1" spans="1:6">
      <c r="A568" s="11">
        <v>10565</v>
      </c>
      <c r="B568" s="9">
        <f t="shared" si="25"/>
        <v>2</v>
      </c>
      <c r="C568" s="9">
        <v>2</v>
      </c>
      <c r="D568" s="9">
        <v>1</v>
      </c>
      <c r="E568" s="9">
        <f t="shared" si="26"/>
        <v>12110</v>
      </c>
      <c r="F568" s="9">
        <f t="shared" si="27"/>
        <v>10</v>
      </c>
    </row>
    <row r="569" customHeight="1" spans="1:6">
      <c r="A569" s="11">
        <v>10566</v>
      </c>
      <c r="B569" s="9">
        <f t="shared" si="25"/>
        <v>2</v>
      </c>
      <c r="C569" s="9">
        <v>2</v>
      </c>
      <c r="D569" s="9">
        <v>1</v>
      </c>
      <c r="E569" s="9">
        <f t="shared" si="26"/>
        <v>12111</v>
      </c>
      <c r="F569" s="9">
        <f t="shared" si="27"/>
        <v>10</v>
      </c>
    </row>
    <row r="570" customHeight="1" spans="1:6">
      <c r="A570" s="11">
        <v>10567</v>
      </c>
      <c r="B570" s="9">
        <f t="shared" si="25"/>
        <v>2</v>
      </c>
      <c r="C570" s="9">
        <v>2</v>
      </c>
      <c r="D570" s="9">
        <v>1</v>
      </c>
      <c r="E570" s="9">
        <f t="shared" si="26"/>
        <v>12112</v>
      </c>
      <c r="F570" s="9">
        <f t="shared" si="27"/>
        <v>10</v>
      </c>
    </row>
    <row r="571" customHeight="1" spans="1:6">
      <c r="A571" s="11">
        <v>10568</v>
      </c>
      <c r="B571" s="9">
        <f t="shared" si="25"/>
        <v>2</v>
      </c>
      <c r="C571" s="9">
        <v>2</v>
      </c>
      <c r="D571" s="9">
        <v>1</v>
      </c>
      <c r="E571" s="9">
        <f t="shared" si="26"/>
        <v>12113</v>
      </c>
      <c r="F571" s="9">
        <f t="shared" si="27"/>
        <v>10</v>
      </c>
    </row>
    <row r="572" customHeight="1" spans="1:6">
      <c r="A572" s="11">
        <v>10569</v>
      </c>
      <c r="B572" s="9">
        <f t="shared" si="25"/>
        <v>2</v>
      </c>
      <c r="C572" s="9">
        <v>2</v>
      </c>
      <c r="D572" s="9">
        <v>1</v>
      </c>
      <c r="E572" s="9">
        <f t="shared" si="26"/>
        <v>12114</v>
      </c>
      <c r="F572" s="9">
        <f t="shared" si="27"/>
        <v>10</v>
      </c>
    </row>
    <row r="573" customHeight="1" spans="1:6">
      <c r="A573" s="11">
        <v>10570</v>
      </c>
      <c r="B573" s="9">
        <f t="shared" si="25"/>
        <v>2</v>
      </c>
      <c r="C573" s="9">
        <v>2</v>
      </c>
      <c r="D573" s="9">
        <v>1</v>
      </c>
      <c r="E573" s="9">
        <f t="shared" si="26"/>
        <v>12115</v>
      </c>
      <c r="F573" s="9">
        <f t="shared" si="27"/>
        <v>10</v>
      </c>
    </row>
    <row r="574" customHeight="1" spans="1:6">
      <c r="A574" s="11">
        <v>10571</v>
      </c>
      <c r="B574" s="9">
        <f t="shared" si="25"/>
        <v>2</v>
      </c>
      <c r="C574" s="9">
        <v>2</v>
      </c>
      <c r="D574" s="9">
        <v>1</v>
      </c>
      <c r="E574" s="9">
        <f t="shared" si="26"/>
        <v>12116</v>
      </c>
      <c r="F574" s="9">
        <f t="shared" si="27"/>
        <v>10</v>
      </c>
    </row>
    <row r="575" customHeight="1" spans="1:6">
      <c r="A575" s="11">
        <v>10572</v>
      </c>
      <c r="B575" s="9">
        <f t="shared" si="25"/>
        <v>2</v>
      </c>
      <c r="C575" s="9">
        <v>2</v>
      </c>
      <c r="D575" s="9">
        <v>1</v>
      </c>
      <c r="E575" s="9">
        <f t="shared" si="26"/>
        <v>12117</v>
      </c>
      <c r="F575" s="9">
        <f t="shared" si="27"/>
        <v>10</v>
      </c>
    </row>
    <row r="576" customHeight="1" spans="1:6">
      <c r="A576" s="11">
        <v>10573</v>
      </c>
      <c r="B576" s="9">
        <f t="shared" si="25"/>
        <v>2</v>
      </c>
      <c r="C576" s="9">
        <v>2</v>
      </c>
      <c r="D576" s="9">
        <v>1</v>
      </c>
      <c r="E576" s="9">
        <f t="shared" si="26"/>
        <v>12118</v>
      </c>
      <c r="F576" s="9">
        <f t="shared" si="27"/>
        <v>10</v>
      </c>
    </row>
    <row r="577" customHeight="1" spans="1:6">
      <c r="A577" s="11">
        <v>10574</v>
      </c>
      <c r="B577" s="9">
        <f t="shared" si="25"/>
        <v>2</v>
      </c>
      <c r="C577" s="9">
        <v>2</v>
      </c>
      <c r="D577" s="9">
        <v>1</v>
      </c>
      <c r="E577" s="9">
        <f t="shared" si="26"/>
        <v>12119</v>
      </c>
      <c r="F577" s="9">
        <f t="shared" si="27"/>
        <v>10</v>
      </c>
    </row>
    <row r="578" customHeight="1" spans="1:6">
      <c r="A578" s="11">
        <v>10575</v>
      </c>
      <c r="B578" s="9">
        <f t="shared" si="25"/>
        <v>2</v>
      </c>
      <c r="C578" s="9">
        <v>2</v>
      </c>
      <c r="D578" s="9">
        <v>1</v>
      </c>
      <c r="E578" s="9">
        <f t="shared" si="26"/>
        <v>12120</v>
      </c>
      <c r="F578" s="9">
        <f t="shared" si="27"/>
        <v>10</v>
      </c>
    </row>
    <row r="579" customHeight="1" spans="1:6">
      <c r="A579" s="11">
        <v>10576</v>
      </c>
      <c r="B579" s="9">
        <f t="shared" si="25"/>
        <v>2</v>
      </c>
      <c r="C579" s="9">
        <v>2</v>
      </c>
      <c r="D579" s="9">
        <v>1</v>
      </c>
      <c r="E579" s="9">
        <f t="shared" si="26"/>
        <v>12121</v>
      </c>
      <c r="F579" s="9">
        <f t="shared" si="27"/>
        <v>0</v>
      </c>
    </row>
    <row r="580" customHeight="1" spans="1:6">
      <c r="A580" s="11">
        <v>10577</v>
      </c>
      <c r="B580" s="9">
        <f t="shared" si="25"/>
        <v>2</v>
      </c>
      <c r="C580" s="9">
        <v>2</v>
      </c>
      <c r="D580" s="9">
        <v>1</v>
      </c>
      <c r="E580" s="9">
        <f t="shared" si="26"/>
        <v>12122</v>
      </c>
      <c r="F580" s="9">
        <f t="shared" si="27"/>
        <v>0</v>
      </c>
    </row>
    <row r="581" customHeight="1" spans="1:6">
      <c r="A581" s="11">
        <v>10578</v>
      </c>
      <c r="B581" s="9">
        <f t="shared" si="25"/>
        <v>2</v>
      </c>
      <c r="C581" s="9">
        <v>2</v>
      </c>
      <c r="D581" s="9">
        <v>1</v>
      </c>
      <c r="E581" s="9">
        <f t="shared" si="26"/>
        <v>12123</v>
      </c>
      <c r="F581" s="9">
        <f t="shared" si="27"/>
        <v>0</v>
      </c>
    </row>
    <row r="582" customHeight="1" spans="1:6">
      <c r="A582" s="11">
        <v>10579</v>
      </c>
      <c r="B582" s="9">
        <f t="shared" si="25"/>
        <v>2</v>
      </c>
      <c r="C582" s="9">
        <v>2</v>
      </c>
      <c r="D582" s="9">
        <v>1</v>
      </c>
      <c r="E582" s="9">
        <f t="shared" si="26"/>
        <v>12124</v>
      </c>
      <c r="F582" s="9">
        <f t="shared" si="27"/>
        <v>0</v>
      </c>
    </row>
    <row r="583" customHeight="1" spans="1:6">
      <c r="A583" s="11">
        <v>10580</v>
      </c>
      <c r="B583" s="9">
        <f t="shared" si="25"/>
        <v>2</v>
      </c>
      <c r="C583" s="9">
        <v>2</v>
      </c>
      <c r="D583" s="9">
        <v>1</v>
      </c>
      <c r="E583" s="9">
        <f t="shared" si="26"/>
        <v>12125</v>
      </c>
      <c r="F583" s="9">
        <f t="shared" si="27"/>
        <v>0</v>
      </c>
    </row>
    <row r="584" customHeight="1" spans="1:6">
      <c r="A584" s="11">
        <v>10581</v>
      </c>
      <c r="B584" s="9">
        <f t="shared" si="25"/>
        <v>2</v>
      </c>
      <c r="C584" s="9">
        <v>2</v>
      </c>
      <c r="D584" s="9">
        <v>1</v>
      </c>
      <c r="E584" s="9">
        <f t="shared" si="26"/>
        <v>12126</v>
      </c>
      <c r="F584" s="9">
        <f t="shared" si="27"/>
        <v>0</v>
      </c>
    </row>
    <row r="585" customHeight="1" spans="1:6">
      <c r="A585" s="11">
        <v>10582</v>
      </c>
      <c r="B585" s="9">
        <f t="shared" si="25"/>
        <v>2</v>
      </c>
      <c r="C585" s="9">
        <v>2</v>
      </c>
      <c r="D585" s="9">
        <v>1</v>
      </c>
      <c r="E585" s="9">
        <f t="shared" si="26"/>
        <v>12127</v>
      </c>
      <c r="F585" s="9">
        <f t="shared" si="27"/>
        <v>0</v>
      </c>
    </row>
    <row r="586" customHeight="1" spans="1:6">
      <c r="A586" s="11">
        <v>10583</v>
      </c>
      <c r="B586" s="9">
        <f t="shared" si="25"/>
        <v>2</v>
      </c>
      <c r="C586" s="9">
        <v>2</v>
      </c>
      <c r="D586" s="9">
        <v>1</v>
      </c>
      <c r="E586" s="9">
        <f t="shared" si="26"/>
        <v>12128</v>
      </c>
      <c r="F586" s="9">
        <f t="shared" si="27"/>
        <v>0</v>
      </c>
    </row>
    <row r="587" customHeight="1" spans="1:6">
      <c r="A587" s="11">
        <v>10584</v>
      </c>
      <c r="B587" s="9">
        <f t="shared" si="25"/>
        <v>2</v>
      </c>
      <c r="C587" s="9">
        <v>2</v>
      </c>
      <c r="D587" s="9">
        <v>1</v>
      </c>
      <c r="E587" s="9">
        <f t="shared" si="26"/>
        <v>12129</v>
      </c>
      <c r="F587" s="9">
        <f t="shared" si="27"/>
        <v>0</v>
      </c>
    </row>
    <row r="588" customHeight="1" spans="1:6">
      <c r="A588" s="11">
        <v>10585</v>
      </c>
      <c r="B588" s="9">
        <f t="shared" si="25"/>
        <v>2</v>
      </c>
      <c r="C588" s="9">
        <v>2</v>
      </c>
      <c r="D588" s="9">
        <v>1</v>
      </c>
      <c r="E588" s="9">
        <f t="shared" si="26"/>
        <v>12130</v>
      </c>
      <c r="F588" s="9">
        <f t="shared" si="27"/>
        <v>0</v>
      </c>
    </row>
    <row r="589" customHeight="1" spans="1:6">
      <c r="A589" s="11">
        <v>10586</v>
      </c>
      <c r="B589" s="9">
        <f t="shared" si="25"/>
        <v>3</v>
      </c>
      <c r="C589" s="9">
        <v>2</v>
      </c>
      <c r="D589" s="9">
        <v>1</v>
      </c>
      <c r="E589" s="9">
        <f t="shared" si="26"/>
        <v>12101</v>
      </c>
      <c r="F589" s="9">
        <f t="shared" si="27"/>
        <v>0</v>
      </c>
    </row>
    <row r="590" customHeight="1" spans="1:6">
      <c r="A590" s="11">
        <v>10587</v>
      </c>
      <c r="B590" s="9">
        <f t="shared" si="25"/>
        <v>3</v>
      </c>
      <c r="C590" s="9">
        <v>2</v>
      </c>
      <c r="D590" s="9">
        <v>1</v>
      </c>
      <c r="E590" s="9">
        <f t="shared" si="26"/>
        <v>12102</v>
      </c>
      <c r="F590" s="9">
        <f t="shared" si="27"/>
        <v>0</v>
      </c>
    </row>
    <row r="591" customHeight="1" spans="1:6">
      <c r="A591" s="11">
        <v>10588</v>
      </c>
      <c r="B591" s="9">
        <f t="shared" si="25"/>
        <v>3</v>
      </c>
      <c r="C591" s="9">
        <v>2</v>
      </c>
      <c r="D591" s="9">
        <v>1</v>
      </c>
      <c r="E591" s="9">
        <f t="shared" si="26"/>
        <v>12103</v>
      </c>
      <c r="F591" s="9">
        <f t="shared" si="27"/>
        <v>0</v>
      </c>
    </row>
    <row r="592" customHeight="1" spans="1:6">
      <c r="A592" s="11">
        <v>10589</v>
      </c>
      <c r="B592" s="9">
        <f t="shared" si="25"/>
        <v>3</v>
      </c>
      <c r="C592" s="9">
        <v>2</v>
      </c>
      <c r="D592" s="9">
        <v>1</v>
      </c>
      <c r="E592" s="9">
        <f t="shared" si="26"/>
        <v>12104</v>
      </c>
      <c r="F592" s="9">
        <f t="shared" si="27"/>
        <v>0</v>
      </c>
    </row>
    <row r="593" customHeight="1" spans="1:6">
      <c r="A593" s="11">
        <v>10590</v>
      </c>
      <c r="B593" s="9">
        <f t="shared" si="25"/>
        <v>3</v>
      </c>
      <c r="C593" s="9">
        <v>2</v>
      </c>
      <c r="D593" s="9">
        <v>1</v>
      </c>
      <c r="E593" s="9">
        <f t="shared" si="26"/>
        <v>12105</v>
      </c>
      <c r="F593" s="9">
        <f t="shared" si="27"/>
        <v>0</v>
      </c>
    </row>
    <row r="594" customHeight="1" spans="1:6">
      <c r="A594" s="11">
        <v>10591</v>
      </c>
      <c r="B594" s="9">
        <f t="shared" si="25"/>
        <v>3</v>
      </c>
      <c r="C594" s="9">
        <v>2</v>
      </c>
      <c r="D594" s="9">
        <v>1</v>
      </c>
      <c r="E594" s="9">
        <f t="shared" si="26"/>
        <v>12106</v>
      </c>
      <c r="F594" s="9">
        <f t="shared" si="27"/>
        <v>10</v>
      </c>
    </row>
    <row r="595" customHeight="1" spans="1:6">
      <c r="A595" s="11">
        <v>10592</v>
      </c>
      <c r="B595" s="9">
        <f t="shared" si="25"/>
        <v>3</v>
      </c>
      <c r="C595" s="9">
        <v>2</v>
      </c>
      <c r="D595" s="9">
        <v>1</v>
      </c>
      <c r="E595" s="9">
        <f t="shared" si="26"/>
        <v>12107</v>
      </c>
      <c r="F595" s="9">
        <f t="shared" si="27"/>
        <v>10</v>
      </c>
    </row>
    <row r="596" customHeight="1" spans="1:6">
      <c r="A596" s="11">
        <v>10593</v>
      </c>
      <c r="B596" s="9">
        <f t="shared" si="25"/>
        <v>3</v>
      </c>
      <c r="C596" s="9">
        <v>2</v>
      </c>
      <c r="D596" s="9">
        <v>1</v>
      </c>
      <c r="E596" s="9">
        <f t="shared" si="26"/>
        <v>12108</v>
      </c>
      <c r="F596" s="9">
        <f t="shared" si="27"/>
        <v>10</v>
      </c>
    </row>
    <row r="597" customHeight="1" spans="1:6">
      <c r="A597" s="11">
        <v>10594</v>
      </c>
      <c r="B597" s="9">
        <f t="shared" si="25"/>
        <v>3</v>
      </c>
      <c r="C597" s="9">
        <v>2</v>
      </c>
      <c r="D597" s="9">
        <v>1</v>
      </c>
      <c r="E597" s="9">
        <f t="shared" si="26"/>
        <v>12109</v>
      </c>
      <c r="F597" s="9">
        <f t="shared" si="27"/>
        <v>10</v>
      </c>
    </row>
    <row r="598" customHeight="1" spans="1:6">
      <c r="A598" s="11">
        <v>10595</v>
      </c>
      <c r="B598" s="9">
        <f t="shared" si="25"/>
        <v>3</v>
      </c>
      <c r="C598" s="9">
        <v>2</v>
      </c>
      <c r="D598" s="9">
        <v>1</v>
      </c>
      <c r="E598" s="9">
        <f t="shared" si="26"/>
        <v>12110</v>
      </c>
      <c r="F598" s="9">
        <f t="shared" si="27"/>
        <v>10</v>
      </c>
    </row>
    <row r="599" customHeight="1" spans="1:6">
      <c r="A599" s="11">
        <v>10596</v>
      </c>
      <c r="B599" s="9">
        <f t="shared" si="25"/>
        <v>3</v>
      </c>
      <c r="C599" s="9">
        <v>2</v>
      </c>
      <c r="D599" s="9">
        <v>1</v>
      </c>
      <c r="E599" s="9">
        <f t="shared" si="26"/>
        <v>12111</v>
      </c>
      <c r="F599" s="9">
        <f t="shared" si="27"/>
        <v>10</v>
      </c>
    </row>
    <row r="600" customHeight="1" spans="1:6">
      <c r="A600" s="11">
        <v>10597</v>
      </c>
      <c r="B600" s="9">
        <f t="shared" si="25"/>
        <v>3</v>
      </c>
      <c r="C600" s="9">
        <v>2</v>
      </c>
      <c r="D600" s="9">
        <v>1</v>
      </c>
      <c r="E600" s="9">
        <f t="shared" si="26"/>
        <v>12112</v>
      </c>
      <c r="F600" s="9">
        <f t="shared" si="27"/>
        <v>10</v>
      </c>
    </row>
    <row r="601" customHeight="1" spans="1:6">
      <c r="A601" s="11">
        <v>10598</v>
      </c>
      <c r="B601" s="9">
        <f t="shared" si="25"/>
        <v>3</v>
      </c>
      <c r="C601" s="9">
        <v>2</v>
      </c>
      <c r="D601" s="9">
        <v>1</v>
      </c>
      <c r="E601" s="9">
        <f t="shared" si="26"/>
        <v>12113</v>
      </c>
      <c r="F601" s="9">
        <f t="shared" si="27"/>
        <v>10</v>
      </c>
    </row>
    <row r="602" customHeight="1" spans="1:6">
      <c r="A602" s="11">
        <v>10599</v>
      </c>
      <c r="B602" s="9">
        <f t="shared" si="25"/>
        <v>3</v>
      </c>
      <c r="C602" s="9">
        <v>2</v>
      </c>
      <c r="D602" s="9">
        <v>1</v>
      </c>
      <c r="E602" s="9">
        <f t="shared" si="26"/>
        <v>12114</v>
      </c>
      <c r="F602" s="9">
        <f t="shared" si="27"/>
        <v>10</v>
      </c>
    </row>
    <row r="603" customHeight="1" spans="1:6">
      <c r="A603" s="11">
        <v>10600</v>
      </c>
      <c r="B603" s="9">
        <f t="shared" si="25"/>
        <v>3</v>
      </c>
      <c r="C603" s="9">
        <v>2</v>
      </c>
      <c r="D603" s="9">
        <v>1</v>
      </c>
      <c r="E603" s="9">
        <f t="shared" si="26"/>
        <v>12115</v>
      </c>
      <c r="F603" s="9">
        <f t="shared" si="27"/>
        <v>10</v>
      </c>
    </row>
    <row r="604" customHeight="1" spans="1:6">
      <c r="A604" s="11">
        <v>10601</v>
      </c>
      <c r="B604" s="9">
        <f t="shared" si="25"/>
        <v>3</v>
      </c>
      <c r="C604" s="9">
        <v>2</v>
      </c>
      <c r="D604" s="9">
        <v>1</v>
      </c>
      <c r="E604" s="9">
        <f t="shared" si="26"/>
        <v>12116</v>
      </c>
      <c r="F604" s="9">
        <f t="shared" si="27"/>
        <v>10</v>
      </c>
    </row>
    <row r="605" customHeight="1" spans="1:6">
      <c r="A605" s="11">
        <v>10602</v>
      </c>
      <c r="B605" s="9">
        <f t="shared" si="25"/>
        <v>3</v>
      </c>
      <c r="C605" s="9">
        <v>2</v>
      </c>
      <c r="D605" s="9">
        <v>1</v>
      </c>
      <c r="E605" s="9">
        <f t="shared" si="26"/>
        <v>12117</v>
      </c>
      <c r="F605" s="9">
        <f t="shared" si="27"/>
        <v>10</v>
      </c>
    </row>
    <row r="606" customHeight="1" spans="1:6">
      <c r="A606" s="11">
        <v>10603</v>
      </c>
      <c r="B606" s="9">
        <f t="shared" si="25"/>
        <v>3</v>
      </c>
      <c r="C606" s="9">
        <v>2</v>
      </c>
      <c r="D606" s="9">
        <v>1</v>
      </c>
      <c r="E606" s="9">
        <f t="shared" si="26"/>
        <v>12118</v>
      </c>
      <c r="F606" s="9">
        <f t="shared" si="27"/>
        <v>10</v>
      </c>
    </row>
    <row r="607" customHeight="1" spans="1:6">
      <c r="A607" s="11">
        <v>10604</v>
      </c>
      <c r="B607" s="9">
        <f t="shared" si="25"/>
        <v>3</v>
      </c>
      <c r="C607" s="9">
        <v>2</v>
      </c>
      <c r="D607" s="9">
        <v>1</v>
      </c>
      <c r="E607" s="9">
        <f t="shared" si="26"/>
        <v>12119</v>
      </c>
      <c r="F607" s="9">
        <f t="shared" si="27"/>
        <v>10</v>
      </c>
    </row>
    <row r="608" customHeight="1" spans="1:6">
      <c r="A608" s="11">
        <v>10605</v>
      </c>
      <c r="B608" s="9">
        <f t="shared" si="25"/>
        <v>3</v>
      </c>
      <c r="C608" s="9">
        <v>2</v>
      </c>
      <c r="D608" s="9">
        <v>1</v>
      </c>
      <c r="E608" s="9">
        <f t="shared" si="26"/>
        <v>12120</v>
      </c>
      <c r="F608" s="9">
        <f t="shared" si="27"/>
        <v>10</v>
      </c>
    </row>
    <row r="609" customHeight="1" spans="1:6">
      <c r="A609" s="11">
        <v>10606</v>
      </c>
      <c r="B609" s="9">
        <f t="shared" si="25"/>
        <v>3</v>
      </c>
      <c r="C609" s="9">
        <v>2</v>
      </c>
      <c r="D609" s="9">
        <v>1</v>
      </c>
      <c r="E609" s="9">
        <f t="shared" si="26"/>
        <v>12121</v>
      </c>
      <c r="F609" s="9">
        <f t="shared" si="27"/>
        <v>10</v>
      </c>
    </row>
    <row r="610" customHeight="1" spans="1:6">
      <c r="A610" s="11">
        <v>10607</v>
      </c>
      <c r="B610" s="9">
        <f t="shared" si="25"/>
        <v>3</v>
      </c>
      <c r="C610" s="9">
        <v>2</v>
      </c>
      <c r="D610" s="9">
        <v>1</v>
      </c>
      <c r="E610" s="9">
        <f t="shared" si="26"/>
        <v>12122</v>
      </c>
      <c r="F610" s="9">
        <f t="shared" si="27"/>
        <v>10</v>
      </c>
    </row>
    <row r="611" customHeight="1" spans="1:6">
      <c r="A611" s="11">
        <v>10608</v>
      </c>
      <c r="B611" s="9">
        <f t="shared" si="25"/>
        <v>3</v>
      </c>
      <c r="C611" s="9">
        <v>2</v>
      </c>
      <c r="D611" s="9">
        <v>1</v>
      </c>
      <c r="E611" s="9">
        <f t="shared" si="26"/>
        <v>12123</v>
      </c>
      <c r="F611" s="9">
        <f t="shared" si="27"/>
        <v>0</v>
      </c>
    </row>
    <row r="612" customHeight="1" spans="1:6">
      <c r="A612" s="11">
        <v>10609</v>
      </c>
      <c r="B612" s="9">
        <f t="shared" si="25"/>
        <v>3</v>
      </c>
      <c r="C612" s="9">
        <v>2</v>
      </c>
      <c r="D612" s="9">
        <v>1</v>
      </c>
      <c r="E612" s="9">
        <f t="shared" si="26"/>
        <v>12124</v>
      </c>
      <c r="F612" s="9">
        <f t="shared" si="27"/>
        <v>0</v>
      </c>
    </row>
    <row r="613" customHeight="1" spans="1:6">
      <c r="A613" s="11">
        <v>10610</v>
      </c>
      <c r="B613" s="9">
        <f t="shared" si="25"/>
        <v>3</v>
      </c>
      <c r="C613" s="9">
        <v>2</v>
      </c>
      <c r="D613" s="9">
        <v>1</v>
      </c>
      <c r="E613" s="9">
        <f t="shared" si="26"/>
        <v>12125</v>
      </c>
      <c r="F613" s="9">
        <f t="shared" si="27"/>
        <v>0</v>
      </c>
    </row>
    <row r="614" customHeight="1" spans="1:6">
      <c r="A614" s="11">
        <v>10611</v>
      </c>
      <c r="B614" s="9">
        <f t="shared" si="25"/>
        <v>3</v>
      </c>
      <c r="C614" s="9">
        <v>2</v>
      </c>
      <c r="D614" s="9">
        <v>1</v>
      </c>
      <c r="E614" s="9">
        <f t="shared" si="26"/>
        <v>12126</v>
      </c>
      <c r="F614" s="9">
        <f t="shared" si="27"/>
        <v>0</v>
      </c>
    </row>
    <row r="615" customHeight="1" spans="1:6">
      <c r="A615" s="11">
        <v>10612</v>
      </c>
      <c r="B615" s="9">
        <f t="shared" si="25"/>
        <v>3</v>
      </c>
      <c r="C615" s="9">
        <v>2</v>
      </c>
      <c r="D615" s="9">
        <v>1</v>
      </c>
      <c r="E615" s="9">
        <f t="shared" si="26"/>
        <v>12127</v>
      </c>
      <c r="F615" s="9">
        <f t="shared" si="27"/>
        <v>0</v>
      </c>
    </row>
    <row r="616" customHeight="1" spans="1:6">
      <c r="A616" s="11">
        <v>10613</v>
      </c>
      <c r="B616" s="9">
        <f t="shared" si="25"/>
        <v>3</v>
      </c>
      <c r="C616" s="9">
        <v>2</v>
      </c>
      <c r="D616" s="9">
        <v>1</v>
      </c>
      <c r="E616" s="9">
        <f t="shared" si="26"/>
        <v>12128</v>
      </c>
      <c r="F616" s="9">
        <f t="shared" si="27"/>
        <v>0</v>
      </c>
    </row>
    <row r="617" customHeight="1" spans="1:6">
      <c r="A617" s="11">
        <v>10614</v>
      </c>
      <c r="B617" s="9">
        <f t="shared" si="25"/>
        <v>3</v>
      </c>
      <c r="C617" s="9">
        <v>2</v>
      </c>
      <c r="D617" s="9">
        <v>1</v>
      </c>
      <c r="E617" s="9">
        <f t="shared" si="26"/>
        <v>12129</v>
      </c>
      <c r="F617" s="9">
        <f t="shared" si="27"/>
        <v>0</v>
      </c>
    </row>
    <row r="618" customHeight="1" spans="1:6">
      <c r="A618" s="11">
        <v>10615</v>
      </c>
      <c r="B618" s="9">
        <f t="shared" si="25"/>
        <v>3</v>
      </c>
      <c r="C618" s="9">
        <v>2</v>
      </c>
      <c r="D618" s="9">
        <v>1</v>
      </c>
      <c r="E618" s="9">
        <f t="shared" si="26"/>
        <v>12130</v>
      </c>
      <c r="F618" s="9">
        <f t="shared" si="27"/>
        <v>0</v>
      </c>
    </row>
    <row r="619" customHeight="1" spans="1:6">
      <c r="A619" s="11">
        <v>10616</v>
      </c>
      <c r="B619" s="9">
        <f t="shared" si="25"/>
        <v>4</v>
      </c>
      <c r="C619" s="9">
        <v>2</v>
      </c>
      <c r="D619" s="9">
        <v>1</v>
      </c>
      <c r="E619" s="9">
        <f t="shared" si="26"/>
        <v>12101</v>
      </c>
      <c r="F619" s="9">
        <f t="shared" si="27"/>
        <v>0</v>
      </c>
    </row>
    <row r="620" customHeight="1" spans="1:6">
      <c r="A620" s="11">
        <v>10617</v>
      </c>
      <c r="B620" s="9">
        <f t="shared" si="25"/>
        <v>4</v>
      </c>
      <c r="C620" s="9">
        <v>2</v>
      </c>
      <c r="D620" s="9">
        <v>1</v>
      </c>
      <c r="E620" s="9">
        <f t="shared" si="26"/>
        <v>12102</v>
      </c>
      <c r="F620" s="9">
        <f t="shared" si="27"/>
        <v>0</v>
      </c>
    </row>
    <row r="621" customHeight="1" spans="1:6">
      <c r="A621" s="11">
        <v>10618</v>
      </c>
      <c r="B621" s="9">
        <f t="shared" si="25"/>
        <v>4</v>
      </c>
      <c r="C621" s="9">
        <v>2</v>
      </c>
      <c r="D621" s="9">
        <v>1</v>
      </c>
      <c r="E621" s="9">
        <f t="shared" si="26"/>
        <v>12103</v>
      </c>
      <c r="F621" s="9">
        <f t="shared" si="27"/>
        <v>0</v>
      </c>
    </row>
    <row r="622" customHeight="1" spans="1:6">
      <c r="A622" s="11">
        <v>10619</v>
      </c>
      <c r="B622" s="9">
        <f t="shared" si="25"/>
        <v>4</v>
      </c>
      <c r="C622" s="9">
        <v>2</v>
      </c>
      <c r="D622" s="9">
        <v>1</v>
      </c>
      <c r="E622" s="9">
        <f t="shared" si="26"/>
        <v>12104</v>
      </c>
      <c r="F622" s="9">
        <f t="shared" si="27"/>
        <v>0</v>
      </c>
    </row>
    <row r="623" customHeight="1" spans="1:6">
      <c r="A623" s="11">
        <v>10620</v>
      </c>
      <c r="B623" s="9">
        <f t="shared" si="25"/>
        <v>4</v>
      </c>
      <c r="C623" s="9">
        <v>2</v>
      </c>
      <c r="D623" s="9">
        <v>1</v>
      </c>
      <c r="E623" s="9">
        <f t="shared" si="26"/>
        <v>12105</v>
      </c>
      <c r="F623" s="9">
        <f t="shared" si="27"/>
        <v>0</v>
      </c>
    </row>
    <row r="624" customHeight="1" spans="1:6">
      <c r="A624" s="11">
        <v>10621</v>
      </c>
      <c r="B624" s="9">
        <f t="shared" ref="B624:B661" si="28">B594+1</f>
        <v>4</v>
      </c>
      <c r="C624" s="9">
        <v>2</v>
      </c>
      <c r="D624" s="9">
        <v>1</v>
      </c>
      <c r="E624" s="9">
        <f t="shared" ref="E624:E687" si="29">E594</f>
        <v>12106</v>
      </c>
      <c r="F624" s="9">
        <f t="shared" si="27"/>
        <v>0</v>
      </c>
    </row>
    <row r="625" customHeight="1" spans="1:6">
      <c r="A625" s="11">
        <v>10622</v>
      </c>
      <c r="B625" s="9">
        <f t="shared" si="28"/>
        <v>4</v>
      </c>
      <c r="C625" s="9">
        <v>2</v>
      </c>
      <c r="D625" s="9">
        <v>1</v>
      </c>
      <c r="E625" s="9">
        <f t="shared" si="29"/>
        <v>12107</v>
      </c>
      <c r="F625" s="9">
        <f t="shared" ref="F625:F688" si="30">VLOOKUP(RIGHT(E625,2)*1,$K$529:$R$559,B625+1,0)</f>
        <v>0</v>
      </c>
    </row>
    <row r="626" customHeight="1" spans="1:6">
      <c r="A626" s="11">
        <v>10623</v>
      </c>
      <c r="B626" s="9">
        <f t="shared" si="28"/>
        <v>4</v>
      </c>
      <c r="C626" s="9">
        <v>2</v>
      </c>
      <c r="D626" s="9">
        <v>1</v>
      </c>
      <c r="E626" s="9">
        <f t="shared" si="29"/>
        <v>12108</v>
      </c>
      <c r="F626" s="9">
        <f t="shared" si="30"/>
        <v>0</v>
      </c>
    </row>
    <row r="627" customHeight="1" spans="1:6">
      <c r="A627" s="11">
        <v>10624</v>
      </c>
      <c r="B627" s="9">
        <f t="shared" si="28"/>
        <v>4</v>
      </c>
      <c r="C627" s="9">
        <v>2</v>
      </c>
      <c r="D627" s="9">
        <v>1</v>
      </c>
      <c r="E627" s="9">
        <f t="shared" si="29"/>
        <v>12109</v>
      </c>
      <c r="F627" s="9">
        <f t="shared" si="30"/>
        <v>10</v>
      </c>
    </row>
    <row r="628" customHeight="1" spans="1:6">
      <c r="A628" s="11">
        <v>10625</v>
      </c>
      <c r="B628" s="9">
        <f t="shared" si="28"/>
        <v>4</v>
      </c>
      <c r="C628" s="9">
        <v>2</v>
      </c>
      <c r="D628" s="9">
        <v>1</v>
      </c>
      <c r="E628" s="9">
        <f t="shared" si="29"/>
        <v>12110</v>
      </c>
      <c r="F628" s="9">
        <f t="shared" si="30"/>
        <v>10</v>
      </c>
    </row>
    <row r="629" customHeight="1" spans="1:6">
      <c r="A629" s="11">
        <v>10626</v>
      </c>
      <c r="B629" s="9">
        <f t="shared" si="28"/>
        <v>4</v>
      </c>
      <c r="C629" s="9">
        <v>2</v>
      </c>
      <c r="D629" s="9">
        <v>1</v>
      </c>
      <c r="E629" s="9">
        <f t="shared" si="29"/>
        <v>12111</v>
      </c>
      <c r="F629" s="9">
        <f t="shared" si="30"/>
        <v>10</v>
      </c>
    </row>
    <row r="630" customHeight="1" spans="1:6">
      <c r="A630" s="11">
        <v>10627</v>
      </c>
      <c r="B630" s="9">
        <f t="shared" si="28"/>
        <v>4</v>
      </c>
      <c r="C630" s="9">
        <v>2</v>
      </c>
      <c r="D630" s="9">
        <v>1</v>
      </c>
      <c r="E630" s="9">
        <f t="shared" si="29"/>
        <v>12112</v>
      </c>
      <c r="F630" s="9">
        <f t="shared" si="30"/>
        <v>10</v>
      </c>
    </row>
    <row r="631" customHeight="1" spans="1:6">
      <c r="A631" s="11">
        <v>10628</v>
      </c>
      <c r="B631" s="9">
        <f t="shared" si="28"/>
        <v>4</v>
      </c>
      <c r="C631" s="9">
        <v>2</v>
      </c>
      <c r="D631" s="9">
        <v>1</v>
      </c>
      <c r="E631" s="9">
        <f t="shared" si="29"/>
        <v>12113</v>
      </c>
      <c r="F631" s="9">
        <f t="shared" si="30"/>
        <v>10</v>
      </c>
    </row>
    <row r="632" customHeight="1" spans="1:6">
      <c r="A632" s="11">
        <v>10629</v>
      </c>
      <c r="B632" s="9">
        <f t="shared" si="28"/>
        <v>4</v>
      </c>
      <c r="C632" s="9">
        <v>2</v>
      </c>
      <c r="D632" s="9">
        <v>1</v>
      </c>
      <c r="E632" s="9">
        <f t="shared" si="29"/>
        <v>12114</v>
      </c>
      <c r="F632" s="9">
        <f t="shared" si="30"/>
        <v>10</v>
      </c>
    </row>
    <row r="633" customHeight="1" spans="1:6">
      <c r="A633" s="11">
        <v>10630</v>
      </c>
      <c r="B633" s="9">
        <f t="shared" si="28"/>
        <v>4</v>
      </c>
      <c r="C633" s="9">
        <v>2</v>
      </c>
      <c r="D633" s="9">
        <v>1</v>
      </c>
      <c r="E633" s="9">
        <f t="shared" si="29"/>
        <v>12115</v>
      </c>
      <c r="F633" s="9">
        <f t="shared" si="30"/>
        <v>10</v>
      </c>
    </row>
    <row r="634" customHeight="1" spans="1:6">
      <c r="A634" s="11">
        <v>10631</v>
      </c>
      <c r="B634" s="9">
        <f t="shared" si="28"/>
        <v>4</v>
      </c>
      <c r="C634" s="9">
        <v>2</v>
      </c>
      <c r="D634" s="9">
        <v>1</v>
      </c>
      <c r="E634" s="9">
        <f t="shared" si="29"/>
        <v>12116</v>
      </c>
      <c r="F634" s="9">
        <f t="shared" si="30"/>
        <v>10</v>
      </c>
    </row>
    <row r="635" customHeight="1" spans="1:6">
      <c r="A635" s="11">
        <v>10632</v>
      </c>
      <c r="B635" s="9">
        <f t="shared" si="28"/>
        <v>4</v>
      </c>
      <c r="C635" s="9">
        <v>2</v>
      </c>
      <c r="D635" s="9">
        <v>1</v>
      </c>
      <c r="E635" s="9">
        <f t="shared" si="29"/>
        <v>12117</v>
      </c>
      <c r="F635" s="9">
        <f t="shared" si="30"/>
        <v>10</v>
      </c>
    </row>
    <row r="636" customHeight="1" spans="1:6">
      <c r="A636" s="11">
        <v>10633</v>
      </c>
      <c r="B636" s="9">
        <f t="shared" si="28"/>
        <v>4</v>
      </c>
      <c r="C636" s="9">
        <v>2</v>
      </c>
      <c r="D636" s="9">
        <v>1</v>
      </c>
      <c r="E636" s="9">
        <f t="shared" si="29"/>
        <v>12118</v>
      </c>
      <c r="F636" s="9">
        <f t="shared" si="30"/>
        <v>10</v>
      </c>
    </row>
    <row r="637" customHeight="1" spans="1:6">
      <c r="A637" s="11">
        <v>10634</v>
      </c>
      <c r="B637" s="9">
        <f t="shared" si="28"/>
        <v>4</v>
      </c>
      <c r="C637" s="9">
        <v>2</v>
      </c>
      <c r="D637" s="9">
        <v>1</v>
      </c>
      <c r="E637" s="9">
        <f t="shared" si="29"/>
        <v>12119</v>
      </c>
      <c r="F637" s="9">
        <f t="shared" si="30"/>
        <v>10</v>
      </c>
    </row>
    <row r="638" customHeight="1" spans="1:6">
      <c r="A638" s="11">
        <v>10635</v>
      </c>
      <c r="B638" s="9">
        <f t="shared" si="28"/>
        <v>4</v>
      </c>
      <c r="C638" s="9">
        <v>2</v>
      </c>
      <c r="D638" s="9">
        <v>1</v>
      </c>
      <c r="E638" s="9">
        <f t="shared" si="29"/>
        <v>12120</v>
      </c>
      <c r="F638" s="9">
        <f t="shared" si="30"/>
        <v>10</v>
      </c>
    </row>
    <row r="639" customHeight="1" spans="1:6">
      <c r="A639" s="11">
        <v>10636</v>
      </c>
      <c r="B639" s="9">
        <f t="shared" si="28"/>
        <v>4</v>
      </c>
      <c r="C639" s="9">
        <v>2</v>
      </c>
      <c r="D639" s="9">
        <v>1</v>
      </c>
      <c r="E639" s="9">
        <f t="shared" si="29"/>
        <v>12121</v>
      </c>
      <c r="F639" s="9">
        <f t="shared" si="30"/>
        <v>10</v>
      </c>
    </row>
    <row r="640" customHeight="1" spans="1:6">
      <c r="A640" s="11">
        <v>10637</v>
      </c>
      <c r="B640" s="9">
        <f t="shared" si="28"/>
        <v>4</v>
      </c>
      <c r="C640" s="9">
        <v>2</v>
      </c>
      <c r="D640" s="9">
        <v>1</v>
      </c>
      <c r="E640" s="9">
        <f t="shared" si="29"/>
        <v>12122</v>
      </c>
      <c r="F640" s="9">
        <f t="shared" si="30"/>
        <v>10</v>
      </c>
    </row>
    <row r="641" customHeight="1" spans="1:6">
      <c r="A641" s="11">
        <v>10638</v>
      </c>
      <c r="B641" s="9">
        <f t="shared" si="28"/>
        <v>4</v>
      </c>
      <c r="C641" s="9">
        <v>2</v>
      </c>
      <c r="D641" s="9">
        <v>1</v>
      </c>
      <c r="E641" s="9">
        <f t="shared" si="29"/>
        <v>12123</v>
      </c>
      <c r="F641" s="9">
        <f t="shared" si="30"/>
        <v>10</v>
      </c>
    </row>
    <row r="642" customHeight="1" spans="1:6">
      <c r="A642" s="11">
        <v>10639</v>
      </c>
      <c r="B642" s="9">
        <f t="shared" si="28"/>
        <v>4</v>
      </c>
      <c r="C642" s="9">
        <v>2</v>
      </c>
      <c r="D642" s="9">
        <v>1</v>
      </c>
      <c r="E642" s="9">
        <f t="shared" si="29"/>
        <v>12124</v>
      </c>
      <c r="F642" s="9">
        <f t="shared" si="30"/>
        <v>10</v>
      </c>
    </row>
    <row r="643" customHeight="1" spans="1:6">
      <c r="A643" s="11">
        <v>10640</v>
      </c>
      <c r="B643" s="9">
        <f t="shared" si="28"/>
        <v>4</v>
      </c>
      <c r="C643" s="9">
        <v>2</v>
      </c>
      <c r="D643" s="9">
        <v>1</v>
      </c>
      <c r="E643" s="9">
        <f t="shared" si="29"/>
        <v>12125</v>
      </c>
      <c r="F643" s="9">
        <f t="shared" si="30"/>
        <v>10</v>
      </c>
    </row>
    <row r="644" customHeight="1" spans="1:6">
      <c r="A644" s="11">
        <v>10641</v>
      </c>
      <c r="B644" s="9">
        <f t="shared" si="28"/>
        <v>4</v>
      </c>
      <c r="C644" s="9">
        <v>2</v>
      </c>
      <c r="D644" s="9">
        <v>1</v>
      </c>
      <c r="E644" s="9">
        <f t="shared" si="29"/>
        <v>12126</v>
      </c>
      <c r="F644" s="9">
        <f t="shared" si="30"/>
        <v>0</v>
      </c>
    </row>
    <row r="645" customHeight="1" spans="1:6">
      <c r="A645" s="11">
        <v>10642</v>
      </c>
      <c r="B645" s="9">
        <f t="shared" si="28"/>
        <v>4</v>
      </c>
      <c r="C645" s="9">
        <v>2</v>
      </c>
      <c r="D645" s="9">
        <v>1</v>
      </c>
      <c r="E645" s="9">
        <f t="shared" si="29"/>
        <v>12127</v>
      </c>
      <c r="F645" s="9">
        <f t="shared" si="30"/>
        <v>0</v>
      </c>
    </row>
    <row r="646" customHeight="1" spans="1:6">
      <c r="A646" s="11">
        <v>10643</v>
      </c>
      <c r="B646" s="9">
        <f t="shared" si="28"/>
        <v>4</v>
      </c>
      <c r="C646" s="9">
        <v>2</v>
      </c>
      <c r="D646" s="9">
        <v>1</v>
      </c>
      <c r="E646" s="9">
        <f t="shared" si="29"/>
        <v>12128</v>
      </c>
      <c r="F646" s="9">
        <f t="shared" si="30"/>
        <v>0</v>
      </c>
    </row>
    <row r="647" customHeight="1" spans="1:6">
      <c r="A647" s="11">
        <v>10644</v>
      </c>
      <c r="B647" s="9">
        <f t="shared" si="28"/>
        <v>4</v>
      </c>
      <c r="C647" s="9">
        <v>2</v>
      </c>
      <c r="D647" s="9">
        <v>1</v>
      </c>
      <c r="E647" s="9">
        <f t="shared" si="29"/>
        <v>12129</v>
      </c>
      <c r="F647" s="9">
        <f t="shared" si="30"/>
        <v>0</v>
      </c>
    </row>
    <row r="648" customHeight="1" spans="1:6">
      <c r="A648" s="11">
        <v>10645</v>
      </c>
      <c r="B648" s="9">
        <f t="shared" si="28"/>
        <v>4</v>
      </c>
      <c r="C648" s="9">
        <v>2</v>
      </c>
      <c r="D648" s="9">
        <v>1</v>
      </c>
      <c r="E648" s="9">
        <f t="shared" si="29"/>
        <v>12130</v>
      </c>
      <c r="F648" s="9">
        <f t="shared" si="30"/>
        <v>0</v>
      </c>
    </row>
    <row r="649" customHeight="1" spans="1:6">
      <c r="A649" s="11">
        <v>10646</v>
      </c>
      <c r="B649" s="9">
        <f t="shared" si="28"/>
        <v>5</v>
      </c>
      <c r="C649" s="9">
        <v>2</v>
      </c>
      <c r="D649" s="9">
        <v>1</v>
      </c>
      <c r="E649" s="9">
        <f t="shared" si="29"/>
        <v>12101</v>
      </c>
      <c r="F649" s="9">
        <f t="shared" si="30"/>
        <v>0</v>
      </c>
    </row>
    <row r="650" customHeight="1" spans="1:6">
      <c r="A650" s="11">
        <v>10647</v>
      </c>
      <c r="B650" s="9">
        <f t="shared" si="28"/>
        <v>5</v>
      </c>
      <c r="C650" s="9">
        <v>2</v>
      </c>
      <c r="D650" s="9">
        <v>1</v>
      </c>
      <c r="E650" s="9">
        <f t="shared" si="29"/>
        <v>12102</v>
      </c>
      <c r="F650" s="9">
        <f t="shared" si="30"/>
        <v>0</v>
      </c>
    </row>
    <row r="651" customHeight="1" spans="1:6">
      <c r="A651" s="11">
        <v>10648</v>
      </c>
      <c r="B651" s="9">
        <f t="shared" si="28"/>
        <v>5</v>
      </c>
      <c r="C651" s="9">
        <v>2</v>
      </c>
      <c r="D651" s="9">
        <v>1</v>
      </c>
      <c r="E651" s="9">
        <f t="shared" si="29"/>
        <v>12103</v>
      </c>
      <c r="F651" s="9">
        <f t="shared" si="30"/>
        <v>0</v>
      </c>
    </row>
    <row r="652" customHeight="1" spans="1:6">
      <c r="A652" s="11">
        <v>10649</v>
      </c>
      <c r="B652" s="9">
        <f t="shared" si="28"/>
        <v>5</v>
      </c>
      <c r="C652" s="9">
        <v>2</v>
      </c>
      <c r="D652" s="9">
        <v>1</v>
      </c>
      <c r="E652" s="9">
        <f t="shared" si="29"/>
        <v>12104</v>
      </c>
      <c r="F652" s="9">
        <f t="shared" si="30"/>
        <v>0</v>
      </c>
    </row>
    <row r="653" customHeight="1" spans="1:6">
      <c r="A653" s="11">
        <v>10650</v>
      </c>
      <c r="B653" s="9">
        <f t="shared" si="28"/>
        <v>5</v>
      </c>
      <c r="C653" s="9">
        <v>2</v>
      </c>
      <c r="D653" s="9">
        <v>1</v>
      </c>
      <c r="E653" s="9">
        <f t="shared" si="29"/>
        <v>12105</v>
      </c>
      <c r="F653" s="9">
        <f t="shared" si="30"/>
        <v>0</v>
      </c>
    </row>
    <row r="654" customHeight="1" spans="1:6">
      <c r="A654" s="11">
        <v>10651</v>
      </c>
      <c r="B654" s="9">
        <f t="shared" si="28"/>
        <v>5</v>
      </c>
      <c r="C654" s="9">
        <v>2</v>
      </c>
      <c r="D654" s="9">
        <v>1</v>
      </c>
      <c r="E654" s="9">
        <f t="shared" si="29"/>
        <v>12106</v>
      </c>
      <c r="F654" s="9">
        <f t="shared" si="30"/>
        <v>0</v>
      </c>
    </row>
    <row r="655" customHeight="1" spans="1:6">
      <c r="A655" s="11">
        <v>10652</v>
      </c>
      <c r="B655" s="9">
        <f t="shared" si="28"/>
        <v>5</v>
      </c>
      <c r="C655" s="9">
        <v>2</v>
      </c>
      <c r="D655" s="9">
        <v>1</v>
      </c>
      <c r="E655" s="9">
        <f t="shared" si="29"/>
        <v>12107</v>
      </c>
      <c r="F655" s="9">
        <f t="shared" si="30"/>
        <v>0</v>
      </c>
    </row>
    <row r="656" customHeight="1" spans="1:6">
      <c r="A656" s="11">
        <v>10653</v>
      </c>
      <c r="B656" s="9">
        <f t="shared" si="28"/>
        <v>5</v>
      </c>
      <c r="C656" s="9">
        <v>2</v>
      </c>
      <c r="D656" s="9">
        <v>1</v>
      </c>
      <c r="E656" s="9">
        <f t="shared" si="29"/>
        <v>12108</v>
      </c>
      <c r="F656" s="9">
        <f t="shared" si="30"/>
        <v>0</v>
      </c>
    </row>
    <row r="657" customHeight="1" spans="1:6">
      <c r="A657" s="11">
        <v>10654</v>
      </c>
      <c r="B657" s="9">
        <f t="shared" si="28"/>
        <v>5</v>
      </c>
      <c r="C657" s="9">
        <v>2</v>
      </c>
      <c r="D657" s="9">
        <v>1</v>
      </c>
      <c r="E657" s="9">
        <f t="shared" si="29"/>
        <v>12109</v>
      </c>
      <c r="F657" s="9">
        <f t="shared" si="30"/>
        <v>0</v>
      </c>
    </row>
    <row r="658" customHeight="1" spans="1:6">
      <c r="A658" s="11">
        <v>10655</v>
      </c>
      <c r="B658" s="9">
        <f t="shared" si="28"/>
        <v>5</v>
      </c>
      <c r="C658" s="9">
        <v>2</v>
      </c>
      <c r="D658" s="9">
        <v>1</v>
      </c>
      <c r="E658" s="9">
        <f t="shared" si="29"/>
        <v>12110</v>
      </c>
      <c r="F658" s="9">
        <f t="shared" si="30"/>
        <v>0</v>
      </c>
    </row>
    <row r="659" customHeight="1" spans="1:6">
      <c r="A659" s="11">
        <v>10656</v>
      </c>
      <c r="B659" s="9">
        <f t="shared" si="28"/>
        <v>5</v>
      </c>
      <c r="C659" s="9">
        <v>2</v>
      </c>
      <c r="D659" s="9">
        <v>1</v>
      </c>
      <c r="E659" s="9">
        <f t="shared" si="29"/>
        <v>12111</v>
      </c>
      <c r="F659" s="9">
        <f t="shared" si="30"/>
        <v>0</v>
      </c>
    </row>
    <row r="660" customHeight="1" spans="1:6">
      <c r="A660" s="11">
        <v>10657</v>
      </c>
      <c r="B660" s="9">
        <f t="shared" si="28"/>
        <v>5</v>
      </c>
      <c r="C660" s="9">
        <v>2</v>
      </c>
      <c r="D660" s="9">
        <v>1</v>
      </c>
      <c r="E660" s="9">
        <f t="shared" si="29"/>
        <v>12112</v>
      </c>
      <c r="F660" s="9">
        <f t="shared" si="30"/>
        <v>10</v>
      </c>
    </row>
    <row r="661" customHeight="1" spans="1:6">
      <c r="A661" s="11">
        <v>10658</v>
      </c>
      <c r="B661" s="9">
        <f t="shared" si="28"/>
        <v>5</v>
      </c>
      <c r="C661" s="9">
        <v>2</v>
      </c>
      <c r="D661" s="9">
        <v>1</v>
      </c>
      <c r="E661" s="9">
        <f t="shared" si="29"/>
        <v>12113</v>
      </c>
      <c r="F661" s="9">
        <f t="shared" si="30"/>
        <v>10</v>
      </c>
    </row>
    <row r="662" customHeight="1" spans="1:6">
      <c r="A662" s="11">
        <v>10659</v>
      </c>
      <c r="B662" s="9">
        <f t="shared" ref="B662:B725" si="31">B632+1</f>
        <v>5</v>
      </c>
      <c r="C662" s="9">
        <v>2</v>
      </c>
      <c r="D662" s="9">
        <v>1</v>
      </c>
      <c r="E662" s="9">
        <f t="shared" si="29"/>
        <v>12114</v>
      </c>
      <c r="F662" s="9">
        <f t="shared" si="30"/>
        <v>10</v>
      </c>
    </row>
    <row r="663" customHeight="1" spans="1:6">
      <c r="A663" s="11">
        <v>10660</v>
      </c>
      <c r="B663" s="9">
        <f t="shared" si="31"/>
        <v>5</v>
      </c>
      <c r="C663" s="9">
        <v>2</v>
      </c>
      <c r="D663" s="9">
        <v>1</v>
      </c>
      <c r="E663" s="9">
        <f t="shared" si="29"/>
        <v>12115</v>
      </c>
      <c r="F663" s="9">
        <f t="shared" si="30"/>
        <v>10</v>
      </c>
    </row>
    <row r="664" customHeight="1" spans="1:6">
      <c r="A664" s="11">
        <v>10661</v>
      </c>
      <c r="B664" s="9">
        <f t="shared" si="31"/>
        <v>5</v>
      </c>
      <c r="C664" s="9">
        <v>2</v>
      </c>
      <c r="D664" s="9">
        <v>1</v>
      </c>
      <c r="E664" s="9">
        <f t="shared" si="29"/>
        <v>12116</v>
      </c>
      <c r="F664" s="9">
        <f t="shared" si="30"/>
        <v>10</v>
      </c>
    </row>
    <row r="665" customHeight="1" spans="1:6">
      <c r="A665" s="11">
        <v>10662</v>
      </c>
      <c r="B665" s="9">
        <f t="shared" si="31"/>
        <v>5</v>
      </c>
      <c r="C665" s="9">
        <v>2</v>
      </c>
      <c r="D665" s="9">
        <v>1</v>
      </c>
      <c r="E665" s="9">
        <f t="shared" si="29"/>
        <v>12117</v>
      </c>
      <c r="F665" s="9">
        <f t="shared" si="30"/>
        <v>10</v>
      </c>
    </row>
    <row r="666" customHeight="1" spans="1:6">
      <c r="A666" s="11">
        <v>10663</v>
      </c>
      <c r="B666" s="9">
        <f t="shared" si="31"/>
        <v>5</v>
      </c>
      <c r="C666" s="9">
        <v>2</v>
      </c>
      <c r="D666" s="9">
        <v>1</v>
      </c>
      <c r="E666" s="9">
        <f t="shared" si="29"/>
        <v>12118</v>
      </c>
      <c r="F666" s="9">
        <f t="shared" si="30"/>
        <v>10</v>
      </c>
    </row>
    <row r="667" customHeight="1" spans="1:6">
      <c r="A667" s="11">
        <v>10664</v>
      </c>
      <c r="B667" s="9">
        <f t="shared" si="31"/>
        <v>5</v>
      </c>
      <c r="C667" s="9">
        <v>2</v>
      </c>
      <c r="D667" s="9">
        <v>1</v>
      </c>
      <c r="E667" s="9">
        <f t="shared" si="29"/>
        <v>12119</v>
      </c>
      <c r="F667" s="9">
        <f t="shared" si="30"/>
        <v>10</v>
      </c>
    </row>
    <row r="668" customHeight="1" spans="1:6">
      <c r="A668" s="11">
        <v>10665</v>
      </c>
      <c r="B668" s="9">
        <f t="shared" si="31"/>
        <v>5</v>
      </c>
      <c r="C668" s="9">
        <v>2</v>
      </c>
      <c r="D668" s="9">
        <v>1</v>
      </c>
      <c r="E668" s="9">
        <f t="shared" si="29"/>
        <v>12120</v>
      </c>
      <c r="F668" s="9">
        <f t="shared" si="30"/>
        <v>10</v>
      </c>
    </row>
    <row r="669" customHeight="1" spans="1:6">
      <c r="A669" s="11">
        <v>10666</v>
      </c>
      <c r="B669" s="9">
        <f t="shared" si="31"/>
        <v>5</v>
      </c>
      <c r="C669" s="9">
        <v>2</v>
      </c>
      <c r="D669" s="9">
        <v>1</v>
      </c>
      <c r="E669" s="9">
        <f t="shared" si="29"/>
        <v>12121</v>
      </c>
      <c r="F669" s="9">
        <f t="shared" si="30"/>
        <v>10</v>
      </c>
    </row>
    <row r="670" customHeight="1" spans="1:6">
      <c r="A670" s="11">
        <v>10667</v>
      </c>
      <c r="B670" s="9">
        <f t="shared" si="31"/>
        <v>5</v>
      </c>
      <c r="C670" s="9">
        <v>2</v>
      </c>
      <c r="D670" s="9">
        <v>1</v>
      </c>
      <c r="E670" s="9">
        <f t="shared" si="29"/>
        <v>12122</v>
      </c>
      <c r="F670" s="9">
        <f t="shared" si="30"/>
        <v>10</v>
      </c>
    </row>
    <row r="671" customHeight="1" spans="1:6">
      <c r="A671" s="11">
        <v>10668</v>
      </c>
      <c r="B671" s="9">
        <f t="shared" si="31"/>
        <v>5</v>
      </c>
      <c r="C671" s="9">
        <v>2</v>
      </c>
      <c r="D671" s="9">
        <v>1</v>
      </c>
      <c r="E671" s="9">
        <f t="shared" si="29"/>
        <v>12123</v>
      </c>
      <c r="F671" s="9">
        <f t="shared" si="30"/>
        <v>10</v>
      </c>
    </row>
    <row r="672" customHeight="1" spans="1:6">
      <c r="A672" s="11">
        <v>10669</v>
      </c>
      <c r="B672" s="9">
        <f t="shared" si="31"/>
        <v>5</v>
      </c>
      <c r="C672" s="9">
        <v>2</v>
      </c>
      <c r="D672" s="9">
        <v>1</v>
      </c>
      <c r="E672" s="9">
        <f t="shared" si="29"/>
        <v>12124</v>
      </c>
      <c r="F672" s="9">
        <f t="shared" si="30"/>
        <v>10</v>
      </c>
    </row>
    <row r="673" customHeight="1" spans="1:6">
      <c r="A673" s="11">
        <v>10670</v>
      </c>
      <c r="B673" s="9">
        <f t="shared" si="31"/>
        <v>5</v>
      </c>
      <c r="C673" s="9">
        <v>2</v>
      </c>
      <c r="D673" s="9">
        <v>1</v>
      </c>
      <c r="E673" s="9">
        <f t="shared" si="29"/>
        <v>12125</v>
      </c>
      <c r="F673" s="9">
        <f t="shared" si="30"/>
        <v>10</v>
      </c>
    </row>
    <row r="674" customHeight="1" spans="1:6">
      <c r="A674" s="11">
        <v>10671</v>
      </c>
      <c r="B674" s="9">
        <f t="shared" si="31"/>
        <v>5</v>
      </c>
      <c r="C674" s="9">
        <v>2</v>
      </c>
      <c r="D674" s="9">
        <v>1</v>
      </c>
      <c r="E674" s="9">
        <f t="shared" si="29"/>
        <v>12126</v>
      </c>
      <c r="F674" s="9">
        <f t="shared" si="30"/>
        <v>10</v>
      </c>
    </row>
    <row r="675" customHeight="1" spans="1:6">
      <c r="A675" s="11">
        <v>10672</v>
      </c>
      <c r="B675" s="9">
        <f t="shared" si="31"/>
        <v>5</v>
      </c>
      <c r="C675" s="9">
        <v>2</v>
      </c>
      <c r="D675" s="9">
        <v>1</v>
      </c>
      <c r="E675" s="9">
        <f t="shared" si="29"/>
        <v>12127</v>
      </c>
      <c r="F675" s="9">
        <f t="shared" si="30"/>
        <v>10</v>
      </c>
    </row>
    <row r="676" customHeight="1" spans="1:6">
      <c r="A676" s="11">
        <v>10673</v>
      </c>
      <c r="B676" s="9">
        <f t="shared" si="31"/>
        <v>5</v>
      </c>
      <c r="C676" s="9">
        <v>2</v>
      </c>
      <c r="D676" s="9">
        <v>1</v>
      </c>
      <c r="E676" s="9">
        <f t="shared" si="29"/>
        <v>12128</v>
      </c>
      <c r="F676" s="9">
        <f t="shared" si="30"/>
        <v>10</v>
      </c>
    </row>
    <row r="677" customHeight="1" spans="1:6">
      <c r="A677" s="11">
        <v>10674</v>
      </c>
      <c r="B677" s="9">
        <f t="shared" si="31"/>
        <v>5</v>
      </c>
      <c r="C677" s="9">
        <v>2</v>
      </c>
      <c r="D677" s="9">
        <v>1</v>
      </c>
      <c r="E677" s="9">
        <f t="shared" si="29"/>
        <v>12129</v>
      </c>
      <c r="F677" s="9">
        <f t="shared" si="30"/>
        <v>0</v>
      </c>
    </row>
    <row r="678" customHeight="1" spans="1:6">
      <c r="A678" s="11">
        <v>10675</v>
      </c>
      <c r="B678" s="9">
        <f t="shared" si="31"/>
        <v>5</v>
      </c>
      <c r="C678" s="9">
        <v>2</v>
      </c>
      <c r="D678" s="9">
        <v>1</v>
      </c>
      <c r="E678" s="9">
        <f t="shared" si="29"/>
        <v>12130</v>
      </c>
      <c r="F678" s="9">
        <f t="shared" si="30"/>
        <v>0</v>
      </c>
    </row>
    <row r="679" customHeight="1" spans="1:6">
      <c r="A679" s="11">
        <v>10676</v>
      </c>
      <c r="B679" s="9">
        <f t="shared" si="31"/>
        <v>6</v>
      </c>
      <c r="C679" s="9">
        <v>2</v>
      </c>
      <c r="D679" s="9">
        <v>1</v>
      </c>
      <c r="E679" s="9">
        <f t="shared" si="29"/>
        <v>12101</v>
      </c>
      <c r="F679" s="9">
        <f t="shared" si="30"/>
        <v>0</v>
      </c>
    </row>
    <row r="680" customHeight="1" spans="1:6">
      <c r="A680" s="11">
        <v>10677</v>
      </c>
      <c r="B680" s="9">
        <f t="shared" si="31"/>
        <v>6</v>
      </c>
      <c r="C680" s="9">
        <v>2</v>
      </c>
      <c r="D680" s="9">
        <v>1</v>
      </c>
      <c r="E680" s="9">
        <f t="shared" si="29"/>
        <v>12102</v>
      </c>
      <c r="F680" s="9">
        <f t="shared" si="30"/>
        <v>0</v>
      </c>
    </row>
    <row r="681" customHeight="1" spans="1:6">
      <c r="A681" s="11">
        <v>10678</v>
      </c>
      <c r="B681" s="9">
        <f t="shared" si="31"/>
        <v>6</v>
      </c>
      <c r="C681" s="9">
        <v>2</v>
      </c>
      <c r="D681" s="9">
        <v>1</v>
      </c>
      <c r="E681" s="9">
        <f t="shared" si="29"/>
        <v>12103</v>
      </c>
      <c r="F681" s="9">
        <f t="shared" si="30"/>
        <v>0</v>
      </c>
    </row>
    <row r="682" customHeight="1" spans="1:6">
      <c r="A682" s="11">
        <v>10679</v>
      </c>
      <c r="B682" s="9">
        <f t="shared" si="31"/>
        <v>6</v>
      </c>
      <c r="C682" s="9">
        <v>2</v>
      </c>
      <c r="D682" s="9">
        <v>1</v>
      </c>
      <c r="E682" s="9">
        <f t="shared" si="29"/>
        <v>12104</v>
      </c>
      <c r="F682" s="9">
        <f t="shared" si="30"/>
        <v>0</v>
      </c>
    </row>
    <row r="683" customHeight="1" spans="1:6">
      <c r="A683" s="11">
        <v>10680</v>
      </c>
      <c r="B683" s="9">
        <f t="shared" si="31"/>
        <v>6</v>
      </c>
      <c r="C683" s="9">
        <v>2</v>
      </c>
      <c r="D683" s="9">
        <v>1</v>
      </c>
      <c r="E683" s="9">
        <f t="shared" si="29"/>
        <v>12105</v>
      </c>
      <c r="F683" s="9">
        <f t="shared" si="30"/>
        <v>0</v>
      </c>
    </row>
    <row r="684" customHeight="1" spans="1:6">
      <c r="A684" s="11">
        <v>10681</v>
      </c>
      <c r="B684" s="9">
        <f t="shared" si="31"/>
        <v>6</v>
      </c>
      <c r="C684" s="9">
        <v>2</v>
      </c>
      <c r="D684" s="9">
        <v>1</v>
      </c>
      <c r="E684" s="9">
        <f t="shared" si="29"/>
        <v>12106</v>
      </c>
      <c r="F684" s="9">
        <f t="shared" si="30"/>
        <v>0</v>
      </c>
    </row>
    <row r="685" customHeight="1" spans="1:6">
      <c r="A685" s="11">
        <v>10682</v>
      </c>
      <c r="B685" s="9">
        <f t="shared" si="31"/>
        <v>6</v>
      </c>
      <c r="C685" s="9">
        <v>2</v>
      </c>
      <c r="D685" s="9">
        <v>1</v>
      </c>
      <c r="E685" s="9">
        <f t="shared" si="29"/>
        <v>12107</v>
      </c>
      <c r="F685" s="9">
        <f t="shared" si="30"/>
        <v>0</v>
      </c>
    </row>
    <row r="686" customHeight="1" spans="1:6">
      <c r="A686" s="11">
        <v>10683</v>
      </c>
      <c r="B686" s="9">
        <f t="shared" si="31"/>
        <v>6</v>
      </c>
      <c r="C686" s="9">
        <v>2</v>
      </c>
      <c r="D686" s="9">
        <v>1</v>
      </c>
      <c r="E686" s="9">
        <f t="shared" si="29"/>
        <v>12108</v>
      </c>
      <c r="F686" s="9">
        <f t="shared" si="30"/>
        <v>0</v>
      </c>
    </row>
    <row r="687" customHeight="1" spans="1:6">
      <c r="A687" s="11">
        <v>10684</v>
      </c>
      <c r="B687" s="9">
        <f t="shared" si="31"/>
        <v>6</v>
      </c>
      <c r="C687" s="9">
        <v>2</v>
      </c>
      <c r="D687" s="9">
        <v>1</v>
      </c>
      <c r="E687" s="9">
        <f t="shared" si="29"/>
        <v>12109</v>
      </c>
      <c r="F687" s="9">
        <f t="shared" si="30"/>
        <v>0</v>
      </c>
    </row>
    <row r="688" customHeight="1" spans="1:6">
      <c r="A688" s="11">
        <v>10685</v>
      </c>
      <c r="B688" s="9">
        <f t="shared" si="31"/>
        <v>6</v>
      </c>
      <c r="C688" s="9">
        <v>2</v>
      </c>
      <c r="D688" s="9">
        <v>1</v>
      </c>
      <c r="E688" s="9">
        <f t="shared" ref="E688:E738" si="32">E658</f>
        <v>12110</v>
      </c>
      <c r="F688" s="9">
        <f t="shared" si="30"/>
        <v>0</v>
      </c>
    </row>
    <row r="689" customHeight="1" spans="1:6">
      <c r="A689" s="11">
        <v>10686</v>
      </c>
      <c r="B689" s="9">
        <f t="shared" si="31"/>
        <v>6</v>
      </c>
      <c r="C689" s="9">
        <v>2</v>
      </c>
      <c r="D689" s="9">
        <v>1</v>
      </c>
      <c r="E689" s="9">
        <f t="shared" si="32"/>
        <v>12111</v>
      </c>
      <c r="F689" s="9">
        <f t="shared" ref="F689:F702" si="33">VLOOKUP(RIGHT(E689,2)*1,$K$529:$R$559,B689+1,0)</f>
        <v>0</v>
      </c>
    </row>
    <row r="690" customHeight="1" spans="1:6">
      <c r="A690" s="11">
        <v>10687</v>
      </c>
      <c r="B690" s="9">
        <f t="shared" si="31"/>
        <v>6</v>
      </c>
      <c r="C690" s="9">
        <v>2</v>
      </c>
      <c r="D690" s="9">
        <v>1</v>
      </c>
      <c r="E690" s="9">
        <f t="shared" si="32"/>
        <v>12112</v>
      </c>
      <c r="F690" s="9">
        <f t="shared" si="33"/>
        <v>0</v>
      </c>
    </row>
    <row r="691" customHeight="1" spans="1:6">
      <c r="A691" s="11">
        <v>10688</v>
      </c>
      <c r="B691" s="9">
        <f t="shared" si="31"/>
        <v>6</v>
      </c>
      <c r="C691" s="9">
        <v>2</v>
      </c>
      <c r="D691" s="9">
        <v>1</v>
      </c>
      <c r="E691" s="9">
        <f t="shared" si="32"/>
        <v>12113</v>
      </c>
      <c r="F691" s="9">
        <f t="shared" si="33"/>
        <v>0</v>
      </c>
    </row>
    <row r="692" customHeight="1" spans="1:6">
      <c r="A692" s="11">
        <v>10689</v>
      </c>
      <c r="B692" s="9">
        <f t="shared" si="31"/>
        <v>6</v>
      </c>
      <c r="C692" s="9">
        <v>2</v>
      </c>
      <c r="D692" s="9">
        <v>1</v>
      </c>
      <c r="E692" s="9">
        <f t="shared" si="32"/>
        <v>12114</v>
      </c>
      <c r="F692" s="9">
        <f t="shared" si="33"/>
        <v>0</v>
      </c>
    </row>
    <row r="693" customHeight="1" spans="1:6">
      <c r="A693" s="11">
        <v>10690</v>
      </c>
      <c r="B693" s="9">
        <f t="shared" si="31"/>
        <v>6</v>
      </c>
      <c r="C693" s="9">
        <v>2</v>
      </c>
      <c r="D693" s="9">
        <v>1</v>
      </c>
      <c r="E693" s="9">
        <f t="shared" si="32"/>
        <v>12115</v>
      </c>
      <c r="F693" s="9">
        <f t="shared" si="33"/>
        <v>0</v>
      </c>
    </row>
    <row r="694" customHeight="1" spans="1:6">
      <c r="A694" s="11">
        <v>10691</v>
      </c>
      <c r="B694" s="9">
        <f t="shared" si="31"/>
        <v>6</v>
      </c>
      <c r="C694" s="9">
        <v>2</v>
      </c>
      <c r="D694" s="9">
        <v>1</v>
      </c>
      <c r="E694" s="9">
        <f t="shared" si="32"/>
        <v>12116</v>
      </c>
      <c r="F694" s="9">
        <f t="shared" si="33"/>
        <v>10</v>
      </c>
    </row>
    <row r="695" customHeight="1" spans="1:6">
      <c r="A695" s="11">
        <v>10692</v>
      </c>
      <c r="B695" s="9">
        <f t="shared" si="31"/>
        <v>6</v>
      </c>
      <c r="C695" s="9">
        <v>2</v>
      </c>
      <c r="D695" s="9">
        <v>1</v>
      </c>
      <c r="E695" s="9">
        <f t="shared" si="32"/>
        <v>12117</v>
      </c>
      <c r="F695" s="9">
        <f t="shared" si="33"/>
        <v>10</v>
      </c>
    </row>
    <row r="696" customHeight="1" spans="1:6">
      <c r="A696" s="11">
        <v>10693</v>
      </c>
      <c r="B696" s="9">
        <f t="shared" si="31"/>
        <v>6</v>
      </c>
      <c r="C696" s="9">
        <v>2</v>
      </c>
      <c r="D696" s="9">
        <v>1</v>
      </c>
      <c r="E696" s="9">
        <f t="shared" si="32"/>
        <v>12118</v>
      </c>
      <c r="F696" s="9">
        <f t="shared" si="33"/>
        <v>10</v>
      </c>
    </row>
    <row r="697" customHeight="1" spans="1:6">
      <c r="A697" s="11">
        <v>10694</v>
      </c>
      <c r="B697" s="9">
        <f t="shared" si="31"/>
        <v>6</v>
      </c>
      <c r="C697" s="9">
        <v>2</v>
      </c>
      <c r="D697" s="9">
        <v>1</v>
      </c>
      <c r="E697" s="9">
        <f t="shared" si="32"/>
        <v>12119</v>
      </c>
      <c r="F697" s="9">
        <f t="shared" si="33"/>
        <v>10</v>
      </c>
    </row>
    <row r="698" customHeight="1" spans="1:6">
      <c r="A698" s="11">
        <v>10695</v>
      </c>
      <c r="B698" s="9">
        <f t="shared" si="31"/>
        <v>6</v>
      </c>
      <c r="C698" s="9">
        <v>2</v>
      </c>
      <c r="D698" s="9">
        <v>1</v>
      </c>
      <c r="E698" s="9">
        <f t="shared" si="32"/>
        <v>12120</v>
      </c>
      <c r="F698" s="9">
        <f t="shared" si="33"/>
        <v>10</v>
      </c>
    </row>
    <row r="699" customHeight="1" spans="1:6">
      <c r="A699" s="11">
        <v>10696</v>
      </c>
      <c r="B699" s="9">
        <f t="shared" si="31"/>
        <v>6</v>
      </c>
      <c r="C699" s="9">
        <v>2</v>
      </c>
      <c r="D699" s="9">
        <v>1</v>
      </c>
      <c r="E699" s="9">
        <f t="shared" si="32"/>
        <v>12121</v>
      </c>
      <c r="F699" s="9">
        <f t="shared" si="33"/>
        <v>10</v>
      </c>
    </row>
    <row r="700" customHeight="1" spans="1:6">
      <c r="A700" s="11">
        <v>10697</v>
      </c>
      <c r="B700" s="9">
        <f t="shared" si="31"/>
        <v>6</v>
      </c>
      <c r="C700" s="9">
        <v>2</v>
      </c>
      <c r="D700" s="9">
        <v>1</v>
      </c>
      <c r="E700" s="9">
        <f t="shared" si="32"/>
        <v>12122</v>
      </c>
      <c r="F700" s="9">
        <f t="shared" si="33"/>
        <v>10</v>
      </c>
    </row>
    <row r="701" customHeight="1" spans="1:6">
      <c r="A701" s="11">
        <v>10698</v>
      </c>
      <c r="B701" s="9">
        <f t="shared" si="31"/>
        <v>6</v>
      </c>
      <c r="C701" s="9">
        <v>2</v>
      </c>
      <c r="D701" s="9">
        <v>1</v>
      </c>
      <c r="E701" s="9">
        <f t="shared" si="32"/>
        <v>12123</v>
      </c>
      <c r="F701" s="9">
        <f t="shared" si="33"/>
        <v>10</v>
      </c>
    </row>
    <row r="702" customHeight="1" spans="1:6">
      <c r="A702" s="11">
        <v>10699</v>
      </c>
      <c r="B702" s="9">
        <f t="shared" si="31"/>
        <v>6</v>
      </c>
      <c r="C702" s="9">
        <v>2</v>
      </c>
      <c r="D702" s="9">
        <v>1</v>
      </c>
      <c r="E702" s="9">
        <f t="shared" si="32"/>
        <v>12124</v>
      </c>
      <c r="F702" s="9">
        <f t="shared" si="33"/>
        <v>10</v>
      </c>
    </row>
    <row r="703" customHeight="1" spans="1:6">
      <c r="A703" s="11">
        <v>10700</v>
      </c>
      <c r="B703" s="9">
        <f t="shared" si="31"/>
        <v>6</v>
      </c>
      <c r="C703" s="9">
        <v>2</v>
      </c>
      <c r="D703" s="9">
        <v>1</v>
      </c>
      <c r="E703" s="9">
        <f t="shared" si="32"/>
        <v>12125</v>
      </c>
      <c r="F703" s="9">
        <f t="shared" ref="F703:F725" si="34">VLOOKUP(RIGHT(E703,2)*1,$K$529:$R$559,B703+1,0)</f>
        <v>10</v>
      </c>
    </row>
    <row r="704" customHeight="1" spans="1:6">
      <c r="A704" s="11">
        <v>10701</v>
      </c>
      <c r="B704" s="9">
        <f t="shared" si="31"/>
        <v>6</v>
      </c>
      <c r="C704" s="9">
        <v>2</v>
      </c>
      <c r="D704" s="9">
        <v>1</v>
      </c>
      <c r="E704" s="9">
        <f t="shared" si="32"/>
        <v>12126</v>
      </c>
      <c r="F704" s="9">
        <f t="shared" si="34"/>
        <v>10</v>
      </c>
    </row>
    <row r="705" customHeight="1" spans="1:6">
      <c r="A705" s="11">
        <v>10702</v>
      </c>
      <c r="B705" s="9">
        <f t="shared" si="31"/>
        <v>6</v>
      </c>
      <c r="C705" s="9">
        <v>2</v>
      </c>
      <c r="D705" s="9">
        <v>1</v>
      </c>
      <c r="E705" s="9">
        <f t="shared" si="32"/>
        <v>12127</v>
      </c>
      <c r="F705" s="9">
        <f t="shared" si="34"/>
        <v>10</v>
      </c>
    </row>
    <row r="706" customHeight="1" spans="1:6">
      <c r="A706" s="11">
        <v>10703</v>
      </c>
      <c r="B706" s="9">
        <f t="shared" si="31"/>
        <v>6</v>
      </c>
      <c r="C706" s="9">
        <v>2</v>
      </c>
      <c r="D706" s="9">
        <v>1</v>
      </c>
      <c r="E706" s="9">
        <f t="shared" si="32"/>
        <v>12128</v>
      </c>
      <c r="F706" s="9">
        <f t="shared" si="34"/>
        <v>10</v>
      </c>
    </row>
    <row r="707" customHeight="1" spans="1:6">
      <c r="A707" s="11">
        <v>10704</v>
      </c>
      <c r="B707" s="9">
        <f t="shared" si="31"/>
        <v>6</v>
      </c>
      <c r="C707" s="9">
        <v>2</v>
      </c>
      <c r="D707" s="9">
        <v>1</v>
      </c>
      <c r="E707" s="9">
        <f t="shared" si="32"/>
        <v>12129</v>
      </c>
      <c r="F707" s="9">
        <f t="shared" si="34"/>
        <v>10</v>
      </c>
    </row>
    <row r="708" customHeight="1" spans="1:6">
      <c r="A708" s="11">
        <v>10705</v>
      </c>
      <c r="B708" s="9">
        <f t="shared" si="31"/>
        <v>6</v>
      </c>
      <c r="C708" s="9">
        <v>2</v>
      </c>
      <c r="D708" s="9">
        <v>1</v>
      </c>
      <c r="E708" s="9">
        <f t="shared" si="32"/>
        <v>12130</v>
      </c>
      <c r="F708" s="9">
        <f t="shared" si="34"/>
        <v>10</v>
      </c>
    </row>
    <row r="709" customHeight="1" spans="1:6">
      <c r="A709" s="11">
        <v>10706</v>
      </c>
      <c r="B709" s="9">
        <f t="shared" si="31"/>
        <v>7</v>
      </c>
      <c r="C709" s="9">
        <v>2</v>
      </c>
      <c r="D709" s="9">
        <v>1</v>
      </c>
      <c r="E709" s="9">
        <f t="shared" si="32"/>
        <v>12101</v>
      </c>
      <c r="F709" s="9">
        <f t="shared" si="34"/>
        <v>0</v>
      </c>
    </row>
    <row r="710" customHeight="1" spans="1:6">
      <c r="A710" s="11">
        <v>10707</v>
      </c>
      <c r="B710" s="9">
        <f t="shared" si="31"/>
        <v>7</v>
      </c>
      <c r="C710" s="9">
        <v>2</v>
      </c>
      <c r="D710" s="9">
        <v>1</v>
      </c>
      <c r="E710" s="9">
        <f t="shared" si="32"/>
        <v>12102</v>
      </c>
      <c r="F710" s="9">
        <f t="shared" si="34"/>
        <v>0</v>
      </c>
    </row>
    <row r="711" customHeight="1" spans="1:6">
      <c r="A711" s="11">
        <v>10708</v>
      </c>
      <c r="B711" s="9">
        <f t="shared" si="31"/>
        <v>7</v>
      </c>
      <c r="C711" s="9">
        <v>2</v>
      </c>
      <c r="D711" s="9">
        <v>1</v>
      </c>
      <c r="E711" s="9">
        <f t="shared" si="32"/>
        <v>12103</v>
      </c>
      <c r="F711" s="9">
        <f t="shared" si="34"/>
        <v>0</v>
      </c>
    </row>
    <row r="712" customHeight="1" spans="1:6">
      <c r="A712" s="11">
        <v>10709</v>
      </c>
      <c r="B712" s="9">
        <f t="shared" si="31"/>
        <v>7</v>
      </c>
      <c r="C712" s="9">
        <v>2</v>
      </c>
      <c r="D712" s="9">
        <v>1</v>
      </c>
      <c r="E712" s="9">
        <f t="shared" si="32"/>
        <v>12104</v>
      </c>
      <c r="F712" s="9">
        <f t="shared" si="34"/>
        <v>0</v>
      </c>
    </row>
    <row r="713" customHeight="1" spans="1:6">
      <c r="A713" s="11">
        <v>10710</v>
      </c>
      <c r="B713" s="9">
        <f t="shared" si="31"/>
        <v>7</v>
      </c>
      <c r="C713" s="9">
        <v>2</v>
      </c>
      <c r="D713" s="9">
        <v>1</v>
      </c>
      <c r="E713" s="9">
        <f t="shared" si="32"/>
        <v>12105</v>
      </c>
      <c r="F713" s="9">
        <f t="shared" si="34"/>
        <v>0</v>
      </c>
    </row>
    <row r="714" customHeight="1" spans="1:6">
      <c r="A714" s="11">
        <v>10711</v>
      </c>
      <c r="B714" s="9">
        <f t="shared" si="31"/>
        <v>7</v>
      </c>
      <c r="C714" s="9">
        <v>2</v>
      </c>
      <c r="D714" s="9">
        <v>1</v>
      </c>
      <c r="E714" s="9">
        <f t="shared" si="32"/>
        <v>12106</v>
      </c>
      <c r="F714" s="9">
        <f t="shared" si="34"/>
        <v>0</v>
      </c>
    </row>
    <row r="715" customHeight="1" spans="1:6">
      <c r="A715" s="11">
        <v>10712</v>
      </c>
      <c r="B715" s="9">
        <f t="shared" si="31"/>
        <v>7</v>
      </c>
      <c r="C715" s="9">
        <v>2</v>
      </c>
      <c r="D715" s="9">
        <v>1</v>
      </c>
      <c r="E715" s="9">
        <f t="shared" si="32"/>
        <v>12107</v>
      </c>
      <c r="F715" s="9">
        <f t="shared" si="34"/>
        <v>0</v>
      </c>
    </row>
    <row r="716" customHeight="1" spans="1:6">
      <c r="A716" s="11">
        <v>10713</v>
      </c>
      <c r="B716" s="9">
        <f t="shared" si="31"/>
        <v>7</v>
      </c>
      <c r="C716" s="9">
        <v>2</v>
      </c>
      <c r="D716" s="9">
        <v>1</v>
      </c>
      <c r="E716" s="9">
        <f t="shared" si="32"/>
        <v>12108</v>
      </c>
      <c r="F716" s="9">
        <f t="shared" si="34"/>
        <v>0</v>
      </c>
    </row>
    <row r="717" customHeight="1" spans="1:6">
      <c r="A717" s="11">
        <v>10714</v>
      </c>
      <c r="B717" s="9">
        <f t="shared" si="31"/>
        <v>7</v>
      </c>
      <c r="C717" s="9">
        <v>2</v>
      </c>
      <c r="D717" s="9">
        <v>1</v>
      </c>
      <c r="E717" s="9">
        <f t="shared" si="32"/>
        <v>12109</v>
      </c>
      <c r="F717" s="9">
        <f t="shared" si="34"/>
        <v>0</v>
      </c>
    </row>
    <row r="718" customHeight="1" spans="1:6">
      <c r="A718" s="11">
        <v>10715</v>
      </c>
      <c r="B718" s="9">
        <f t="shared" si="31"/>
        <v>7</v>
      </c>
      <c r="C718" s="9">
        <v>2</v>
      </c>
      <c r="D718" s="9">
        <v>1</v>
      </c>
      <c r="E718" s="9">
        <f t="shared" si="32"/>
        <v>12110</v>
      </c>
      <c r="F718" s="9">
        <f t="shared" si="34"/>
        <v>0</v>
      </c>
    </row>
    <row r="719" customHeight="1" spans="1:6">
      <c r="A719" s="11">
        <v>10716</v>
      </c>
      <c r="B719" s="9">
        <f t="shared" si="31"/>
        <v>7</v>
      </c>
      <c r="C719" s="9">
        <v>2</v>
      </c>
      <c r="D719" s="9">
        <v>1</v>
      </c>
      <c r="E719" s="9">
        <f t="shared" si="32"/>
        <v>12111</v>
      </c>
      <c r="F719" s="9">
        <f t="shared" si="34"/>
        <v>0</v>
      </c>
    </row>
    <row r="720" customHeight="1" spans="1:6">
      <c r="A720" s="11">
        <v>10717</v>
      </c>
      <c r="B720" s="9">
        <f t="shared" si="31"/>
        <v>7</v>
      </c>
      <c r="C720" s="9">
        <v>2</v>
      </c>
      <c r="D720" s="9">
        <v>1</v>
      </c>
      <c r="E720" s="9">
        <f t="shared" si="32"/>
        <v>12112</v>
      </c>
      <c r="F720" s="9">
        <f t="shared" si="34"/>
        <v>0</v>
      </c>
    </row>
    <row r="721" customHeight="1" spans="1:6">
      <c r="A721" s="11">
        <v>10718</v>
      </c>
      <c r="B721" s="9">
        <f t="shared" si="31"/>
        <v>7</v>
      </c>
      <c r="C721" s="9">
        <v>2</v>
      </c>
      <c r="D721" s="9">
        <v>1</v>
      </c>
      <c r="E721" s="9">
        <f t="shared" si="32"/>
        <v>12113</v>
      </c>
      <c r="F721" s="9">
        <f t="shared" si="34"/>
        <v>0</v>
      </c>
    </row>
    <row r="722" customHeight="1" spans="1:6">
      <c r="A722" s="11">
        <v>10719</v>
      </c>
      <c r="B722" s="9">
        <f t="shared" si="31"/>
        <v>7</v>
      </c>
      <c r="C722" s="9">
        <v>2</v>
      </c>
      <c r="D722" s="9">
        <v>1</v>
      </c>
      <c r="E722" s="9">
        <f t="shared" si="32"/>
        <v>12114</v>
      </c>
      <c r="F722" s="9">
        <f t="shared" si="34"/>
        <v>0</v>
      </c>
    </row>
    <row r="723" customHeight="1" spans="1:6">
      <c r="A723" s="11">
        <v>10720</v>
      </c>
      <c r="B723" s="9">
        <f t="shared" si="31"/>
        <v>7</v>
      </c>
      <c r="C723" s="9">
        <v>2</v>
      </c>
      <c r="D723" s="9">
        <v>1</v>
      </c>
      <c r="E723" s="9">
        <f t="shared" si="32"/>
        <v>12115</v>
      </c>
      <c r="F723" s="9">
        <f t="shared" si="34"/>
        <v>0</v>
      </c>
    </row>
    <row r="724" customHeight="1" spans="1:6">
      <c r="A724" s="11">
        <v>10721</v>
      </c>
      <c r="B724" s="9">
        <f t="shared" si="31"/>
        <v>7</v>
      </c>
      <c r="C724" s="9">
        <v>2</v>
      </c>
      <c r="D724" s="9">
        <v>1</v>
      </c>
      <c r="E724" s="9">
        <f t="shared" si="32"/>
        <v>12116</v>
      </c>
      <c r="F724" s="9">
        <f t="shared" si="34"/>
        <v>20</v>
      </c>
    </row>
    <row r="725" customHeight="1" spans="1:6">
      <c r="A725" s="11">
        <v>10722</v>
      </c>
      <c r="B725" s="9">
        <f t="shared" si="31"/>
        <v>7</v>
      </c>
      <c r="C725" s="9">
        <v>2</v>
      </c>
      <c r="D725" s="9">
        <v>1</v>
      </c>
      <c r="E725" s="9">
        <f t="shared" si="32"/>
        <v>12117</v>
      </c>
      <c r="F725" s="9">
        <f t="shared" si="34"/>
        <v>20</v>
      </c>
    </row>
    <row r="726" customHeight="1" spans="1:6">
      <c r="A726" s="11">
        <v>10723</v>
      </c>
      <c r="B726" s="9">
        <f t="shared" ref="B726:B738" si="35">B696+1</f>
        <v>7</v>
      </c>
      <c r="C726" s="9">
        <v>2</v>
      </c>
      <c r="D726" s="9">
        <v>1</v>
      </c>
      <c r="E726" s="9">
        <f t="shared" si="32"/>
        <v>12118</v>
      </c>
      <c r="F726" s="9">
        <f t="shared" ref="F726:F738" si="36">VLOOKUP(RIGHT(E726,2)*1,$K$529:$R$559,B726+1,0)</f>
        <v>20</v>
      </c>
    </row>
    <row r="727" customHeight="1" spans="1:6">
      <c r="A727" s="11">
        <v>10724</v>
      </c>
      <c r="B727" s="9">
        <f t="shared" si="35"/>
        <v>7</v>
      </c>
      <c r="C727" s="9">
        <v>2</v>
      </c>
      <c r="D727" s="9">
        <v>1</v>
      </c>
      <c r="E727" s="9">
        <f t="shared" si="32"/>
        <v>12119</v>
      </c>
      <c r="F727" s="9">
        <f t="shared" si="36"/>
        <v>20</v>
      </c>
    </row>
    <row r="728" customHeight="1" spans="1:6">
      <c r="A728" s="11">
        <v>10725</v>
      </c>
      <c r="B728" s="9">
        <f t="shared" si="35"/>
        <v>7</v>
      </c>
      <c r="C728" s="9">
        <v>2</v>
      </c>
      <c r="D728" s="9">
        <v>1</v>
      </c>
      <c r="E728" s="9">
        <f t="shared" si="32"/>
        <v>12120</v>
      </c>
      <c r="F728" s="9">
        <f t="shared" si="36"/>
        <v>20</v>
      </c>
    </row>
    <row r="729" customHeight="1" spans="1:6">
      <c r="A729" s="11">
        <v>10726</v>
      </c>
      <c r="B729" s="9">
        <f t="shared" si="35"/>
        <v>7</v>
      </c>
      <c r="C729" s="9">
        <v>2</v>
      </c>
      <c r="D729" s="9">
        <v>1</v>
      </c>
      <c r="E729" s="9">
        <f t="shared" si="32"/>
        <v>12121</v>
      </c>
      <c r="F729" s="9">
        <f t="shared" si="36"/>
        <v>20</v>
      </c>
    </row>
    <row r="730" customHeight="1" spans="1:6">
      <c r="A730" s="11">
        <v>10727</v>
      </c>
      <c r="B730" s="9">
        <f t="shared" si="35"/>
        <v>7</v>
      </c>
      <c r="C730" s="9">
        <v>2</v>
      </c>
      <c r="D730" s="9">
        <v>1</v>
      </c>
      <c r="E730" s="9">
        <f t="shared" si="32"/>
        <v>12122</v>
      </c>
      <c r="F730" s="9">
        <f t="shared" si="36"/>
        <v>20</v>
      </c>
    </row>
    <row r="731" customHeight="1" spans="1:6">
      <c r="A731" s="11">
        <v>10728</v>
      </c>
      <c r="B731" s="9">
        <f t="shared" si="35"/>
        <v>7</v>
      </c>
      <c r="C731" s="9">
        <v>2</v>
      </c>
      <c r="D731" s="9">
        <v>1</v>
      </c>
      <c r="E731" s="9">
        <f t="shared" si="32"/>
        <v>12123</v>
      </c>
      <c r="F731" s="9">
        <f t="shared" si="36"/>
        <v>20</v>
      </c>
    </row>
    <row r="732" customHeight="1" spans="1:6">
      <c r="A732" s="11">
        <v>10729</v>
      </c>
      <c r="B732" s="9">
        <f t="shared" si="35"/>
        <v>7</v>
      </c>
      <c r="C732" s="9">
        <v>2</v>
      </c>
      <c r="D732" s="9">
        <v>1</v>
      </c>
      <c r="E732" s="9">
        <f t="shared" si="32"/>
        <v>12124</v>
      </c>
      <c r="F732" s="9">
        <f t="shared" si="36"/>
        <v>20</v>
      </c>
    </row>
    <row r="733" customHeight="1" spans="1:6">
      <c r="A733" s="11">
        <v>10730</v>
      </c>
      <c r="B733" s="9">
        <f t="shared" si="35"/>
        <v>7</v>
      </c>
      <c r="C733" s="9">
        <v>2</v>
      </c>
      <c r="D733" s="9">
        <v>1</v>
      </c>
      <c r="E733" s="9">
        <f t="shared" si="32"/>
        <v>12125</v>
      </c>
      <c r="F733" s="9">
        <f t="shared" si="36"/>
        <v>20</v>
      </c>
    </row>
    <row r="734" customHeight="1" spans="1:6">
      <c r="A734" s="11">
        <v>10731</v>
      </c>
      <c r="B734" s="9">
        <f t="shared" si="35"/>
        <v>7</v>
      </c>
      <c r="C734" s="9">
        <v>2</v>
      </c>
      <c r="D734" s="9">
        <v>1</v>
      </c>
      <c r="E734" s="9">
        <f t="shared" si="32"/>
        <v>12126</v>
      </c>
      <c r="F734" s="9">
        <f t="shared" si="36"/>
        <v>20</v>
      </c>
    </row>
    <row r="735" customHeight="1" spans="1:6">
      <c r="A735" s="11">
        <v>10732</v>
      </c>
      <c r="B735" s="9">
        <f t="shared" si="35"/>
        <v>7</v>
      </c>
      <c r="C735" s="9">
        <v>2</v>
      </c>
      <c r="D735" s="9">
        <v>1</v>
      </c>
      <c r="E735" s="9">
        <f t="shared" si="32"/>
        <v>12127</v>
      </c>
      <c r="F735" s="9">
        <f t="shared" si="36"/>
        <v>20</v>
      </c>
    </row>
    <row r="736" customHeight="1" spans="1:6">
      <c r="A736" s="11">
        <v>10733</v>
      </c>
      <c r="B736" s="9">
        <f t="shared" si="35"/>
        <v>7</v>
      </c>
      <c r="C736" s="9">
        <v>2</v>
      </c>
      <c r="D736" s="9">
        <v>1</v>
      </c>
      <c r="E736" s="9">
        <f t="shared" si="32"/>
        <v>12128</v>
      </c>
      <c r="F736" s="9">
        <f t="shared" si="36"/>
        <v>20</v>
      </c>
    </row>
    <row r="737" customHeight="1" spans="1:6">
      <c r="A737" s="11">
        <v>10734</v>
      </c>
      <c r="B737" s="9">
        <f t="shared" si="35"/>
        <v>7</v>
      </c>
      <c r="C737" s="9">
        <v>2</v>
      </c>
      <c r="D737" s="9">
        <v>1</v>
      </c>
      <c r="E737" s="9">
        <f t="shared" si="32"/>
        <v>12129</v>
      </c>
      <c r="F737" s="9">
        <f t="shared" si="36"/>
        <v>20</v>
      </c>
    </row>
    <row r="738" customHeight="1" spans="1:6">
      <c r="A738" s="11">
        <v>10735</v>
      </c>
      <c r="B738" s="9">
        <f t="shared" si="35"/>
        <v>7</v>
      </c>
      <c r="C738" s="9">
        <v>2</v>
      </c>
      <c r="D738" s="9">
        <v>1</v>
      </c>
      <c r="E738" s="9">
        <f t="shared" si="32"/>
        <v>12130</v>
      </c>
      <c r="F738" s="9">
        <f t="shared" si="36"/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 t="shared" ref="A740:A803" si="37"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 t="shared" ref="F740:F803" si="38">F530</f>
        <v>10</v>
      </c>
    </row>
    <row r="741" customHeight="1" spans="1:6">
      <c r="A741" s="11">
        <f t="shared" si="37"/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f t="shared" si="38"/>
        <v>10</v>
      </c>
    </row>
    <row r="742" customHeight="1" spans="1:6">
      <c r="A742" s="11">
        <f t="shared" si="37"/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f t="shared" si="38"/>
        <v>10</v>
      </c>
    </row>
    <row r="743" customHeight="1" spans="1:6">
      <c r="A743" s="11">
        <f t="shared" si="37"/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f t="shared" si="38"/>
        <v>10</v>
      </c>
    </row>
    <row r="744" customHeight="1" spans="1:6">
      <c r="A744" s="11">
        <f t="shared" si="37"/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f t="shared" si="38"/>
        <v>10</v>
      </c>
    </row>
    <row r="745" customHeight="1" spans="1:6">
      <c r="A745" s="11">
        <f t="shared" si="37"/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f t="shared" si="38"/>
        <v>10</v>
      </c>
    </row>
    <row r="746" customHeight="1" spans="1:6">
      <c r="A746" s="11">
        <f t="shared" si="37"/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f t="shared" si="38"/>
        <v>10</v>
      </c>
    </row>
    <row r="747" customHeight="1" spans="1:6">
      <c r="A747" s="11">
        <f t="shared" si="37"/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f t="shared" si="38"/>
        <v>10</v>
      </c>
    </row>
    <row r="748" customHeight="1" spans="1:6">
      <c r="A748" s="11">
        <f t="shared" si="37"/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f t="shared" si="38"/>
        <v>10</v>
      </c>
    </row>
    <row r="749" customHeight="1" spans="1:6">
      <c r="A749" s="11">
        <f t="shared" si="37"/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f t="shared" si="38"/>
        <v>10</v>
      </c>
    </row>
    <row r="750" customHeight="1" spans="1:6">
      <c r="A750" s="11">
        <f t="shared" si="37"/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f t="shared" si="38"/>
        <v>10</v>
      </c>
    </row>
    <row r="751" customHeight="1" spans="1:6">
      <c r="A751" s="11">
        <f t="shared" si="37"/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f t="shared" si="38"/>
        <v>10</v>
      </c>
    </row>
    <row r="752" customHeight="1" spans="1:6">
      <c r="A752" s="11">
        <f t="shared" si="37"/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f t="shared" si="38"/>
        <v>10</v>
      </c>
    </row>
    <row r="753" customHeight="1" spans="1:6">
      <c r="A753" s="11">
        <f t="shared" si="37"/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f t="shared" si="38"/>
        <v>10</v>
      </c>
    </row>
    <row r="754" customHeight="1" spans="1:6">
      <c r="A754" s="11">
        <f t="shared" si="37"/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f t="shared" si="38"/>
        <v>0</v>
      </c>
    </row>
    <row r="755" customHeight="1" spans="1:6">
      <c r="A755" s="11">
        <f t="shared" si="37"/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f t="shared" si="38"/>
        <v>0</v>
      </c>
    </row>
    <row r="756" customHeight="1" spans="1:6">
      <c r="A756" s="11">
        <f t="shared" si="37"/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f t="shared" si="38"/>
        <v>0</v>
      </c>
    </row>
    <row r="757" customHeight="1" spans="1:6">
      <c r="A757" s="11">
        <f t="shared" si="37"/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f t="shared" si="38"/>
        <v>0</v>
      </c>
    </row>
    <row r="758" customHeight="1" spans="1:6">
      <c r="A758" s="11">
        <f t="shared" si="37"/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f t="shared" si="38"/>
        <v>0</v>
      </c>
    </row>
    <row r="759" customHeight="1" spans="1:6">
      <c r="A759" s="11">
        <f t="shared" si="37"/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f t="shared" si="38"/>
        <v>0</v>
      </c>
    </row>
    <row r="760" customHeight="1" spans="1:6">
      <c r="A760" s="11">
        <f t="shared" si="37"/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f t="shared" si="38"/>
        <v>0</v>
      </c>
    </row>
    <row r="761" customHeight="1" spans="1:6">
      <c r="A761" s="11">
        <f t="shared" si="37"/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f t="shared" si="38"/>
        <v>0</v>
      </c>
    </row>
    <row r="762" customHeight="1" spans="1:6">
      <c r="A762" s="11">
        <f t="shared" si="37"/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f t="shared" si="38"/>
        <v>0</v>
      </c>
    </row>
    <row r="763" customHeight="1" spans="1:6">
      <c r="A763" s="11">
        <f t="shared" si="37"/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f t="shared" si="38"/>
        <v>0</v>
      </c>
    </row>
    <row r="764" customHeight="1" spans="1:6">
      <c r="A764" s="11">
        <f t="shared" si="37"/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f t="shared" si="38"/>
        <v>0</v>
      </c>
    </row>
    <row r="765" customHeight="1" spans="1:6">
      <c r="A765" s="11">
        <f t="shared" si="37"/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f t="shared" si="38"/>
        <v>0</v>
      </c>
    </row>
    <row r="766" customHeight="1" spans="1:6">
      <c r="A766" s="11">
        <f t="shared" si="37"/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f t="shared" si="38"/>
        <v>0</v>
      </c>
    </row>
    <row r="767" customHeight="1" spans="1:6">
      <c r="A767" s="11">
        <f t="shared" si="37"/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f t="shared" si="38"/>
        <v>0</v>
      </c>
    </row>
    <row r="768" customHeight="1" spans="1:6">
      <c r="A768" s="11">
        <f t="shared" si="37"/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f t="shared" si="38"/>
        <v>0</v>
      </c>
    </row>
    <row r="769" customHeight="1" spans="1:6">
      <c r="A769" s="11">
        <f t="shared" si="37"/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f t="shared" si="38"/>
        <v>10</v>
      </c>
    </row>
    <row r="770" customHeight="1" spans="1:6">
      <c r="A770" s="11">
        <f t="shared" si="37"/>
        <v>10767</v>
      </c>
      <c r="B770" s="9">
        <f t="shared" ref="B770:B833" si="39">B740+1</f>
        <v>2</v>
      </c>
      <c r="C770" s="9">
        <v>2</v>
      </c>
      <c r="D770" s="9">
        <v>2</v>
      </c>
      <c r="E770" s="9">
        <f t="shared" ref="E770:E833" si="40">E740</f>
        <v>12202</v>
      </c>
      <c r="F770" s="9">
        <f t="shared" si="38"/>
        <v>10</v>
      </c>
    </row>
    <row r="771" customHeight="1" spans="1:6">
      <c r="A771" s="11">
        <f t="shared" si="37"/>
        <v>10768</v>
      </c>
      <c r="B771" s="9">
        <f t="shared" si="39"/>
        <v>2</v>
      </c>
      <c r="C771" s="9">
        <v>2</v>
      </c>
      <c r="D771" s="9">
        <v>2</v>
      </c>
      <c r="E771" s="9">
        <f t="shared" si="40"/>
        <v>12203</v>
      </c>
      <c r="F771" s="9">
        <f t="shared" si="38"/>
        <v>10</v>
      </c>
    </row>
    <row r="772" customHeight="1" spans="1:6">
      <c r="A772" s="11">
        <f t="shared" si="37"/>
        <v>10769</v>
      </c>
      <c r="B772" s="9">
        <f t="shared" si="39"/>
        <v>2</v>
      </c>
      <c r="C772" s="9">
        <v>2</v>
      </c>
      <c r="D772" s="9">
        <v>2</v>
      </c>
      <c r="E772" s="9">
        <f t="shared" si="40"/>
        <v>12204</v>
      </c>
      <c r="F772" s="9">
        <f t="shared" si="38"/>
        <v>10</v>
      </c>
    </row>
    <row r="773" customHeight="1" spans="1:6">
      <c r="A773" s="11">
        <f t="shared" si="37"/>
        <v>10770</v>
      </c>
      <c r="B773" s="9">
        <f t="shared" si="39"/>
        <v>2</v>
      </c>
      <c r="C773" s="9">
        <v>2</v>
      </c>
      <c r="D773" s="9">
        <v>2</v>
      </c>
      <c r="E773" s="9">
        <f t="shared" si="40"/>
        <v>12205</v>
      </c>
      <c r="F773" s="9">
        <f t="shared" si="38"/>
        <v>10</v>
      </c>
    </row>
    <row r="774" customHeight="1" spans="1:6">
      <c r="A774" s="11">
        <f t="shared" si="37"/>
        <v>10771</v>
      </c>
      <c r="B774" s="9">
        <f t="shared" si="39"/>
        <v>2</v>
      </c>
      <c r="C774" s="9">
        <v>2</v>
      </c>
      <c r="D774" s="9">
        <v>2</v>
      </c>
      <c r="E774" s="9">
        <f t="shared" si="40"/>
        <v>12206</v>
      </c>
      <c r="F774" s="9">
        <f t="shared" si="38"/>
        <v>10</v>
      </c>
    </row>
    <row r="775" customHeight="1" spans="1:6">
      <c r="A775" s="11">
        <f t="shared" si="37"/>
        <v>10772</v>
      </c>
      <c r="B775" s="9">
        <f t="shared" si="39"/>
        <v>2</v>
      </c>
      <c r="C775" s="9">
        <v>2</v>
      </c>
      <c r="D775" s="9">
        <v>2</v>
      </c>
      <c r="E775" s="9">
        <f t="shared" si="40"/>
        <v>12207</v>
      </c>
      <c r="F775" s="9">
        <f t="shared" si="38"/>
        <v>10</v>
      </c>
    </row>
    <row r="776" customHeight="1" spans="1:6">
      <c r="A776" s="11">
        <f t="shared" si="37"/>
        <v>10773</v>
      </c>
      <c r="B776" s="9">
        <f t="shared" si="39"/>
        <v>2</v>
      </c>
      <c r="C776" s="9">
        <v>2</v>
      </c>
      <c r="D776" s="9">
        <v>2</v>
      </c>
      <c r="E776" s="9">
        <f t="shared" si="40"/>
        <v>12208</v>
      </c>
      <c r="F776" s="9">
        <f t="shared" si="38"/>
        <v>10</v>
      </c>
    </row>
    <row r="777" customHeight="1" spans="1:6">
      <c r="A777" s="11">
        <f t="shared" si="37"/>
        <v>10774</v>
      </c>
      <c r="B777" s="9">
        <f t="shared" si="39"/>
        <v>2</v>
      </c>
      <c r="C777" s="9">
        <v>2</v>
      </c>
      <c r="D777" s="9">
        <v>2</v>
      </c>
      <c r="E777" s="9">
        <f t="shared" si="40"/>
        <v>12209</v>
      </c>
      <c r="F777" s="9">
        <f t="shared" si="38"/>
        <v>10</v>
      </c>
    </row>
    <row r="778" customHeight="1" spans="1:6">
      <c r="A778" s="11">
        <f t="shared" si="37"/>
        <v>10775</v>
      </c>
      <c r="B778" s="9">
        <f t="shared" si="39"/>
        <v>2</v>
      </c>
      <c r="C778" s="9">
        <v>2</v>
      </c>
      <c r="D778" s="9">
        <v>2</v>
      </c>
      <c r="E778" s="9">
        <f t="shared" si="40"/>
        <v>12210</v>
      </c>
      <c r="F778" s="9">
        <f t="shared" si="38"/>
        <v>10</v>
      </c>
    </row>
    <row r="779" customHeight="1" spans="1:6">
      <c r="A779" s="11">
        <f t="shared" si="37"/>
        <v>10776</v>
      </c>
      <c r="B779" s="9">
        <f t="shared" si="39"/>
        <v>2</v>
      </c>
      <c r="C779" s="9">
        <v>2</v>
      </c>
      <c r="D779" s="9">
        <v>2</v>
      </c>
      <c r="E779" s="9">
        <f t="shared" si="40"/>
        <v>12211</v>
      </c>
      <c r="F779" s="9">
        <f t="shared" si="38"/>
        <v>10</v>
      </c>
    </row>
    <row r="780" customHeight="1" spans="1:6">
      <c r="A780" s="11">
        <f t="shared" si="37"/>
        <v>10777</v>
      </c>
      <c r="B780" s="9">
        <f t="shared" si="39"/>
        <v>2</v>
      </c>
      <c r="C780" s="9">
        <v>2</v>
      </c>
      <c r="D780" s="9">
        <v>2</v>
      </c>
      <c r="E780" s="9">
        <f t="shared" si="40"/>
        <v>12212</v>
      </c>
      <c r="F780" s="9">
        <f t="shared" si="38"/>
        <v>10</v>
      </c>
    </row>
    <row r="781" customHeight="1" spans="1:6">
      <c r="A781" s="11">
        <f t="shared" si="37"/>
        <v>10778</v>
      </c>
      <c r="B781" s="9">
        <f t="shared" si="39"/>
        <v>2</v>
      </c>
      <c r="C781" s="9">
        <v>2</v>
      </c>
      <c r="D781" s="9">
        <v>2</v>
      </c>
      <c r="E781" s="9">
        <f t="shared" si="40"/>
        <v>12213</v>
      </c>
      <c r="F781" s="9">
        <f t="shared" si="38"/>
        <v>10</v>
      </c>
    </row>
    <row r="782" customHeight="1" spans="1:6">
      <c r="A782" s="11">
        <f t="shared" si="37"/>
        <v>10779</v>
      </c>
      <c r="B782" s="9">
        <f t="shared" si="39"/>
        <v>2</v>
      </c>
      <c r="C782" s="9">
        <v>2</v>
      </c>
      <c r="D782" s="9">
        <v>2</v>
      </c>
      <c r="E782" s="9">
        <f t="shared" si="40"/>
        <v>12214</v>
      </c>
      <c r="F782" s="9">
        <f t="shared" si="38"/>
        <v>10</v>
      </c>
    </row>
    <row r="783" customHeight="1" spans="1:6">
      <c r="A783" s="11">
        <f t="shared" si="37"/>
        <v>10780</v>
      </c>
      <c r="B783" s="9">
        <f t="shared" si="39"/>
        <v>2</v>
      </c>
      <c r="C783" s="9">
        <v>2</v>
      </c>
      <c r="D783" s="9">
        <v>2</v>
      </c>
      <c r="E783" s="9">
        <f t="shared" si="40"/>
        <v>12215</v>
      </c>
      <c r="F783" s="9">
        <f t="shared" si="38"/>
        <v>10</v>
      </c>
    </row>
    <row r="784" customHeight="1" spans="1:6">
      <c r="A784" s="11">
        <f t="shared" si="37"/>
        <v>10781</v>
      </c>
      <c r="B784" s="9">
        <f t="shared" si="39"/>
        <v>2</v>
      </c>
      <c r="C784" s="9">
        <v>2</v>
      </c>
      <c r="D784" s="9">
        <v>2</v>
      </c>
      <c r="E784" s="9">
        <f t="shared" si="40"/>
        <v>12216</v>
      </c>
      <c r="F784" s="9">
        <f t="shared" si="38"/>
        <v>10</v>
      </c>
    </row>
    <row r="785" customHeight="1" spans="1:6">
      <c r="A785" s="11">
        <f t="shared" si="37"/>
        <v>10782</v>
      </c>
      <c r="B785" s="9">
        <f t="shared" si="39"/>
        <v>2</v>
      </c>
      <c r="C785" s="9">
        <v>2</v>
      </c>
      <c r="D785" s="9">
        <v>2</v>
      </c>
      <c r="E785" s="9">
        <f t="shared" si="40"/>
        <v>12217</v>
      </c>
      <c r="F785" s="9">
        <f t="shared" si="38"/>
        <v>10</v>
      </c>
    </row>
    <row r="786" customHeight="1" spans="1:6">
      <c r="A786" s="11">
        <f t="shared" si="37"/>
        <v>10783</v>
      </c>
      <c r="B786" s="9">
        <f t="shared" si="39"/>
        <v>2</v>
      </c>
      <c r="C786" s="9">
        <v>2</v>
      </c>
      <c r="D786" s="9">
        <v>2</v>
      </c>
      <c r="E786" s="9">
        <f t="shared" si="40"/>
        <v>12218</v>
      </c>
      <c r="F786" s="9">
        <f t="shared" si="38"/>
        <v>10</v>
      </c>
    </row>
    <row r="787" customHeight="1" spans="1:6">
      <c r="A787" s="11">
        <f t="shared" si="37"/>
        <v>10784</v>
      </c>
      <c r="B787" s="9">
        <f t="shared" si="39"/>
        <v>2</v>
      </c>
      <c r="C787" s="9">
        <v>2</v>
      </c>
      <c r="D787" s="9">
        <v>2</v>
      </c>
      <c r="E787" s="9">
        <f t="shared" si="40"/>
        <v>12219</v>
      </c>
      <c r="F787" s="9">
        <f t="shared" si="38"/>
        <v>10</v>
      </c>
    </row>
    <row r="788" customHeight="1" spans="1:6">
      <c r="A788" s="11">
        <f t="shared" si="37"/>
        <v>10785</v>
      </c>
      <c r="B788" s="9">
        <f t="shared" si="39"/>
        <v>2</v>
      </c>
      <c r="C788" s="9">
        <v>2</v>
      </c>
      <c r="D788" s="9">
        <v>2</v>
      </c>
      <c r="E788" s="9">
        <f t="shared" si="40"/>
        <v>12220</v>
      </c>
      <c r="F788" s="9">
        <f t="shared" si="38"/>
        <v>10</v>
      </c>
    </row>
    <row r="789" customHeight="1" spans="1:6">
      <c r="A789" s="11">
        <f t="shared" si="37"/>
        <v>10786</v>
      </c>
      <c r="B789" s="9">
        <f t="shared" si="39"/>
        <v>2</v>
      </c>
      <c r="C789" s="9">
        <v>2</v>
      </c>
      <c r="D789" s="9">
        <v>2</v>
      </c>
      <c r="E789" s="9">
        <f t="shared" si="40"/>
        <v>12221</v>
      </c>
      <c r="F789" s="9">
        <f t="shared" si="38"/>
        <v>0</v>
      </c>
    </row>
    <row r="790" customHeight="1" spans="1:6">
      <c r="A790" s="11">
        <f t="shared" si="37"/>
        <v>10787</v>
      </c>
      <c r="B790" s="9">
        <f t="shared" si="39"/>
        <v>2</v>
      </c>
      <c r="C790" s="9">
        <v>2</v>
      </c>
      <c r="D790" s="9">
        <v>2</v>
      </c>
      <c r="E790" s="9">
        <f t="shared" si="40"/>
        <v>12222</v>
      </c>
      <c r="F790" s="9">
        <f t="shared" si="38"/>
        <v>0</v>
      </c>
    </row>
    <row r="791" customHeight="1" spans="1:6">
      <c r="A791" s="11">
        <f t="shared" si="37"/>
        <v>10788</v>
      </c>
      <c r="B791" s="9">
        <f t="shared" si="39"/>
        <v>2</v>
      </c>
      <c r="C791" s="9">
        <v>2</v>
      </c>
      <c r="D791" s="9">
        <v>2</v>
      </c>
      <c r="E791" s="9">
        <f t="shared" si="40"/>
        <v>12223</v>
      </c>
      <c r="F791" s="9">
        <f t="shared" si="38"/>
        <v>0</v>
      </c>
    </row>
    <row r="792" customHeight="1" spans="1:6">
      <c r="A792" s="11">
        <f t="shared" si="37"/>
        <v>10789</v>
      </c>
      <c r="B792" s="9">
        <f t="shared" si="39"/>
        <v>2</v>
      </c>
      <c r="C792" s="9">
        <v>2</v>
      </c>
      <c r="D792" s="9">
        <v>2</v>
      </c>
      <c r="E792" s="9">
        <f t="shared" si="40"/>
        <v>12224</v>
      </c>
      <c r="F792" s="9">
        <f t="shared" si="38"/>
        <v>0</v>
      </c>
    </row>
    <row r="793" customHeight="1" spans="1:6">
      <c r="A793" s="11">
        <f t="shared" si="37"/>
        <v>10790</v>
      </c>
      <c r="B793" s="9">
        <f t="shared" si="39"/>
        <v>2</v>
      </c>
      <c r="C793" s="9">
        <v>2</v>
      </c>
      <c r="D793" s="9">
        <v>2</v>
      </c>
      <c r="E793" s="9">
        <f t="shared" si="40"/>
        <v>12225</v>
      </c>
      <c r="F793" s="9">
        <f t="shared" si="38"/>
        <v>0</v>
      </c>
    </row>
    <row r="794" customHeight="1" spans="1:6">
      <c r="A794" s="11">
        <f t="shared" si="37"/>
        <v>10791</v>
      </c>
      <c r="B794" s="9">
        <f t="shared" si="39"/>
        <v>2</v>
      </c>
      <c r="C794" s="9">
        <v>2</v>
      </c>
      <c r="D794" s="9">
        <v>2</v>
      </c>
      <c r="E794" s="9">
        <f t="shared" si="40"/>
        <v>12226</v>
      </c>
      <c r="F794" s="9">
        <f t="shared" si="38"/>
        <v>0</v>
      </c>
    </row>
    <row r="795" customHeight="1" spans="1:6">
      <c r="A795" s="11">
        <f t="shared" si="37"/>
        <v>10792</v>
      </c>
      <c r="B795" s="9">
        <f t="shared" si="39"/>
        <v>2</v>
      </c>
      <c r="C795" s="9">
        <v>2</v>
      </c>
      <c r="D795" s="9">
        <v>2</v>
      </c>
      <c r="E795" s="9">
        <f t="shared" si="40"/>
        <v>12227</v>
      </c>
      <c r="F795" s="9">
        <f t="shared" si="38"/>
        <v>0</v>
      </c>
    </row>
    <row r="796" customHeight="1" spans="1:6">
      <c r="A796" s="11">
        <f t="shared" si="37"/>
        <v>10793</v>
      </c>
      <c r="B796" s="9">
        <f t="shared" si="39"/>
        <v>2</v>
      </c>
      <c r="C796" s="9">
        <v>2</v>
      </c>
      <c r="D796" s="9">
        <v>2</v>
      </c>
      <c r="E796" s="9">
        <f t="shared" si="40"/>
        <v>12228</v>
      </c>
      <c r="F796" s="9">
        <f t="shared" si="38"/>
        <v>0</v>
      </c>
    </row>
    <row r="797" customHeight="1" spans="1:6">
      <c r="A797" s="11">
        <f t="shared" si="37"/>
        <v>10794</v>
      </c>
      <c r="B797" s="9">
        <f t="shared" si="39"/>
        <v>2</v>
      </c>
      <c r="C797" s="9">
        <v>2</v>
      </c>
      <c r="D797" s="9">
        <v>2</v>
      </c>
      <c r="E797" s="9">
        <f t="shared" si="40"/>
        <v>12229</v>
      </c>
      <c r="F797" s="9">
        <f t="shared" si="38"/>
        <v>0</v>
      </c>
    </row>
    <row r="798" customHeight="1" spans="1:6">
      <c r="A798" s="11">
        <f t="shared" si="37"/>
        <v>10795</v>
      </c>
      <c r="B798" s="9">
        <f t="shared" si="39"/>
        <v>2</v>
      </c>
      <c r="C798" s="9">
        <v>2</v>
      </c>
      <c r="D798" s="9">
        <v>2</v>
      </c>
      <c r="E798" s="9">
        <f t="shared" si="40"/>
        <v>12230</v>
      </c>
      <c r="F798" s="9">
        <f t="shared" si="38"/>
        <v>0</v>
      </c>
    </row>
    <row r="799" customHeight="1" spans="1:6">
      <c r="A799" s="11">
        <f t="shared" si="37"/>
        <v>10796</v>
      </c>
      <c r="B799" s="9">
        <f t="shared" si="39"/>
        <v>3</v>
      </c>
      <c r="C799" s="9">
        <v>2</v>
      </c>
      <c r="D799" s="9">
        <v>2</v>
      </c>
      <c r="E799" s="9">
        <f t="shared" si="40"/>
        <v>12201</v>
      </c>
      <c r="F799" s="9">
        <f t="shared" si="38"/>
        <v>0</v>
      </c>
    </row>
    <row r="800" customHeight="1" spans="1:6">
      <c r="A800" s="11">
        <f t="shared" si="37"/>
        <v>10797</v>
      </c>
      <c r="B800" s="9">
        <f t="shared" si="39"/>
        <v>3</v>
      </c>
      <c r="C800" s="9">
        <v>2</v>
      </c>
      <c r="D800" s="9">
        <v>2</v>
      </c>
      <c r="E800" s="9">
        <f t="shared" si="40"/>
        <v>12202</v>
      </c>
      <c r="F800" s="9">
        <f t="shared" si="38"/>
        <v>0</v>
      </c>
    </row>
    <row r="801" customHeight="1" spans="1:6">
      <c r="A801" s="11">
        <f t="shared" si="37"/>
        <v>10798</v>
      </c>
      <c r="B801" s="9">
        <f t="shared" si="39"/>
        <v>3</v>
      </c>
      <c r="C801" s="9">
        <v>2</v>
      </c>
      <c r="D801" s="9">
        <v>2</v>
      </c>
      <c r="E801" s="9">
        <f t="shared" si="40"/>
        <v>12203</v>
      </c>
      <c r="F801" s="9">
        <f t="shared" si="38"/>
        <v>0</v>
      </c>
    </row>
    <row r="802" customHeight="1" spans="1:6">
      <c r="A802" s="11">
        <f t="shared" si="37"/>
        <v>10799</v>
      </c>
      <c r="B802" s="9">
        <f t="shared" si="39"/>
        <v>3</v>
      </c>
      <c r="C802" s="9">
        <v>2</v>
      </c>
      <c r="D802" s="9">
        <v>2</v>
      </c>
      <c r="E802" s="9">
        <f t="shared" si="40"/>
        <v>12204</v>
      </c>
      <c r="F802" s="9">
        <f t="shared" si="38"/>
        <v>0</v>
      </c>
    </row>
    <row r="803" customHeight="1" spans="1:6">
      <c r="A803" s="11">
        <f t="shared" si="37"/>
        <v>10800</v>
      </c>
      <c r="B803" s="9">
        <f t="shared" si="39"/>
        <v>3</v>
      </c>
      <c r="C803" s="9">
        <v>2</v>
      </c>
      <c r="D803" s="9">
        <v>2</v>
      </c>
      <c r="E803" s="9">
        <f t="shared" si="40"/>
        <v>12205</v>
      </c>
      <c r="F803" s="9">
        <f t="shared" si="38"/>
        <v>0</v>
      </c>
    </row>
    <row r="804" customHeight="1" spans="1:6">
      <c r="A804" s="11">
        <f t="shared" ref="A804:A867" si="41">A803+1</f>
        <v>10801</v>
      </c>
      <c r="B804" s="9">
        <f t="shared" si="39"/>
        <v>3</v>
      </c>
      <c r="C804" s="9">
        <v>2</v>
      </c>
      <c r="D804" s="9">
        <v>2</v>
      </c>
      <c r="E804" s="9">
        <f t="shared" si="40"/>
        <v>12206</v>
      </c>
      <c r="F804" s="9">
        <f t="shared" ref="F804:F867" si="42">F594</f>
        <v>10</v>
      </c>
    </row>
    <row r="805" customHeight="1" spans="1:6">
      <c r="A805" s="11">
        <f t="shared" si="41"/>
        <v>10802</v>
      </c>
      <c r="B805" s="9">
        <f t="shared" si="39"/>
        <v>3</v>
      </c>
      <c r="C805" s="9">
        <v>2</v>
      </c>
      <c r="D805" s="9">
        <v>2</v>
      </c>
      <c r="E805" s="9">
        <f t="shared" si="40"/>
        <v>12207</v>
      </c>
      <c r="F805" s="9">
        <f t="shared" si="42"/>
        <v>10</v>
      </c>
    </row>
    <row r="806" customHeight="1" spans="1:6">
      <c r="A806" s="11">
        <f t="shared" si="41"/>
        <v>10803</v>
      </c>
      <c r="B806" s="9">
        <f t="shared" si="39"/>
        <v>3</v>
      </c>
      <c r="C806" s="9">
        <v>2</v>
      </c>
      <c r="D806" s="9">
        <v>2</v>
      </c>
      <c r="E806" s="9">
        <f t="shared" si="40"/>
        <v>12208</v>
      </c>
      <c r="F806" s="9">
        <f t="shared" si="42"/>
        <v>10</v>
      </c>
    </row>
    <row r="807" customHeight="1" spans="1:6">
      <c r="A807" s="11">
        <f t="shared" si="41"/>
        <v>10804</v>
      </c>
      <c r="B807" s="9">
        <f t="shared" si="39"/>
        <v>3</v>
      </c>
      <c r="C807" s="9">
        <v>2</v>
      </c>
      <c r="D807" s="9">
        <v>2</v>
      </c>
      <c r="E807" s="9">
        <f t="shared" si="40"/>
        <v>12209</v>
      </c>
      <c r="F807" s="9">
        <f t="shared" si="42"/>
        <v>10</v>
      </c>
    </row>
    <row r="808" customHeight="1" spans="1:6">
      <c r="A808" s="11">
        <f t="shared" si="41"/>
        <v>10805</v>
      </c>
      <c r="B808" s="9">
        <f t="shared" si="39"/>
        <v>3</v>
      </c>
      <c r="C808" s="9">
        <v>2</v>
      </c>
      <c r="D808" s="9">
        <v>2</v>
      </c>
      <c r="E808" s="9">
        <f t="shared" si="40"/>
        <v>12210</v>
      </c>
      <c r="F808" s="9">
        <f t="shared" si="42"/>
        <v>10</v>
      </c>
    </row>
    <row r="809" customHeight="1" spans="1:6">
      <c r="A809" s="11">
        <f t="shared" si="41"/>
        <v>10806</v>
      </c>
      <c r="B809" s="9">
        <f t="shared" si="39"/>
        <v>3</v>
      </c>
      <c r="C809" s="9">
        <v>2</v>
      </c>
      <c r="D809" s="9">
        <v>2</v>
      </c>
      <c r="E809" s="9">
        <f t="shared" si="40"/>
        <v>12211</v>
      </c>
      <c r="F809" s="9">
        <f t="shared" si="42"/>
        <v>10</v>
      </c>
    </row>
    <row r="810" customHeight="1" spans="1:6">
      <c r="A810" s="11">
        <f t="shared" si="41"/>
        <v>10807</v>
      </c>
      <c r="B810" s="9">
        <f t="shared" si="39"/>
        <v>3</v>
      </c>
      <c r="C810" s="9">
        <v>2</v>
      </c>
      <c r="D810" s="9">
        <v>2</v>
      </c>
      <c r="E810" s="9">
        <f t="shared" si="40"/>
        <v>12212</v>
      </c>
      <c r="F810" s="9">
        <f t="shared" si="42"/>
        <v>10</v>
      </c>
    </row>
    <row r="811" customHeight="1" spans="1:6">
      <c r="A811" s="11">
        <f t="shared" si="41"/>
        <v>10808</v>
      </c>
      <c r="B811" s="9">
        <f t="shared" si="39"/>
        <v>3</v>
      </c>
      <c r="C811" s="9">
        <v>2</v>
      </c>
      <c r="D811" s="9">
        <v>2</v>
      </c>
      <c r="E811" s="9">
        <f t="shared" si="40"/>
        <v>12213</v>
      </c>
      <c r="F811" s="9">
        <f t="shared" si="42"/>
        <v>10</v>
      </c>
    </row>
    <row r="812" customHeight="1" spans="1:6">
      <c r="A812" s="11">
        <f t="shared" si="41"/>
        <v>10809</v>
      </c>
      <c r="B812" s="9">
        <f t="shared" si="39"/>
        <v>3</v>
      </c>
      <c r="C812" s="9">
        <v>2</v>
      </c>
      <c r="D812" s="9">
        <v>2</v>
      </c>
      <c r="E812" s="9">
        <f t="shared" si="40"/>
        <v>12214</v>
      </c>
      <c r="F812" s="9">
        <f t="shared" si="42"/>
        <v>10</v>
      </c>
    </row>
    <row r="813" customHeight="1" spans="1:6">
      <c r="A813" s="11">
        <f t="shared" si="41"/>
        <v>10810</v>
      </c>
      <c r="B813" s="9">
        <f t="shared" si="39"/>
        <v>3</v>
      </c>
      <c r="C813" s="9">
        <v>2</v>
      </c>
      <c r="D813" s="9">
        <v>2</v>
      </c>
      <c r="E813" s="9">
        <f t="shared" si="40"/>
        <v>12215</v>
      </c>
      <c r="F813" s="9">
        <f t="shared" si="42"/>
        <v>10</v>
      </c>
    </row>
    <row r="814" customHeight="1" spans="1:6">
      <c r="A814" s="11">
        <f t="shared" si="41"/>
        <v>10811</v>
      </c>
      <c r="B814" s="9">
        <f t="shared" si="39"/>
        <v>3</v>
      </c>
      <c r="C814" s="9">
        <v>2</v>
      </c>
      <c r="D814" s="9">
        <v>2</v>
      </c>
      <c r="E814" s="9">
        <f t="shared" si="40"/>
        <v>12216</v>
      </c>
      <c r="F814" s="9">
        <f t="shared" si="42"/>
        <v>10</v>
      </c>
    </row>
    <row r="815" customHeight="1" spans="1:6">
      <c r="A815" s="11">
        <f t="shared" si="41"/>
        <v>10812</v>
      </c>
      <c r="B815" s="9">
        <f t="shared" si="39"/>
        <v>3</v>
      </c>
      <c r="C815" s="9">
        <v>2</v>
      </c>
      <c r="D815" s="9">
        <v>2</v>
      </c>
      <c r="E815" s="9">
        <f t="shared" si="40"/>
        <v>12217</v>
      </c>
      <c r="F815" s="9">
        <f t="shared" si="42"/>
        <v>10</v>
      </c>
    </row>
    <row r="816" customHeight="1" spans="1:6">
      <c r="A816" s="11">
        <f t="shared" si="41"/>
        <v>10813</v>
      </c>
      <c r="B816" s="9">
        <f t="shared" si="39"/>
        <v>3</v>
      </c>
      <c r="C816" s="9">
        <v>2</v>
      </c>
      <c r="D816" s="9">
        <v>2</v>
      </c>
      <c r="E816" s="9">
        <f t="shared" si="40"/>
        <v>12218</v>
      </c>
      <c r="F816" s="9">
        <f t="shared" si="42"/>
        <v>10</v>
      </c>
    </row>
    <row r="817" customHeight="1" spans="1:6">
      <c r="A817" s="11">
        <f t="shared" si="41"/>
        <v>10814</v>
      </c>
      <c r="B817" s="9">
        <f t="shared" si="39"/>
        <v>3</v>
      </c>
      <c r="C817" s="9">
        <v>2</v>
      </c>
      <c r="D817" s="9">
        <v>2</v>
      </c>
      <c r="E817" s="9">
        <f t="shared" si="40"/>
        <v>12219</v>
      </c>
      <c r="F817" s="9">
        <f t="shared" si="42"/>
        <v>10</v>
      </c>
    </row>
    <row r="818" customHeight="1" spans="1:6">
      <c r="A818" s="11">
        <f t="shared" si="41"/>
        <v>10815</v>
      </c>
      <c r="B818" s="9">
        <f t="shared" si="39"/>
        <v>3</v>
      </c>
      <c r="C818" s="9">
        <v>2</v>
      </c>
      <c r="D818" s="9">
        <v>2</v>
      </c>
      <c r="E818" s="9">
        <f t="shared" si="40"/>
        <v>12220</v>
      </c>
      <c r="F818" s="9">
        <f t="shared" si="42"/>
        <v>10</v>
      </c>
    </row>
    <row r="819" customHeight="1" spans="1:6">
      <c r="A819" s="11">
        <f t="shared" si="41"/>
        <v>10816</v>
      </c>
      <c r="B819" s="9">
        <f t="shared" si="39"/>
        <v>3</v>
      </c>
      <c r="C819" s="9">
        <v>2</v>
      </c>
      <c r="D819" s="9">
        <v>2</v>
      </c>
      <c r="E819" s="9">
        <f t="shared" si="40"/>
        <v>12221</v>
      </c>
      <c r="F819" s="9">
        <f t="shared" si="42"/>
        <v>10</v>
      </c>
    </row>
    <row r="820" customHeight="1" spans="1:6">
      <c r="A820" s="11">
        <f t="shared" si="41"/>
        <v>10817</v>
      </c>
      <c r="B820" s="9">
        <f t="shared" si="39"/>
        <v>3</v>
      </c>
      <c r="C820" s="9">
        <v>2</v>
      </c>
      <c r="D820" s="9">
        <v>2</v>
      </c>
      <c r="E820" s="9">
        <f t="shared" si="40"/>
        <v>12222</v>
      </c>
      <c r="F820" s="9">
        <f t="shared" si="42"/>
        <v>10</v>
      </c>
    </row>
    <row r="821" customHeight="1" spans="1:6">
      <c r="A821" s="11">
        <f t="shared" si="41"/>
        <v>10818</v>
      </c>
      <c r="B821" s="9">
        <f t="shared" si="39"/>
        <v>3</v>
      </c>
      <c r="C821" s="9">
        <v>2</v>
      </c>
      <c r="D821" s="9">
        <v>2</v>
      </c>
      <c r="E821" s="9">
        <f t="shared" si="40"/>
        <v>12223</v>
      </c>
      <c r="F821" s="9">
        <f t="shared" si="42"/>
        <v>0</v>
      </c>
    </row>
    <row r="822" customHeight="1" spans="1:6">
      <c r="A822" s="11">
        <f t="shared" si="41"/>
        <v>10819</v>
      </c>
      <c r="B822" s="9">
        <f t="shared" si="39"/>
        <v>3</v>
      </c>
      <c r="C822" s="9">
        <v>2</v>
      </c>
      <c r="D822" s="9">
        <v>2</v>
      </c>
      <c r="E822" s="9">
        <f t="shared" si="40"/>
        <v>12224</v>
      </c>
      <c r="F822" s="9">
        <f t="shared" si="42"/>
        <v>0</v>
      </c>
    </row>
    <row r="823" customHeight="1" spans="1:6">
      <c r="A823" s="11">
        <f t="shared" si="41"/>
        <v>10820</v>
      </c>
      <c r="B823" s="9">
        <f t="shared" si="39"/>
        <v>3</v>
      </c>
      <c r="C823" s="9">
        <v>2</v>
      </c>
      <c r="D823" s="9">
        <v>2</v>
      </c>
      <c r="E823" s="9">
        <f t="shared" si="40"/>
        <v>12225</v>
      </c>
      <c r="F823" s="9">
        <f t="shared" si="42"/>
        <v>0</v>
      </c>
    </row>
    <row r="824" customHeight="1" spans="1:6">
      <c r="A824" s="11">
        <f t="shared" si="41"/>
        <v>10821</v>
      </c>
      <c r="B824" s="9">
        <f t="shared" si="39"/>
        <v>3</v>
      </c>
      <c r="C824" s="9">
        <v>2</v>
      </c>
      <c r="D824" s="9">
        <v>2</v>
      </c>
      <c r="E824" s="9">
        <f t="shared" si="40"/>
        <v>12226</v>
      </c>
      <c r="F824" s="9">
        <f t="shared" si="42"/>
        <v>0</v>
      </c>
    </row>
    <row r="825" customHeight="1" spans="1:6">
      <c r="A825" s="11">
        <f t="shared" si="41"/>
        <v>10822</v>
      </c>
      <c r="B825" s="9">
        <f t="shared" si="39"/>
        <v>3</v>
      </c>
      <c r="C825" s="9">
        <v>2</v>
      </c>
      <c r="D825" s="9">
        <v>2</v>
      </c>
      <c r="E825" s="9">
        <f t="shared" si="40"/>
        <v>12227</v>
      </c>
      <c r="F825" s="9">
        <f t="shared" si="42"/>
        <v>0</v>
      </c>
    </row>
    <row r="826" customHeight="1" spans="1:6">
      <c r="A826" s="11">
        <f t="shared" si="41"/>
        <v>10823</v>
      </c>
      <c r="B826" s="9">
        <f t="shared" si="39"/>
        <v>3</v>
      </c>
      <c r="C826" s="9">
        <v>2</v>
      </c>
      <c r="D826" s="9">
        <v>2</v>
      </c>
      <c r="E826" s="9">
        <f t="shared" si="40"/>
        <v>12228</v>
      </c>
      <c r="F826" s="9">
        <f t="shared" si="42"/>
        <v>0</v>
      </c>
    </row>
    <row r="827" customHeight="1" spans="1:6">
      <c r="A827" s="11">
        <f t="shared" si="41"/>
        <v>10824</v>
      </c>
      <c r="B827" s="9">
        <f t="shared" si="39"/>
        <v>3</v>
      </c>
      <c r="C827" s="9">
        <v>2</v>
      </c>
      <c r="D827" s="9">
        <v>2</v>
      </c>
      <c r="E827" s="9">
        <f t="shared" si="40"/>
        <v>12229</v>
      </c>
      <c r="F827" s="9">
        <f t="shared" si="42"/>
        <v>0</v>
      </c>
    </row>
    <row r="828" customHeight="1" spans="1:6">
      <c r="A828" s="11">
        <f t="shared" si="41"/>
        <v>10825</v>
      </c>
      <c r="B828" s="9">
        <f t="shared" si="39"/>
        <v>3</v>
      </c>
      <c r="C828" s="9">
        <v>2</v>
      </c>
      <c r="D828" s="9">
        <v>2</v>
      </c>
      <c r="E828" s="9">
        <f t="shared" si="40"/>
        <v>12230</v>
      </c>
      <c r="F828" s="9">
        <f t="shared" si="42"/>
        <v>0</v>
      </c>
    </row>
    <row r="829" customHeight="1" spans="1:6">
      <c r="A829" s="11">
        <f t="shared" si="41"/>
        <v>10826</v>
      </c>
      <c r="B829" s="9">
        <f t="shared" si="39"/>
        <v>4</v>
      </c>
      <c r="C829" s="9">
        <v>2</v>
      </c>
      <c r="D829" s="9">
        <v>2</v>
      </c>
      <c r="E829" s="9">
        <f t="shared" si="40"/>
        <v>12201</v>
      </c>
      <c r="F829" s="9">
        <f t="shared" si="42"/>
        <v>0</v>
      </c>
    </row>
    <row r="830" customHeight="1" spans="1:6">
      <c r="A830" s="11">
        <f t="shared" si="41"/>
        <v>10827</v>
      </c>
      <c r="B830" s="9">
        <f t="shared" si="39"/>
        <v>4</v>
      </c>
      <c r="C830" s="9">
        <v>2</v>
      </c>
      <c r="D830" s="9">
        <v>2</v>
      </c>
      <c r="E830" s="9">
        <f t="shared" si="40"/>
        <v>12202</v>
      </c>
      <c r="F830" s="9">
        <f t="shared" si="42"/>
        <v>0</v>
      </c>
    </row>
    <row r="831" customHeight="1" spans="1:6">
      <c r="A831" s="11">
        <f t="shared" si="41"/>
        <v>10828</v>
      </c>
      <c r="B831" s="9">
        <f t="shared" si="39"/>
        <v>4</v>
      </c>
      <c r="C831" s="9">
        <v>2</v>
      </c>
      <c r="D831" s="9">
        <v>2</v>
      </c>
      <c r="E831" s="9">
        <f t="shared" si="40"/>
        <v>12203</v>
      </c>
      <c r="F831" s="9">
        <f t="shared" si="42"/>
        <v>0</v>
      </c>
    </row>
    <row r="832" customHeight="1" spans="1:6">
      <c r="A832" s="11">
        <f t="shared" si="41"/>
        <v>10829</v>
      </c>
      <c r="B832" s="9">
        <f t="shared" si="39"/>
        <v>4</v>
      </c>
      <c r="C832" s="9">
        <v>2</v>
      </c>
      <c r="D832" s="9">
        <v>2</v>
      </c>
      <c r="E832" s="9">
        <f t="shared" si="40"/>
        <v>12204</v>
      </c>
      <c r="F832" s="9">
        <f t="shared" si="42"/>
        <v>0</v>
      </c>
    </row>
    <row r="833" customHeight="1" spans="1:6">
      <c r="A833" s="11">
        <f t="shared" si="41"/>
        <v>10830</v>
      </c>
      <c r="B833" s="9">
        <f t="shared" si="39"/>
        <v>4</v>
      </c>
      <c r="C833" s="9">
        <v>2</v>
      </c>
      <c r="D833" s="9">
        <v>2</v>
      </c>
      <c r="E833" s="9">
        <f t="shared" si="40"/>
        <v>12205</v>
      </c>
      <c r="F833" s="9">
        <f t="shared" si="42"/>
        <v>0</v>
      </c>
    </row>
    <row r="834" customHeight="1" spans="1:6">
      <c r="A834" s="11">
        <f t="shared" si="41"/>
        <v>10831</v>
      </c>
      <c r="B834" s="9">
        <f t="shared" ref="B834:B871" si="43">B804+1</f>
        <v>4</v>
      </c>
      <c r="C834" s="9">
        <v>2</v>
      </c>
      <c r="D834" s="9">
        <v>2</v>
      </c>
      <c r="E834" s="9">
        <f t="shared" ref="E834:E897" si="44">E804</f>
        <v>12206</v>
      </c>
      <c r="F834" s="9">
        <f t="shared" si="42"/>
        <v>0</v>
      </c>
    </row>
    <row r="835" customHeight="1" spans="1:6">
      <c r="A835" s="11">
        <f t="shared" si="41"/>
        <v>10832</v>
      </c>
      <c r="B835" s="9">
        <f t="shared" si="43"/>
        <v>4</v>
      </c>
      <c r="C835" s="9">
        <v>2</v>
      </c>
      <c r="D835" s="9">
        <v>2</v>
      </c>
      <c r="E835" s="9">
        <f t="shared" si="44"/>
        <v>12207</v>
      </c>
      <c r="F835" s="9">
        <f t="shared" si="42"/>
        <v>0</v>
      </c>
    </row>
    <row r="836" customHeight="1" spans="1:6">
      <c r="A836" s="11">
        <f t="shared" si="41"/>
        <v>10833</v>
      </c>
      <c r="B836" s="9">
        <f t="shared" si="43"/>
        <v>4</v>
      </c>
      <c r="C836" s="9">
        <v>2</v>
      </c>
      <c r="D836" s="9">
        <v>2</v>
      </c>
      <c r="E836" s="9">
        <f t="shared" si="44"/>
        <v>12208</v>
      </c>
      <c r="F836" s="9">
        <f t="shared" si="42"/>
        <v>0</v>
      </c>
    </row>
    <row r="837" customHeight="1" spans="1:6">
      <c r="A837" s="11">
        <f t="shared" si="41"/>
        <v>10834</v>
      </c>
      <c r="B837" s="9">
        <f t="shared" si="43"/>
        <v>4</v>
      </c>
      <c r="C837" s="9">
        <v>2</v>
      </c>
      <c r="D837" s="9">
        <v>2</v>
      </c>
      <c r="E837" s="9">
        <f t="shared" si="44"/>
        <v>12209</v>
      </c>
      <c r="F837" s="9">
        <f t="shared" si="42"/>
        <v>10</v>
      </c>
    </row>
    <row r="838" customHeight="1" spans="1:6">
      <c r="A838" s="11">
        <f t="shared" si="41"/>
        <v>10835</v>
      </c>
      <c r="B838" s="9">
        <f t="shared" si="43"/>
        <v>4</v>
      </c>
      <c r="C838" s="9">
        <v>2</v>
      </c>
      <c r="D838" s="9">
        <v>2</v>
      </c>
      <c r="E838" s="9">
        <f t="shared" si="44"/>
        <v>12210</v>
      </c>
      <c r="F838" s="9">
        <f t="shared" si="42"/>
        <v>10</v>
      </c>
    </row>
    <row r="839" customHeight="1" spans="1:6">
      <c r="A839" s="11">
        <f t="shared" si="41"/>
        <v>10836</v>
      </c>
      <c r="B839" s="9">
        <f t="shared" si="43"/>
        <v>4</v>
      </c>
      <c r="C839" s="9">
        <v>2</v>
      </c>
      <c r="D839" s="9">
        <v>2</v>
      </c>
      <c r="E839" s="9">
        <f t="shared" si="44"/>
        <v>12211</v>
      </c>
      <c r="F839" s="9">
        <f t="shared" si="42"/>
        <v>10</v>
      </c>
    </row>
    <row r="840" customHeight="1" spans="1:6">
      <c r="A840" s="11">
        <f t="shared" si="41"/>
        <v>10837</v>
      </c>
      <c r="B840" s="9">
        <f t="shared" si="43"/>
        <v>4</v>
      </c>
      <c r="C840" s="9">
        <v>2</v>
      </c>
      <c r="D840" s="9">
        <v>2</v>
      </c>
      <c r="E840" s="9">
        <f t="shared" si="44"/>
        <v>12212</v>
      </c>
      <c r="F840" s="9">
        <f t="shared" si="42"/>
        <v>10</v>
      </c>
    </row>
    <row r="841" customHeight="1" spans="1:6">
      <c r="A841" s="11">
        <f t="shared" si="41"/>
        <v>10838</v>
      </c>
      <c r="B841" s="9">
        <f t="shared" si="43"/>
        <v>4</v>
      </c>
      <c r="C841" s="9">
        <v>2</v>
      </c>
      <c r="D841" s="9">
        <v>2</v>
      </c>
      <c r="E841" s="9">
        <f t="shared" si="44"/>
        <v>12213</v>
      </c>
      <c r="F841" s="9">
        <f t="shared" si="42"/>
        <v>10</v>
      </c>
    </row>
    <row r="842" customHeight="1" spans="1:6">
      <c r="A842" s="11">
        <f t="shared" si="41"/>
        <v>10839</v>
      </c>
      <c r="B842" s="9">
        <f t="shared" si="43"/>
        <v>4</v>
      </c>
      <c r="C842" s="9">
        <v>2</v>
      </c>
      <c r="D842" s="9">
        <v>2</v>
      </c>
      <c r="E842" s="9">
        <f t="shared" si="44"/>
        <v>12214</v>
      </c>
      <c r="F842" s="9">
        <f t="shared" si="42"/>
        <v>10</v>
      </c>
    </row>
    <row r="843" customHeight="1" spans="1:6">
      <c r="A843" s="11">
        <f t="shared" si="41"/>
        <v>10840</v>
      </c>
      <c r="B843" s="9">
        <f t="shared" si="43"/>
        <v>4</v>
      </c>
      <c r="C843" s="9">
        <v>2</v>
      </c>
      <c r="D843" s="9">
        <v>2</v>
      </c>
      <c r="E843" s="9">
        <f t="shared" si="44"/>
        <v>12215</v>
      </c>
      <c r="F843" s="9">
        <f t="shared" si="42"/>
        <v>10</v>
      </c>
    </row>
    <row r="844" customHeight="1" spans="1:6">
      <c r="A844" s="11">
        <f t="shared" si="41"/>
        <v>10841</v>
      </c>
      <c r="B844" s="9">
        <f t="shared" si="43"/>
        <v>4</v>
      </c>
      <c r="C844" s="9">
        <v>2</v>
      </c>
      <c r="D844" s="9">
        <v>2</v>
      </c>
      <c r="E844" s="9">
        <f t="shared" si="44"/>
        <v>12216</v>
      </c>
      <c r="F844" s="9">
        <f t="shared" si="42"/>
        <v>10</v>
      </c>
    </row>
    <row r="845" customHeight="1" spans="1:6">
      <c r="A845" s="11">
        <f t="shared" si="41"/>
        <v>10842</v>
      </c>
      <c r="B845" s="9">
        <f t="shared" si="43"/>
        <v>4</v>
      </c>
      <c r="C845" s="9">
        <v>2</v>
      </c>
      <c r="D845" s="9">
        <v>2</v>
      </c>
      <c r="E845" s="9">
        <f t="shared" si="44"/>
        <v>12217</v>
      </c>
      <c r="F845" s="9">
        <f t="shared" si="42"/>
        <v>10</v>
      </c>
    </row>
    <row r="846" customHeight="1" spans="1:6">
      <c r="A846" s="11">
        <f t="shared" si="41"/>
        <v>10843</v>
      </c>
      <c r="B846" s="9">
        <f t="shared" si="43"/>
        <v>4</v>
      </c>
      <c r="C846" s="9">
        <v>2</v>
      </c>
      <c r="D846" s="9">
        <v>2</v>
      </c>
      <c r="E846" s="9">
        <f t="shared" si="44"/>
        <v>12218</v>
      </c>
      <c r="F846" s="9">
        <f t="shared" si="42"/>
        <v>10</v>
      </c>
    </row>
    <row r="847" customHeight="1" spans="1:6">
      <c r="A847" s="11">
        <f t="shared" si="41"/>
        <v>10844</v>
      </c>
      <c r="B847" s="9">
        <f t="shared" si="43"/>
        <v>4</v>
      </c>
      <c r="C847" s="9">
        <v>2</v>
      </c>
      <c r="D847" s="9">
        <v>2</v>
      </c>
      <c r="E847" s="9">
        <f t="shared" si="44"/>
        <v>12219</v>
      </c>
      <c r="F847" s="9">
        <f t="shared" si="42"/>
        <v>10</v>
      </c>
    </row>
    <row r="848" customHeight="1" spans="1:6">
      <c r="A848" s="11">
        <f t="shared" si="41"/>
        <v>10845</v>
      </c>
      <c r="B848" s="9">
        <f t="shared" si="43"/>
        <v>4</v>
      </c>
      <c r="C848" s="9">
        <v>2</v>
      </c>
      <c r="D848" s="9">
        <v>2</v>
      </c>
      <c r="E848" s="9">
        <f t="shared" si="44"/>
        <v>12220</v>
      </c>
      <c r="F848" s="9">
        <f t="shared" si="42"/>
        <v>10</v>
      </c>
    </row>
    <row r="849" customHeight="1" spans="1:6">
      <c r="A849" s="11">
        <f t="shared" si="41"/>
        <v>10846</v>
      </c>
      <c r="B849" s="9">
        <f t="shared" si="43"/>
        <v>4</v>
      </c>
      <c r="C849" s="9">
        <v>2</v>
      </c>
      <c r="D849" s="9">
        <v>2</v>
      </c>
      <c r="E849" s="9">
        <f t="shared" si="44"/>
        <v>12221</v>
      </c>
      <c r="F849" s="9">
        <f t="shared" si="42"/>
        <v>10</v>
      </c>
    </row>
    <row r="850" customHeight="1" spans="1:6">
      <c r="A850" s="11">
        <f t="shared" si="41"/>
        <v>10847</v>
      </c>
      <c r="B850" s="9">
        <f t="shared" si="43"/>
        <v>4</v>
      </c>
      <c r="C850" s="9">
        <v>2</v>
      </c>
      <c r="D850" s="9">
        <v>2</v>
      </c>
      <c r="E850" s="9">
        <f t="shared" si="44"/>
        <v>12222</v>
      </c>
      <c r="F850" s="9">
        <f t="shared" si="42"/>
        <v>10</v>
      </c>
    </row>
    <row r="851" customHeight="1" spans="1:6">
      <c r="A851" s="11">
        <f t="shared" si="41"/>
        <v>10848</v>
      </c>
      <c r="B851" s="9">
        <f t="shared" si="43"/>
        <v>4</v>
      </c>
      <c r="C851" s="9">
        <v>2</v>
      </c>
      <c r="D851" s="9">
        <v>2</v>
      </c>
      <c r="E851" s="9">
        <f t="shared" si="44"/>
        <v>12223</v>
      </c>
      <c r="F851" s="9">
        <f t="shared" si="42"/>
        <v>10</v>
      </c>
    </row>
    <row r="852" customHeight="1" spans="1:6">
      <c r="A852" s="11">
        <f t="shared" si="41"/>
        <v>10849</v>
      </c>
      <c r="B852" s="9">
        <f t="shared" si="43"/>
        <v>4</v>
      </c>
      <c r="C852" s="9">
        <v>2</v>
      </c>
      <c r="D852" s="9">
        <v>2</v>
      </c>
      <c r="E852" s="9">
        <f t="shared" si="44"/>
        <v>12224</v>
      </c>
      <c r="F852" s="9">
        <f t="shared" si="42"/>
        <v>10</v>
      </c>
    </row>
    <row r="853" customHeight="1" spans="1:6">
      <c r="A853" s="11">
        <f t="shared" si="41"/>
        <v>10850</v>
      </c>
      <c r="B853" s="9">
        <f t="shared" si="43"/>
        <v>4</v>
      </c>
      <c r="C853" s="9">
        <v>2</v>
      </c>
      <c r="D853" s="9">
        <v>2</v>
      </c>
      <c r="E853" s="9">
        <f t="shared" si="44"/>
        <v>12225</v>
      </c>
      <c r="F853" s="9">
        <f t="shared" si="42"/>
        <v>10</v>
      </c>
    </row>
    <row r="854" customHeight="1" spans="1:6">
      <c r="A854" s="11">
        <f t="shared" si="41"/>
        <v>10851</v>
      </c>
      <c r="B854" s="9">
        <f t="shared" si="43"/>
        <v>4</v>
      </c>
      <c r="C854" s="9">
        <v>2</v>
      </c>
      <c r="D854" s="9">
        <v>2</v>
      </c>
      <c r="E854" s="9">
        <f t="shared" si="44"/>
        <v>12226</v>
      </c>
      <c r="F854" s="9">
        <f t="shared" si="42"/>
        <v>0</v>
      </c>
    </row>
    <row r="855" customHeight="1" spans="1:6">
      <c r="A855" s="11">
        <f t="shared" si="41"/>
        <v>10852</v>
      </c>
      <c r="B855" s="9">
        <f t="shared" si="43"/>
        <v>4</v>
      </c>
      <c r="C855" s="9">
        <v>2</v>
      </c>
      <c r="D855" s="9">
        <v>2</v>
      </c>
      <c r="E855" s="9">
        <f t="shared" si="44"/>
        <v>12227</v>
      </c>
      <c r="F855" s="9">
        <f t="shared" si="42"/>
        <v>0</v>
      </c>
    </row>
    <row r="856" customHeight="1" spans="1:6">
      <c r="A856" s="11">
        <f t="shared" si="41"/>
        <v>10853</v>
      </c>
      <c r="B856" s="9">
        <f t="shared" si="43"/>
        <v>4</v>
      </c>
      <c r="C856" s="9">
        <v>2</v>
      </c>
      <c r="D856" s="9">
        <v>2</v>
      </c>
      <c r="E856" s="9">
        <f t="shared" si="44"/>
        <v>12228</v>
      </c>
      <c r="F856" s="9">
        <f t="shared" si="42"/>
        <v>0</v>
      </c>
    </row>
    <row r="857" customHeight="1" spans="1:6">
      <c r="A857" s="11">
        <f t="shared" si="41"/>
        <v>10854</v>
      </c>
      <c r="B857" s="9">
        <f t="shared" si="43"/>
        <v>4</v>
      </c>
      <c r="C857" s="9">
        <v>2</v>
      </c>
      <c r="D857" s="9">
        <v>2</v>
      </c>
      <c r="E857" s="9">
        <f t="shared" si="44"/>
        <v>12229</v>
      </c>
      <c r="F857" s="9">
        <f t="shared" si="42"/>
        <v>0</v>
      </c>
    </row>
    <row r="858" customHeight="1" spans="1:6">
      <c r="A858" s="11">
        <f t="shared" si="41"/>
        <v>10855</v>
      </c>
      <c r="B858" s="9">
        <f t="shared" si="43"/>
        <v>4</v>
      </c>
      <c r="C858" s="9">
        <v>2</v>
      </c>
      <c r="D858" s="9">
        <v>2</v>
      </c>
      <c r="E858" s="9">
        <f t="shared" si="44"/>
        <v>12230</v>
      </c>
      <c r="F858" s="9">
        <f t="shared" si="42"/>
        <v>0</v>
      </c>
    </row>
    <row r="859" customHeight="1" spans="1:6">
      <c r="A859" s="11">
        <f t="shared" si="41"/>
        <v>10856</v>
      </c>
      <c r="B859" s="9">
        <f t="shared" si="43"/>
        <v>5</v>
      </c>
      <c r="C859" s="9">
        <v>2</v>
      </c>
      <c r="D859" s="9">
        <v>2</v>
      </c>
      <c r="E859" s="9">
        <f t="shared" si="44"/>
        <v>12201</v>
      </c>
      <c r="F859" s="9">
        <f t="shared" si="42"/>
        <v>0</v>
      </c>
    </row>
    <row r="860" customHeight="1" spans="1:6">
      <c r="A860" s="11">
        <f t="shared" si="41"/>
        <v>10857</v>
      </c>
      <c r="B860" s="9">
        <f t="shared" si="43"/>
        <v>5</v>
      </c>
      <c r="C860" s="9">
        <v>2</v>
      </c>
      <c r="D860" s="9">
        <v>2</v>
      </c>
      <c r="E860" s="9">
        <f t="shared" si="44"/>
        <v>12202</v>
      </c>
      <c r="F860" s="9">
        <f t="shared" si="42"/>
        <v>0</v>
      </c>
    </row>
    <row r="861" customHeight="1" spans="1:6">
      <c r="A861" s="11">
        <f t="shared" si="41"/>
        <v>10858</v>
      </c>
      <c r="B861" s="9">
        <f t="shared" si="43"/>
        <v>5</v>
      </c>
      <c r="C861" s="9">
        <v>2</v>
      </c>
      <c r="D861" s="9">
        <v>2</v>
      </c>
      <c r="E861" s="9">
        <f t="shared" si="44"/>
        <v>12203</v>
      </c>
      <c r="F861" s="9">
        <f t="shared" si="42"/>
        <v>0</v>
      </c>
    </row>
    <row r="862" customHeight="1" spans="1:6">
      <c r="A862" s="11">
        <f t="shared" si="41"/>
        <v>10859</v>
      </c>
      <c r="B862" s="9">
        <f t="shared" si="43"/>
        <v>5</v>
      </c>
      <c r="C862" s="9">
        <v>2</v>
      </c>
      <c r="D862" s="9">
        <v>2</v>
      </c>
      <c r="E862" s="9">
        <f t="shared" si="44"/>
        <v>12204</v>
      </c>
      <c r="F862" s="9">
        <f t="shared" si="42"/>
        <v>0</v>
      </c>
    </row>
    <row r="863" customHeight="1" spans="1:6">
      <c r="A863" s="11">
        <f t="shared" si="41"/>
        <v>10860</v>
      </c>
      <c r="B863" s="9">
        <f t="shared" si="43"/>
        <v>5</v>
      </c>
      <c r="C863" s="9">
        <v>2</v>
      </c>
      <c r="D863" s="9">
        <v>2</v>
      </c>
      <c r="E863" s="9">
        <f t="shared" si="44"/>
        <v>12205</v>
      </c>
      <c r="F863" s="9">
        <f t="shared" si="42"/>
        <v>0</v>
      </c>
    </row>
    <row r="864" customHeight="1" spans="1:6">
      <c r="A864" s="11">
        <f t="shared" si="41"/>
        <v>10861</v>
      </c>
      <c r="B864" s="9">
        <f t="shared" si="43"/>
        <v>5</v>
      </c>
      <c r="C864" s="9">
        <v>2</v>
      </c>
      <c r="D864" s="9">
        <v>2</v>
      </c>
      <c r="E864" s="9">
        <f t="shared" si="44"/>
        <v>12206</v>
      </c>
      <c r="F864" s="9">
        <f t="shared" si="42"/>
        <v>0</v>
      </c>
    </row>
    <row r="865" customHeight="1" spans="1:6">
      <c r="A865" s="11">
        <f t="shared" si="41"/>
        <v>10862</v>
      </c>
      <c r="B865" s="9">
        <f t="shared" si="43"/>
        <v>5</v>
      </c>
      <c r="C865" s="9">
        <v>2</v>
      </c>
      <c r="D865" s="9">
        <v>2</v>
      </c>
      <c r="E865" s="9">
        <f t="shared" si="44"/>
        <v>12207</v>
      </c>
      <c r="F865" s="9">
        <f t="shared" si="42"/>
        <v>0</v>
      </c>
    </row>
    <row r="866" customHeight="1" spans="1:6">
      <c r="A866" s="11">
        <f t="shared" si="41"/>
        <v>10863</v>
      </c>
      <c r="B866" s="9">
        <f t="shared" si="43"/>
        <v>5</v>
      </c>
      <c r="C866" s="9">
        <v>2</v>
      </c>
      <c r="D866" s="9">
        <v>2</v>
      </c>
      <c r="E866" s="9">
        <f t="shared" si="44"/>
        <v>12208</v>
      </c>
      <c r="F866" s="9">
        <f t="shared" si="42"/>
        <v>0</v>
      </c>
    </row>
    <row r="867" customHeight="1" spans="1:6">
      <c r="A867" s="11">
        <f t="shared" si="41"/>
        <v>10864</v>
      </c>
      <c r="B867" s="9">
        <f t="shared" si="43"/>
        <v>5</v>
      </c>
      <c r="C867" s="9">
        <v>2</v>
      </c>
      <c r="D867" s="9">
        <v>2</v>
      </c>
      <c r="E867" s="9">
        <f t="shared" si="44"/>
        <v>12209</v>
      </c>
      <c r="F867" s="9">
        <f t="shared" si="42"/>
        <v>0</v>
      </c>
    </row>
    <row r="868" customHeight="1" spans="1:6">
      <c r="A868" s="11">
        <f t="shared" ref="A868:A931" si="45">A867+1</f>
        <v>10865</v>
      </c>
      <c r="B868" s="9">
        <f t="shared" si="43"/>
        <v>5</v>
      </c>
      <c r="C868" s="9">
        <v>2</v>
      </c>
      <c r="D868" s="9">
        <v>2</v>
      </c>
      <c r="E868" s="9">
        <f t="shared" si="44"/>
        <v>12210</v>
      </c>
      <c r="F868" s="9">
        <f t="shared" ref="F868:F931" si="46">F658</f>
        <v>0</v>
      </c>
    </row>
    <row r="869" customHeight="1" spans="1:6">
      <c r="A869" s="11">
        <f t="shared" si="45"/>
        <v>10866</v>
      </c>
      <c r="B869" s="9">
        <f t="shared" si="43"/>
        <v>5</v>
      </c>
      <c r="C869" s="9">
        <v>2</v>
      </c>
      <c r="D869" s="9">
        <v>2</v>
      </c>
      <c r="E869" s="9">
        <f t="shared" si="44"/>
        <v>12211</v>
      </c>
      <c r="F869" s="9">
        <f t="shared" si="46"/>
        <v>0</v>
      </c>
    </row>
    <row r="870" customHeight="1" spans="1:6">
      <c r="A870" s="11">
        <f t="shared" si="45"/>
        <v>10867</v>
      </c>
      <c r="B870" s="9">
        <f t="shared" si="43"/>
        <v>5</v>
      </c>
      <c r="C870" s="9">
        <v>2</v>
      </c>
      <c r="D870" s="9">
        <v>2</v>
      </c>
      <c r="E870" s="9">
        <f t="shared" si="44"/>
        <v>12212</v>
      </c>
      <c r="F870" s="9">
        <f t="shared" si="46"/>
        <v>10</v>
      </c>
    </row>
    <row r="871" customHeight="1" spans="1:6">
      <c r="A871" s="11">
        <f t="shared" si="45"/>
        <v>10868</v>
      </c>
      <c r="B871" s="9">
        <f t="shared" si="43"/>
        <v>5</v>
      </c>
      <c r="C871" s="9">
        <v>2</v>
      </c>
      <c r="D871" s="9">
        <v>2</v>
      </c>
      <c r="E871" s="9">
        <f t="shared" si="44"/>
        <v>12213</v>
      </c>
      <c r="F871" s="9">
        <f t="shared" si="46"/>
        <v>10</v>
      </c>
    </row>
    <row r="872" customHeight="1" spans="1:6">
      <c r="A872" s="11">
        <f t="shared" si="45"/>
        <v>10869</v>
      </c>
      <c r="B872" s="9">
        <f t="shared" ref="B872:B935" si="47">B842+1</f>
        <v>5</v>
      </c>
      <c r="C872" s="9">
        <v>2</v>
      </c>
      <c r="D872" s="9">
        <v>2</v>
      </c>
      <c r="E872" s="9">
        <f t="shared" si="44"/>
        <v>12214</v>
      </c>
      <c r="F872" s="9">
        <f t="shared" si="46"/>
        <v>10</v>
      </c>
    </row>
    <row r="873" customHeight="1" spans="1:6">
      <c r="A873" s="11">
        <f t="shared" si="45"/>
        <v>10870</v>
      </c>
      <c r="B873" s="9">
        <f t="shared" si="47"/>
        <v>5</v>
      </c>
      <c r="C873" s="9">
        <v>2</v>
      </c>
      <c r="D873" s="9">
        <v>2</v>
      </c>
      <c r="E873" s="9">
        <f t="shared" si="44"/>
        <v>12215</v>
      </c>
      <c r="F873" s="9">
        <f t="shared" si="46"/>
        <v>10</v>
      </c>
    </row>
    <row r="874" customHeight="1" spans="1:6">
      <c r="A874" s="11">
        <f t="shared" si="45"/>
        <v>10871</v>
      </c>
      <c r="B874" s="9">
        <f t="shared" si="47"/>
        <v>5</v>
      </c>
      <c r="C874" s="9">
        <v>2</v>
      </c>
      <c r="D874" s="9">
        <v>2</v>
      </c>
      <c r="E874" s="9">
        <f t="shared" si="44"/>
        <v>12216</v>
      </c>
      <c r="F874" s="9">
        <f t="shared" si="46"/>
        <v>10</v>
      </c>
    </row>
    <row r="875" customHeight="1" spans="1:6">
      <c r="A875" s="11">
        <f t="shared" si="45"/>
        <v>10872</v>
      </c>
      <c r="B875" s="9">
        <f t="shared" si="47"/>
        <v>5</v>
      </c>
      <c r="C875" s="9">
        <v>2</v>
      </c>
      <c r="D875" s="9">
        <v>2</v>
      </c>
      <c r="E875" s="9">
        <f t="shared" si="44"/>
        <v>12217</v>
      </c>
      <c r="F875" s="9">
        <f t="shared" si="46"/>
        <v>10</v>
      </c>
    </row>
    <row r="876" customHeight="1" spans="1:6">
      <c r="A876" s="11">
        <f t="shared" si="45"/>
        <v>10873</v>
      </c>
      <c r="B876" s="9">
        <f t="shared" si="47"/>
        <v>5</v>
      </c>
      <c r="C876" s="9">
        <v>2</v>
      </c>
      <c r="D876" s="9">
        <v>2</v>
      </c>
      <c r="E876" s="9">
        <f t="shared" si="44"/>
        <v>12218</v>
      </c>
      <c r="F876" s="9">
        <f t="shared" si="46"/>
        <v>10</v>
      </c>
    </row>
    <row r="877" customHeight="1" spans="1:6">
      <c r="A877" s="11">
        <f t="shared" si="45"/>
        <v>10874</v>
      </c>
      <c r="B877" s="9">
        <f t="shared" si="47"/>
        <v>5</v>
      </c>
      <c r="C877" s="9">
        <v>2</v>
      </c>
      <c r="D877" s="9">
        <v>2</v>
      </c>
      <c r="E877" s="9">
        <f t="shared" si="44"/>
        <v>12219</v>
      </c>
      <c r="F877" s="9">
        <f t="shared" si="46"/>
        <v>10</v>
      </c>
    </row>
    <row r="878" customHeight="1" spans="1:6">
      <c r="A878" s="11">
        <f t="shared" si="45"/>
        <v>10875</v>
      </c>
      <c r="B878" s="9">
        <f t="shared" si="47"/>
        <v>5</v>
      </c>
      <c r="C878" s="9">
        <v>2</v>
      </c>
      <c r="D878" s="9">
        <v>2</v>
      </c>
      <c r="E878" s="9">
        <f t="shared" si="44"/>
        <v>12220</v>
      </c>
      <c r="F878" s="9">
        <f t="shared" si="46"/>
        <v>10</v>
      </c>
    </row>
    <row r="879" customHeight="1" spans="1:6">
      <c r="A879" s="11">
        <f t="shared" si="45"/>
        <v>10876</v>
      </c>
      <c r="B879" s="9">
        <f t="shared" si="47"/>
        <v>5</v>
      </c>
      <c r="C879" s="9">
        <v>2</v>
      </c>
      <c r="D879" s="9">
        <v>2</v>
      </c>
      <c r="E879" s="9">
        <f t="shared" si="44"/>
        <v>12221</v>
      </c>
      <c r="F879" s="9">
        <f t="shared" si="46"/>
        <v>10</v>
      </c>
    </row>
    <row r="880" customHeight="1" spans="1:6">
      <c r="A880" s="11">
        <f t="shared" si="45"/>
        <v>10877</v>
      </c>
      <c r="B880" s="9">
        <f t="shared" si="47"/>
        <v>5</v>
      </c>
      <c r="C880" s="9">
        <v>2</v>
      </c>
      <c r="D880" s="9">
        <v>2</v>
      </c>
      <c r="E880" s="9">
        <f t="shared" si="44"/>
        <v>12222</v>
      </c>
      <c r="F880" s="9">
        <f t="shared" si="46"/>
        <v>10</v>
      </c>
    </row>
    <row r="881" customHeight="1" spans="1:6">
      <c r="A881" s="11">
        <f t="shared" si="45"/>
        <v>10878</v>
      </c>
      <c r="B881" s="9">
        <f t="shared" si="47"/>
        <v>5</v>
      </c>
      <c r="C881" s="9">
        <v>2</v>
      </c>
      <c r="D881" s="9">
        <v>2</v>
      </c>
      <c r="E881" s="9">
        <f t="shared" si="44"/>
        <v>12223</v>
      </c>
      <c r="F881" s="9">
        <f t="shared" si="46"/>
        <v>10</v>
      </c>
    </row>
    <row r="882" customHeight="1" spans="1:6">
      <c r="A882" s="11">
        <f t="shared" si="45"/>
        <v>10879</v>
      </c>
      <c r="B882" s="9">
        <f t="shared" si="47"/>
        <v>5</v>
      </c>
      <c r="C882" s="9">
        <v>2</v>
      </c>
      <c r="D882" s="9">
        <v>2</v>
      </c>
      <c r="E882" s="9">
        <f t="shared" si="44"/>
        <v>12224</v>
      </c>
      <c r="F882" s="9">
        <f t="shared" si="46"/>
        <v>10</v>
      </c>
    </row>
    <row r="883" customHeight="1" spans="1:6">
      <c r="A883" s="11">
        <f t="shared" si="45"/>
        <v>10880</v>
      </c>
      <c r="B883" s="9">
        <f t="shared" si="47"/>
        <v>5</v>
      </c>
      <c r="C883" s="9">
        <v>2</v>
      </c>
      <c r="D883" s="9">
        <v>2</v>
      </c>
      <c r="E883" s="9">
        <f t="shared" si="44"/>
        <v>12225</v>
      </c>
      <c r="F883" s="9">
        <f t="shared" si="46"/>
        <v>10</v>
      </c>
    </row>
    <row r="884" customHeight="1" spans="1:6">
      <c r="A884" s="11">
        <f t="shared" si="45"/>
        <v>10881</v>
      </c>
      <c r="B884" s="9">
        <f t="shared" si="47"/>
        <v>5</v>
      </c>
      <c r="C884" s="9">
        <v>2</v>
      </c>
      <c r="D884" s="9">
        <v>2</v>
      </c>
      <c r="E884" s="9">
        <f t="shared" si="44"/>
        <v>12226</v>
      </c>
      <c r="F884" s="9">
        <f t="shared" si="46"/>
        <v>10</v>
      </c>
    </row>
    <row r="885" customHeight="1" spans="1:6">
      <c r="A885" s="11">
        <f t="shared" si="45"/>
        <v>10882</v>
      </c>
      <c r="B885" s="9">
        <f t="shared" si="47"/>
        <v>5</v>
      </c>
      <c r="C885" s="9">
        <v>2</v>
      </c>
      <c r="D885" s="9">
        <v>2</v>
      </c>
      <c r="E885" s="9">
        <f t="shared" si="44"/>
        <v>12227</v>
      </c>
      <c r="F885" s="9">
        <f t="shared" si="46"/>
        <v>10</v>
      </c>
    </row>
    <row r="886" customHeight="1" spans="1:6">
      <c r="A886" s="11">
        <f t="shared" si="45"/>
        <v>10883</v>
      </c>
      <c r="B886" s="9">
        <f t="shared" si="47"/>
        <v>5</v>
      </c>
      <c r="C886" s="9">
        <v>2</v>
      </c>
      <c r="D886" s="9">
        <v>2</v>
      </c>
      <c r="E886" s="9">
        <f t="shared" si="44"/>
        <v>12228</v>
      </c>
      <c r="F886" s="9">
        <f t="shared" si="46"/>
        <v>10</v>
      </c>
    </row>
    <row r="887" customHeight="1" spans="1:6">
      <c r="A887" s="11">
        <f t="shared" si="45"/>
        <v>10884</v>
      </c>
      <c r="B887" s="9">
        <f t="shared" si="47"/>
        <v>5</v>
      </c>
      <c r="C887" s="9">
        <v>2</v>
      </c>
      <c r="D887" s="9">
        <v>2</v>
      </c>
      <c r="E887" s="9">
        <f t="shared" si="44"/>
        <v>12229</v>
      </c>
      <c r="F887" s="9">
        <f t="shared" si="46"/>
        <v>0</v>
      </c>
    </row>
    <row r="888" customHeight="1" spans="1:6">
      <c r="A888" s="11">
        <f t="shared" si="45"/>
        <v>10885</v>
      </c>
      <c r="B888" s="9">
        <f t="shared" si="47"/>
        <v>5</v>
      </c>
      <c r="C888" s="9">
        <v>2</v>
      </c>
      <c r="D888" s="9">
        <v>2</v>
      </c>
      <c r="E888" s="9">
        <f t="shared" si="44"/>
        <v>12230</v>
      </c>
      <c r="F888" s="9">
        <f t="shared" si="46"/>
        <v>0</v>
      </c>
    </row>
    <row r="889" customHeight="1" spans="1:6">
      <c r="A889" s="11">
        <f t="shared" si="45"/>
        <v>10886</v>
      </c>
      <c r="B889" s="9">
        <f t="shared" si="47"/>
        <v>6</v>
      </c>
      <c r="C889" s="9">
        <v>2</v>
      </c>
      <c r="D889" s="9">
        <v>2</v>
      </c>
      <c r="E889" s="9">
        <f t="shared" si="44"/>
        <v>12201</v>
      </c>
      <c r="F889" s="9">
        <f t="shared" si="46"/>
        <v>0</v>
      </c>
    </row>
    <row r="890" customHeight="1" spans="1:6">
      <c r="A890" s="11">
        <f t="shared" si="45"/>
        <v>10887</v>
      </c>
      <c r="B890" s="9">
        <f t="shared" si="47"/>
        <v>6</v>
      </c>
      <c r="C890" s="9">
        <v>2</v>
      </c>
      <c r="D890" s="9">
        <v>2</v>
      </c>
      <c r="E890" s="9">
        <f t="shared" si="44"/>
        <v>12202</v>
      </c>
      <c r="F890" s="9">
        <f t="shared" si="46"/>
        <v>0</v>
      </c>
    </row>
    <row r="891" customHeight="1" spans="1:6">
      <c r="A891" s="11">
        <f t="shared" si="45"/>
        <v>10888</v>
      </c>
      <c r="B891" s="9">
        <f t="shared" si="47"/>
        <v>6</v>
      </c>
      <c r="C891" s="9">
        <v>2</v>
      </c>
      <c r="D891" s="9">
        <v>2</v>
      </c>
      <c r="E891" s="9">
        <f t="shared" si="44"/>
        <v>12203</v>
      </c>
      <c r="F891" s="9">
        <f t="shared" si="46"/>
        <v>0</v>
      </c>
    </row>
    <row r="892" customHeight="1" spans="1:6">
      <c r="A892" s="11">
        <f t="shared" si="45"/>
        <v>10889</v>
      </c>
      <c r="B892" s="9">
        <f t="shared" si="47"/>
        <v>6</v>
      </c>
      <c r="C892" s="9">
        <v>2</v>
      </c>
      <c r="D892" s="9">
        <v>2</v>
      </c>
      <c r="E892" s="9">
        <f t="shared" si="44"/>
        <v>12204</v>
      </c>
      <c r="F892" s="9">
        <f t="shared" si="46"/>
        <v>0</v>
      </c>
    </row>
    <row r="893" customHeight="1" spans="1:6">
      <c r="A893" s="11">
        <f t="shared" si="45"/>
        <v>10890</v>
      </c>
      <c r="B893" s="9">
        <f t="shared" si="47"/>
        <v>6</v>
      </c>
      <c r="C893" s="9">
        <v>2</v>
      </c>
      <c r="D893" s="9">
        <v>2</v>
      </c>
      <c r="E893" s="9">
        <f t="shared" si="44"/>
        <v>12205</v>
      </c>
      <c r="F893" s="9">
        <f t="shared" si="46"/>
        <v>0</v>
      </c>
    </row>
    <row r="894" customHeight="1" spans="1:6">
      <c r="A894" s="11">
        <f t="shared" si="45"/>
        <v>10891</v>
      </c>
      <c r="B894" s="9">
        <f t="shared" si="47"/>
        <v>6</v>
      </c>
      <c r="C894" s="9">
        <v>2</v>
      </c>
      <c r="D894" s="9">
        <v>2</v>
      </c>
      <c r="E894" s="9">
        <f t="shared" si="44"/>
        <v>12206</v>
      </c>
      <c r="F894" s="9">
        <f t="shared" si="46"/>
        <v>0</v>
      </c>
    </row>
    <row r="895" customHeight="1" spans="1:6">
      <c r="A895" s="11">
        <f t="shared" si="45"/>
        <v>10892</v>
      </c>
      <c r="B895" s="9">
        <f t="shared" si="47"/>
        <v>6</v>
      </c>
      <c r="C895" s="9">
        <v>2</v>
      </c>
      <c r="D895" s="9">
        <v>2</v>
      </c>
      <c r="E895" s="9">
        <f t="shared" si="44"/>
        <v>12207</v>
      </c>
      <c r="F895" s="9">
        <f t="shared" si="46"/>
        <v>0</v>
      </c>
    </row>
    <row r="896" customHeight="1" spans="1:6">
      <c r="A896" s="11">
        <f t="shared" si="45"/>
        <v>10893</v>
      </c>
      <c r="B896" s="9">
        <f t="shared" si="47"/>
        <v>6</v>
      </c>
      <c r="C896" s="9">
        <v>2</v>
      </c>
      <c r="D896" s="9">
        <v>2</v>
      </c>
      <c r="E896" s="9">
        <f t="shared" si="44"/>
        <v>12208</v>
      </c>
      <c r="F896" s="9">
        <f t="shared" si="46"/>
        <v>0</v>
      </c>
    </row>
    <row r="897" customHeight="1" spans="1:6">
      <c r="A897" s="11">
        <f t="shared" si="45"/>
        <v>10894</v>
      </c>
      <c r="B897" s="9">
        <f t="shared" si="47"/>
        <v>6</v>
      </c>
      <c r="C897" s="9">
        <v>2</v>
      </c>
      <c r="D897" s="9">
        <v>2</v>
      </c>
      <c r="E897" s="9">
        <f t="shared" si="44"/>
        <v>12209</v>
      </c>
      <c r="F897" s="9">
        <f t="shared" si="46"/>
        <v>0</v>
      </c>
    </row>
    <row r="898" customHeight="1" spans="1:6">
      <c r="A898" s="11">
        <f t="shared" si="45"/>
        <v>10895</v>
      </c>
      <c r="B898" s="9">
        <f t="shared" si="47"/>
        <v>6</v>
      </c>
      <c r="C898" s="9">
        <v>2</v>
      </c>
      <c r="D898" s="9">
        <v>2</v>
      </c>
      <c r="E898" s="9">
        <f t="shared" ref="E898:E948" si="48">E868</f>
        <v>12210</v>
      </c>
      <c r="F898" s="9">
        <f t="shared" si="46"/>
        <v>0</v>
      </c>
    </row>
    <row r="899" customHeight="1" spans="1:6">
      <c r="A899" s="11">
        <f t="shared" si="45"/>
        <v>10896</v>
      </c>
      <c r="B899" s="9">
        <f t="shared" si="47"/>
        <v>6</v>
      </c>
      <c r="C899" s="9">
        <v>2</v>
      </c>
      <c r="D899" s="9">
        <v>2</v>
      </c>
      <c r="E899" s="9">
        <f t="shared" si="48"/>
        <v>12211</v>
      </c>
      <c r="F899" s="9">
        <f t="shared" si="46"/>
        <v>0</v>
      </c>
    </row>
    <row r="900" customHeight="1" spans="1:6">
      <c r="A900" s="11">
        <f t="shared" si="45"/>
        <v>10897</v>
      </c>
      <c r="B900" s="9">
        <f t="shared" si="47"/>
        <v>6</v>
      </c>
      <c r="C900" s="9">
        <v>2</v>
      </c>
      <c r="D900" s="9">
        <v>2</v>
      </c>
      <c r="E900" s="9">
        <f t="shared" si="48"/>
        <v>12212</v>
      </c>
      <c r="F900" s="9">
        <f t="shared" si="46"/>
        <v>0</v>
      </c>
    </row>
    <row r="901" customHeight="1" spans="1:6">
      <c r="A901" s="11">
        <f t="shared" si="45"/>
        <v>10898</v>
      </c>
      <c r="B901" s="9">
        <f t="shared" si="47"/>
        <v>6</v>
      </c>
      <c r="C901" s="9">
        <v>2</v>
      </c>
      <c r="D901" s="9">
        <v>2</v>
      </c>
      <c r="E901" s="9">
        <f t="shared" si="48"/>
        <v>12213</v>
      </c>
      <c r="F901" s="9">
        <f t="shared" si="46"/>
        <v>0</v>
      </c>
    </row>
    <row r="902" customHeight="1" spans="1:6">
      <c r="A902" s="11">
        <f t="shared" si="45"/>
        <v>10899</v>
      </c>
      <c r="B902" s="9">
        <f t="shared" si="47"/>
        <v>6</v>
      </c>
      <c r="C902" s="9">
        <v>2</v>
      </c>
      <c r="D902" s="9">
        <v>2</v>
      </c>
      <c r="E902" s="9">
        <f t="shared" si="48"/>
        <v>12214</v>
      </c>
      <c r="F902" s="9">
        <f t="shared" si="46"/>
        <v>0</v>
      </c>
    </row>
    <row r="903" customHeight="1" spans="1:6">
      <c r="A903" s="11">
        <f t="shared" si="45"/>
        <v>10900</v>
      </c>
      <c r="B903" s="9">
        <f t="shared" si="47"/>
        <v>6</v>
      </c>
      <c r="C903" s="9">
        <v>2</v>
      </c>
      <c r="D903" s="9">
        <v>2</v>
      </c>
      <c r="E903" s="9">
        <f t="shared" si="48"/>
        <v>12215</v>
      </c>
      <c r="F903" s="9">
        <f t="shared" si="46"/>
        <v>0</v>
      </c>
    </row>
    <row r="904" customHeight="1" spans="1:6">
      <c r="A904" s="11">
        <f t="shared" si="45"/>
        <v>10901</v>
      </c>
      <c r="B904" s="9">
        <f t="shared" si="47"/>
        <v>6</v>
      </c>
      <c r="C904" s="9">
        <v>2</v>
      </c>
      <c r="D904" s="9">
        <v>2</v>
      </c>
      <c r="E904" s="9">
        <f t="shared" si="48"/>
        <v>12216</v>
      </c>
      <c r="F904" s="9">
        <f t="shared" si="46"/>
        <v>10</v>
      </c>
    </row>
    <row r="905" customHeight="1" spans="1:6">
      <c r="A905" s="11">
        <f t="shared" si="45"/>
        <v>10902</v>
      </c>
      <c r="B905" s="9">
        <f t="shared" si="47"/>
        <v>6</v>
      </c>
      <c r="C905" s="9">
        <v>2</v>
      </c>
      <c r="D905" s="9">
        <v>2</v>
      </c>
      <c r="E905" s="9">
        <f t="shared" si="48"/>
        <v>12217</v>
      </c>
      <c r="F905" s="9">
        <f t="shared" si="46"/>
        <v>10</v>
      </c>
    </row>
    <row r="906" customHeight="1" spans="1:6">
      <c r="A906" s="11">
        <f t="shared" si="45"/>
        <v>10903</v>
      </c>
      <c r="B906" s="9">
        <f t="shared" si="47"/>
        <v>6</v>
      </c>
      <c r="C906" s="9">
        <v>2</v>
      </c>
      <c r="D906" s="9">
        <v>2</v>
      </c>
      <c r="E906" s="9">
        <f t="shared" si="48"/>
        <v>12218</v>
      </c>
      <c r="F906" s="9">
        <f t="shared" si="46"/>
        <v>10</v>
      </c>
    </row>
    <row r="907" customHeight="1" spans="1:6">
      <c r="A907" s="11">
        <f t="shared" si="45"/>
        <v>10904</v>
      </c>
      <c r="B907" s="9">
        <f t="shared" si="47"/>
        <v>6</v>
      </c>
      <c r="C907" s="9">
        <v>2</v>
      </c>
      <c r="D907" s="9">
        <v>2</v>
      </c>
      <c r="E907" s="9">
        <f t="shared" si="48"/>
        <v>12219</v>
      </c>
      <c r="F907" s="9">
        <f t="shared" si="46"/>
        <v>10</v>
      </c>
    </row>
    <row r="908" customHeight="1" spans="1:6">
      <c r="A908" s="11">
        <f t="shared" si="45"/>
        <v>10905</v>
      </c>
      <c r="B908" s="9">
        <f t="shared" si="47"/>
        <v>6</v>
      </c>
      <c r="C908" s="9">
        <v>2</v>
      </c>
      <c r="D908" s="9">
        <v>2</v>
      </c>
      <c r="E908" s="9">
        <f t="shared" si="48"/>
        <v>12220</v>
      </c>
      <c r="F908" s="9">
        <f t="shared" si="46"/>
        <v>10</v>
      </c>
    </row>
    <row r="909" customHeight="1" spans="1:6">
      <c r="A909" s="11">
        <f t="shared" si="45"/>
        <v>10906</v>
      </c>
      <c r="B909" s="9">
        <f t="shared" si="47"/>
        <v>6</v>
      </c>
      <c r="C909" s="9">
        <v>2</v>
      </c>
      <c r="D909" s="9">
        <v>2</v>
      </c>
      <c r="E909" s="9">
        <f t="shared" si="48"/>
        <v>12221</v>
      </c>
      <c r="F909" s="9">
        <f t="shared" si="46"/>
        <v>10</v>
      </c>
    </row>
    <row r="910" customHeight="1" spans="1:6">
      <c r="A910" s="11">
        <f t="shared" si="45"/>
        <v>10907</v>
      </c>
      <c r="B910" s="9">
        <f t="shared" si="47"/>
        <v>6</v>
      </c>
      <c r="C910" s="9">
        <v>2</v>
      </c>
      <c r="D910" s="9">
        <v>2</v>
      </c>
      <c r="E910" s="9">
        <f t="shared" si="48"/>
        <v>12222</v>
      </c>
      <c r="F910" s="9">
        <f t="shared" si="46"/>
        <v>10</v>
      </c>
    </row>
    <row r="911" customHeight="1" spans="1:6">
      <c r="A911" s="11">
        <f t="shared" si="45"/>
        <v>10908</v>
      </c>
      <c r="B911" s="9">
        <f t="shared" si="47"/>
        <v>6</v>
      </c>
      <c r="C911" s="9">
        <v>2</v>
      </c>
      <c r="D911" s="9">
        <v>2</v>
      </c>
      <c r="E911" s="9">
        <f t="shared" si="48"/>
        <v>12223</v>
      </c>
      <c r="F911" s="9">
        <f t="shared" si="46"/>
        <v>10</v>
      </c>
    </row>
    <row r="912" customHeight="1" spans="1:6">
      <c r="A912" s="11">
        <f t="shared" si="45"/>
        <v>10909</v>
      </c>
      <c r="B912" s="9">
        <f t="shared" si="47"/>
        <v>6</v>
      </c>
      <c r="C912" s="9">
        <v>2</v>
      </c>
      <c r="D912" s="9">
        <v>2</v>
      </c>
      <c r="E912" s="9">
        <f t="shared" si="48"/>
        <v>12224</v>
      </c>
      <c r="F912" s="9">
        <f t="shared" si="46"/>
        <v>10</v>
      </c>
    </row>
    <row r="913" customHeight="1" spans="1:6">
      <c r="A913" s="11">
        <f t="shared" si="45"/>
        <v>10910</v>
      </c>
      <c r="B913" s="9">
        <f t="shared" si="47"/>
        <v>6</v>
      </c>
      <c r="C913" s="9">
        <v>2</v>
      </c>
      <c r="D913" s="9">
        <v>2</v>
      </c>
      <c r="E913" s="9">
        <f t="shared" si="48"/>
        <v>12225</v>
      </c>
      <c r="F913" s="9">
        <f t="shared" si="46"/>
        <v>10</v>
      </c>
    </row>
    <row r="914" customHeight="1" spans="1:6">
      <c r="A914" s="11">
        <f t="shared" si="45"/>
        <v>10911</v>
      </c>
      <c r="B914" s="9">
        <f t="shared" si="47"/>
        <v>6</v>
      </c>
      <c r="C914" s="9">
        <v>2</v>
      </c>
      <c r="D914" s="9">
        <v>2</v>
      </c>
      <c r="E914" s="9">
        <f t="shared" si="48"/>
        <v>12226</v>
      </c>
      <c r="F914" s="9">
        <f t="shared" si="46"/>
        <v>10</v>
      </c>
    </row>
    <row r="915" customHeight="1" spans="1:6">
      <c r="A915" s="11">
        <f t="shared" si="45"/>
        <v>10912</v>
      </c>
      <c r="B915" s="9">
        <f t="shared" si="47"/>
        <v>6</v>
      </c>
      <c r="C915" s="9">
        <v>2</v>
      </c>
      <c r="D915" s="9">
        <v>2</v>
      </c>
      <c r="E915" s="9">
        <f t="shared" si="48"/>
        <v>12227</v>
      </c>
      <c r="F915" s="9">
        <f t="shared" si="46"/>
        <v>10</v>
      </c>
    </row>
    <row r="916" customHeight="1" spans="1:6">
      <c r="A916" s="11">
        <f t="shared" si="45"/>
        <v>10913</v>
      </c>
      <c r="B916" s="9">
        <f t="shared" si="47"/>
        <v>6</v>
      </c>
      <c r="C916" s="9">
        <v>2</v>
      </c>
      <c r="D916" s="9">
        <v>2</v>
      </c>
      <c r="E916" s="9">
        <f t="shared" si="48"/>
        <v>12228</v>
      </c>
      <c r="F916" s="9">
        <f t="shared" si="46"/>
        <v>10</v>
      </c>
    </row>
    <row r="917" customHeight="1" spans="1:6">
      <c r="A917" s="11">
        <f t="shared" si="45"/>
        <v>10914</v>
      </c>
      <c r="B917" s="9">
        <f t="shared" si="47"/>
        <v>6</v>
      </c>
      <c r="C917" s="9">
        <v>2</v>
      </c>
      <c r="D917" s="9">
        <v>2</v>
      </c>
      <c r="E917" s="9">
        <f t="shared" si="48"/>
        <v>12229</v>
      </c>
      <c r="F917" s="9">
        <f t="shared" si="46"/>
        <v>10</v>
      </c>
    </row>
    <row r="918" customHeight="1" spans="1:6">
      <c r="A918" s="11">
        <f t="shared" si="45"/>
        <v>10915</v>
      </c>
      <c r="B918" s="9">
        <f t="shared" si="47"/>
        <v>6</v>
      </c>
      <c r="C918" s="9">
        <v>2</v>
      </c>
      <c r="D918" s="9">
        <v>2</v>
      </c>
      <c r="E918" s="9">
        <f t="shared" si="48"/>
        <v>12230</v>
      </c>
      <c r="F918" s="9">
        <f t="shared" si="46"/>
        <v>10</v>
      </c>
    </row>
    <row r="919" customHeight="1" spans="1:6">
      <c r="A919" s="11">
        <f t="shared" si="45"/>
        <v>10916</v>
      </c>
      <c r="B919" s="9">
        <f t="shared" si="47"/>
        <v>7</v>
      </c>
      <c r="C919" s="9">
        <v>2</v>
      </c>
      <c r="D919" s="9">
        <v>2</v>
      </c>
      <c r="E919" s="9">
        <f t="shared" si="48"/>
        <v>12201</v>
      </c>
      <c r="F919" s="9">
        <f t="shared" si="46"/>
        <v>0</v>
      </c>
    </row>
    <row r="920" customHeight="1" spans="1:6">
      <c r="A920" s="11">
        <f t="shared" si="45"/>
        <v>10917</v>
      </c>
      <c r="B920" s="9">
        <f t="shared" si="47"/>
        <v>7</v>
      </c>
      <c r="C920" s="9">
        <v>2</v>
      </c>
      <c r="D920" s="9">
        <v>2</v>
      </c>
      <c r="E920" s="9">
        <f t="shared" si="48"/>
        <v>12202</v>
      </c>
      <c r="F920" s="9">
        <f t="shared" si="46"/>
        <v>0</v>
      </c>
    </row>
    <row r="921" customHeight="1" spans="1:6">
      <c r="A921" s="11">
        <f t="shared" si="45"/>
        <v>10918</v>
      </c>
      <c r="B921" s="9">
        <f t="shared" si="47"/>
        <v>7</v>
      </c>
      <c r="C921" s="9">
        <v>2</v>
      </c>
      <c r="D921" s="9">
        <v>2</v>
      </c>
      <c r="E921" s="9">
        <f t="shared" si="48"/>
        <v>12203</v>
      </c>
      <c r="F921" s="9">
        <f t="shared" si="46"/>
        <v>0</v>
      </c>
    </row>
    <row r="922" customHeight="1" spans="1:6">
      <c r="A922" s="11">
        <f t="shared" si="45"/>
        <v>10919</v>
      </c>
      <c r="B922" s="9">
        <f t="shared" si="47"/>
        <v>7</v>
      </c>
      <c r="C922" s="9">
        <v>2</v>
      </c>
      <c r="D922" s="9">
        <v>2</v>
      </c>
      <c r="E922" s="9">
        <f t="shared" si="48"/>
        <v>12204</v>
      </c>
      <c r="F922" s="9">
        <f t="shared" si="46"/>
        <v>0</v>
      </c>
    </row>
    <row r="923" customHeight="1" spans="1:6">
      <c r="A923" s="11">
        <f t="shared" si="45"/>
        <v>10920</v>
      </c>
      <c r="B923" s="9">
        <f t="shared" si="47"/>
        <v>7</v>
      </c>
      <c r="C923" s="9">
        <v>2</v>
      </c>
      <c r="D923" s="9">
        <v>2</v>
      </c>
      <c r="E923" s="9">
        <f t="shared" si="48"/>
        <v>12205</v>
      </c>
      <c r="F923" s="9">
        <f t="shared" si="46"/>
        <v>0</v>
      </c>
    </row>
    <row r="924" customHeight="1" spans="1:6">
      <c r="A924" s="11">
        <f t="shared" si="45"/>
        <v>10921</v>
      </c>
      <c r="B924" s="9">
        <f t="shared" si="47"/>
        <v>7</v>
      </c>
      <c r="C924" s="9">
        <v>2</v>
      </c>
      <c r="D924" s="9">
        <v>2</v>
      </c>
      <c r="E924" s="9">
        <f t="shared" si="48"/>
        <v>12206</v>
      </c>
      <c r="F924" s="9">
        <f t="shared" si="46"/>
        <v>0</v>
      </c>
    </row>
    <row r="925" customHeight="1" spans="1:6">
      <c r="A925" s="11">
        <f t="shared" si="45"/>
        <v>10922</v>
      </c>
      <c r="B925" s="9">
        <f t="shared" si="47"/>
        <v>7</v>
      </c>
      <c r="C925" s="9">
        <v>2</v>
      </c>
      <c r="D925" s="9">
        <v>2</v>
      </c>
      <c r="E925" s="9">
        <f t="shared" si="48"/>
        <v>12207</v>
      </c>
      <c r="F925" s="9">
        <f t="shared" si="46"/>
        <v>0</v>
      </c>
    </row>
    <row r="926" customHeight="1" spans="1:6">
      <c r="A926" s="11">
        <f t="shared" si="45"/>
        <v>10923</v>
      </c>
      <c r="B926" s="9">
        <f t="shared" si="47"/>
        <v>7</v>
      </c>
      <c r="C926" s="9">
        <v>2</v>
      </c>
      <c r="D926" s="9">
        <v>2</v>
      </c>
      <c r="E926" s="9">
        <f t="shared" si="48"/>
        <v>12208</v>
      </c>
      <c r="F926" s="9">
        <f t="shared" si="46"/>
        <v>0</v>
      </c>
    </row>
    <row r="927" customHeight="1" spans="1:6">
      <c r="A927" s="11">
        <f t="shared" si="45"/>
        <v>10924</v>
      </c>
      <c r="B927" s="9">
        <f t="shared" si="47"/>
        <v>7</v>
      </c>
      <c r="C927" s="9">
        <v>2</v>
      </c>
      <c r="D927" s="9">
        <v>2</v>
      </c>
      <c r="E927" s="9">
        <f t="shared" si="48"/>
        <v>12209</v>
      </c>
      <c r="F927" s="9">
        <f t="shared" si="46"/>
        <v>0</v>
      </c>
    </row>
    <row r="928" customHeight="1" spans="1:6">
      <c r="A928" s="11">
        <f t="shared" si="45"/>
        <v>10925</v>
      </c>
      <c r="B928" s="9">
        <f t="shared" si="47"/>
        <v>7</v>
      </c>
      <c r="C928" s="9">
        <v>2</v>
      </c>
      <c r="D928" s="9">
        <v>2</v>
      </c>
      <c r="E928" s="9">
        <f t="shared" si="48"/>
        <v>12210</v>
      </c>
      <c r="F928" s="9">
        <f t="shared" si="46"/>
        <v>0</v>
      </c>
    </row>
    <row r="929" customHeight="1" spans="1:6">
      <c r="A929" s="11">
        <f t="shared" si="45"/>
        <v>10926</v>
      </c>
      <c r="B929" s="9">
        <f t="shared" si="47"/>
        <v>7</v>
      </c>
      <c r="C929" s="9">
        <v>2</v>
      </c>
      <c r="D929" s="9">
        <v>2</v>
      </c>
      <c r="E929" s="9">
        <f t="shared" si="48"/>
        <v>12211</v>
      </c>
      <c r="F929" s="9">
        <f t="shared" si="46"/>
        <v>0</v>
      </c>
    </row>
    <row r="930" customHeight="1" spans="1:6">
      <c r="A930" s="11">
        <f t="shared" si="45"/>
        <v>10927</v>
      </c>
      <c r="B930" s="9">
        <f t="shared" si="47"/>
        <v>7</v>
      </c>
      <c r="C930" s="9">
        <v>2</v>
      </c>
      <c r="D930" s="9">
        <v>2</v>
      </c>
      <c r="E930" s="9">
        <f t="shared" si="48"/>
        <v>12212</v>
      </c>
      <c r="F930" s="9">
        <f t="shared" si="46"/>
        <v>0</v>
      </c>
    </row>
    <row r="931" customHeight="1" spans="1:6">
      <c r="A931" s="11">
        <f t="shared" si="45"/>
        <v>10928</v>
      </c>
      <c r="B931" s="9">
        <f t="shared" si="47"/>
        <v>7</v>
      </c>
      <c r="C931" s="9">
        <v>2</v>
      </c>
      <c r="D931" s="9">
        <v>2</v>
      </c>
      <c r="E931" s="9">
        <f t="shared" si="48"/>
        <v>12213</v>
      </c>
      <c r="F931" s="9">
        <f t="shared" si="46"/>
        <v>0</v>
      </c>
    </row>
    <row r="932" customHeight="1" spans="1:6">
      <c r="A932" s="11">
        <f t="shared" ref="A932:A948" si="49">A931+1</f>
        <v>10929</v>
      </c>
      <c r="B932" s="9">
        <f t="shared" si="47"/>
        <v>7</v>
      </c>
      <c r="C932" s="9">
        <v>2</v>
      </c>
      <c r="D932" s="9">
        <v>2</v>
      </c>
      <c r="E932" s="9">
        <f t="shared" si="48"/>
        <v>12214</v>
      </c>
      <c r="F932" s="9">
        <f t="shared" ref="F932:F948" si="50">F722</f>
        <v>0</v>
      </c>
    </row>
    <row r="933" customHeight="1" spans="1:6">
      <c r="A933" s="11">
        <f t="shared" si="49"/>
        <v>10930</v>
      </c>
      <c r="B933" s="9">
        <f t="shared" si="47"/>
        <v>7</v>
      </c>
      <c r="C933" s="9">
        <v>2</v>
      </c>
      <c r="D933" s="9">
        <v>2</v>
      </c>
      <c r="E933" s="9">
        <f t="shared" si="48"/>
        <v>12215</v>
      </c>
      <c r="F933" s="9">
        <f t="shared" si="50"/>
        <v>0</v>
      </c>
    </row>
    <row r="934" customHeight="1" spans="1:6">
      <c r="A934" s="11">
        <f t="shared" si="49"/>
        <v>10931</v>
      </c>
      <c r="B934" s="9">
        <f t="shared" si="47"/>
        <v>7</v>
      </c>
      <c r="C934" s="9">
        <v>2</v>
      </c>
      <c r="D934" s="9">
        <v>2</v>
      </c>
      <c r="E934" s="9">
        <f t="shared" si="48"/>
        <v>12216</v>
      </c>
      <c r="F934" s="9">
        <f t="shared" si="50"/>
        <v>20</v>
      </c>
    </row>
    <row r="935" customHeight="1" spans="1:6">
      <c r="A935" s="11">
        <f t="shared" si="49"/>
        <v>10932</v>
      </c>
      <c r="B935" s="9">
        <f t="shared" si="47"/>
        <v>7</v>
      </c>
      <c r="C935" s="9">
        <v>2</v>
      </c>
      <c r="D935" s="9">
        <v>2</v>
      </c>
      <c r="E935" s="9">
        <f t="shared" si="48"/>
        <v>12217</v>
      </c>
      <c r="F935" s="9">
        <f t="shared" si="50"/>
        <v>20</v>
      </c>
    </row>
    <row r="936" customHeight="1" spans="1:6">
      <c r="A936" s="11">
        <f t="shared" si="49"/>
        <v>10933</v>
      </c>
      <c r="B936" s="9">
        <f t="shared" ref="B936:B948" si="51">B906+1</f>
        <v>7</v>
      </c>
      <c r="C936" s="9">
        <v>2</v>
      </c>
      <c r="D936" s="9">
        <v>2</v>
      </c>
      <c r="E936" s="9">
        <f t="shared" si="48"/>
        <v>12218</v>
      </c>
      <c r="F936" s="9">
        <f t="shared" si="50"/>
        <v>20</v>
      </c>
    </row>
    <row r="937" customHeight="1" spans="1:6">
      <c r="A937" s="11">
        <f t="shared" si="49"/>
        <v>10934</v>
      </c>
      <c r="B937" s="9">
        <f t="shared" si="51"/>
        <v>7</v>
      </c>
      <c r="C937" s="9">
        <v>2</v>
      </c>
      <c r="D937" s="9">
        <v>2</v>
      </c>
      <c r="E937" s="9">
        <f t="shared" si="48"/>
        <v>12219</v>
      </c>
      <c r="F937" s="9">
        <f t="shared" si="50"/>
        <v>20</v>
      </c>
    </row>
    <row r="938" customHeight="1" spans="1:6">
      <c r="A938" s="11">
        <f t="shared" si="49"/>
        <v>10935</v>
      </c>
      <c r="B938" s="9">
        <f t="shared" si="51"/>
        <v>7</v>
      </c>
      <c r="C938" s="9">
        <v>2</v>
      </c>
      <c r="D938" s="9">
        <v>2</v>
      </c>
      <c r="E938" s="9">
        <f t="shared" si="48"/>
        <v>12220</v>
      </c>
      <c r="F938" s="9">
        <f t="shared" si="50"/>
        <v>20</v>
      </c>
    </row>
    <row r="939" customHeight="1" spans="1:6">
      <c r="A939" s="11">
        <f t="shared" si="49"/>
        <v>10936</v>
      </c>
      <c r="B939" s="9">
        <f t="shared" si="51"/>
        <v>7</v>
      </c>
      <c r="C939" s="9">
        <v>2</v>
      </c>
      <c r="D939" s="9">
        <v>2</v>
      </c>
      <c r="E939" s="9">
        <f t="shared" si="48"/>
        <v>12221</v>
      </c>
      <c r="F939" s="9">
        <f t="shared" si="50"/>
        <v>20</v>
      </c>
    </row>
    <row r="940" customHeight="1" spans="1:6">
      <c r="A940" s="11">
        <f t="shared" si="49"/>
        <v>10937</v>
      </c>
      <c r="B940" s="9">
        <f t="shared" si="51"/>
        <v>7</v>
      </c>
      <c r="C940" s="9">
        <v>2</v>
      </c>
      <c r="D940" s="9">
        <v>2</v>
      </c>
      <c r="E940" s="9">
        <f t="shared" si="48"/>
        <v>12222</v>
      </c>
      <c r="F940" s="9">
        <f t="shared" si="50"/>
        <v>20</v>
      </c>
    </row>
    <row r="941" customHeight="1" spans="1:6">
      <c r="A941" s="11">
        <f t="shared" si="49"/>
        <v>10938</v>
      </c>
      <c r="B941" s="9">
        <f t="shared" si="51"/>
        <v>7</v>
      </c>
      <c r="C941" s="9">
        <v>2</v>
      </c>
      <c r="D941" s="9">
        <v>2</v>
      </c>
      <c r="E941" s="9">
        <f t="shared" si="48"/>
        <v>12223</v>
      </c>
      <c r="F941" s="9">
        <f t="shared" si="50"/>
        <v>20</v>
      </c>
    </row>
    <row r="942" customHeight="1" spans="1:6">
      <c r="A942" s="11">
        <f t="shared" si="49"/>
        <v>10939</v>
      </c>
      <c r="B942" s="9">
        <f t="shared" si="51"/>
        <v>7</v>
      </c>
      <c r="C942" s="9">
        <v>2</v>
      </c>
      <c r="D942" s="9">
        <v>2</v>
      </c>
      <c r="E942" s="9">
        <f t="shared" si="48"/>
        <v>12224</v>
      </c>
      <c r="F942" s="9">
        <f t="shared" si="50"/>
        <v>20</v>
      </c>
    </row>
    <row r="943" customHeight="1" spans="1:6">
      <c r="A943" s="11">
        <f t="shared" si="49"/>
        <v>10940</v>
      </c>
      <c r="B943" s="9">
        <f t="shared" si="51"/>
        <v>7</v>
      </c>
      <c r="C943" s="9">
        <v>2</v>
      </c>
      <c r="D943" s="9">
        <v>2</v>
      </c>
      <c r="E943" s="9">
        <f t="shared" si="48"/>
        <v>12225</v>
      </c>
      <c r="F943" s="9">
        <f t="shared" si="50"/>
        <v>20</v>
      </c>
    </row>
    <row r="944" customHeight="1" spans="1:6">
      <c r="A944" s="11">
        <f t="shared" si="49"/>
        <v>10941</v>
      </c>
      <c r="B944" s="9">
        <f t="shared" si="51"/>
        <v>7</v>
      </c>
      <c r="C944" s="9">
        <v>2</v>
      </c>
      <c r="D944" s="9">
        <v>2</v>
      </c>
      <c r="E944" s="9">
        <f t="shared" si="48"/>
        <v>12226</v>
      </c>
      <c r="F944" s="9">
        <f t="shared" si="50"/>
        <v>20</v>
      </c>
    </row>
    <row r="945" customHeight="1" spans="1:6">
      <c r="A945" s="11">
        <f t="shared" si="49"/>
        <v>10942</v>
      </c>
      <c r="B945" s="9">
        <f t="shared" si="51"/>
        <v>7</v>
      </c>
      <c r="C945" s="9">
        <v>2</v>
      </c>
      <c r="D945" s="9">
        <v>2</v>
      </c>
      <c r="E945" s="9">
        <f t="shared" si="48"/>
        <v>12227</v>
      </c>
      <c r="F945" s="9">
        <f t="shared" si="50"/>
        <v>20</v>
      </c>
    </row>
    <row r="946" customHeight="1" spans="1:6">
      <c r="A946" s="11">
        <f t="shared" si="49"/>
        <v>10943</v>
      </c>
      <c r="B946" s="9">
        <f t="shared" si="51"/>
        <v>7</v>
      </c>
      <c r="C946" s="9">
        <v>2</v>
      </c>
      <c r="D946" s="9">
        <v>2</v>
      </c>
      <c r="E946" s="9">
        <f t="shared" si="48"/>
        <v>12228</v>
      </c>
      <c r="F946" s="9">
        <f t="shared" si="50"/>
        <v>20</v>
      </c>
    </row>
    <row r="947" customHeight="1" spans="1:6">
      <c r="A947" s="11">
        <f t="shared" si="49"/>
        <v>10944</v>
      </c>
      <c r="B947" s="9">
        <f t="shared" si="51"/>
        <v>7</v>
      </c>
      <c r="C947" s="9">
        <v>2</v>
      </c>
      <c r="D947" s="9">
        <v>2</v>
      </c>
      <c r="E947" s="9">
        <f t="shared" si="48"/>
        <v>12229</v>
      </c>
      <c r="F947" s="9">
        <f t="shared" si="50"/>
        <v>20</v>
      </c>
    </row>
    <row r="948" customHeight="1" spans="1:6">
      <c r="A948" s="11">
        <f t="shared" si="49"/>
        <v>10945</v>
      </c>
      <c r="B948" s="9">
        <f t="shared" si="51"/>
        <v>7</v>
      </c>
      <c r="C948" s="9">
        <v>2</v>
      </c>
      <c r="D948" s="9">
        <v>2</v>
      </c>
      <c r="E948" s="9">
        <f t="shared" si="48"/>
        <v>12230</v>
      </c>
      <c r="F948" s="9">
        <f t="shared" si="50"/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152</v>
      </c>
      <c r="B1" t="s">
        <v>147</v>
      </c>
      <c r="C1" t="s">
        <v>139</v>
      </c>
      <c r="D1" t="s">
        <v>1795</v>
      </c>
      <c r="E1" t="s">
        <v>1796</v>
      </c>
      <c r="F1" t="s">
        <v>1797</v>
      </c>
      <c r="G1" t="s">
        <v>1795</v>
      </c>
      <c r="H1" t="s">
        <v>1796</v>
      </c>
      <c r="I1" t="s">
        <v>1797</v>
      </c>
      <c r="O1" s="1">
        <v>20001</v>
      </c>
      <c r="P1" s="2" t="s">
        <v>139</v>
      </c>
      <c r="Q1" s="2" t="str">
        <f t="shared" ref="Q1:Q11" si="0">"monster_"&amp;O1</f>
        <v>monster_20001</v>
      </c>
      <c r="R1" s="2" t="s">
        <v>140</v>
      </c>
      <c r="S1" s="1">
        <v>20001</v>
      </c>
      <c r="T1" s="2" t="s">
        <v>140</v>
      </c>
    </row>
    <row r="2" ht="13.9" customHeight="1" spans="1:20">
      <c r="A2" t="s">
        <v>153</v>
      </c>
      <c r="B2" t="s">
        <v>148</v>
      </c>
      <c r="C2" t="s">
        <v>140</v>
      </c>
      <c r="D2" t="str">
        <f t="array" ref="D2">INDEX($A$2:$A$7,INT((ROW(A1)-1)/COUNTA($B$2:$B$3))+1)&amp;",1|"&amp;INDEX($B$2:$B$3,MOD(ROW(A1)-1,COUNTA($B$2:$B$3))+1)&amp;",4"</f>
        <v>刘备,1|夏侯惇,4</v>
      </c>
      <c r="E2" s="3" t="str">
        <f t="array" ref="E2">INDEX($A$2:$A$7,INT((ROW(A1)-1)/(COUNTA($B$2:$B$3)*COUNTA($C$2:$C$4)))+1)&amp;",1|"&amp;INDEX($B$2:$B$3,MOD(INT((ROW(A1)-1)/COUNTA($C$2:$C$4)),COUNTA($B$2:$B$3))+1)&amp;",2|"&amp;INDEX($C$2:$C$4,MOD(ROW(A1)-1,COUNTA($C$2:$C$4))+1)&amp;",4"</f>
        <v>刘备,1|夏侯惇,2|糜夫人,4</v>
      </c>
      <c r="F2" s="4" t="s">
        <v>1798</v>
      </c>
      <c r="G2" t="s">
        <v>1505</v>
      </c>
      <c r="H2" t="s">
        <v>1529</v>
      </c>
      <c r="I2" t="s">
        <v>1799</v>
      </c>
      <c r="O2" s="1">
        <v>20002</v>
      </c>
      <c r="P2" s="2" t="s">
        <v>139</v>
      </c>
      <c r="Q2" s="2" t="str">
        <f t="shared" si="0"/>
        <v>monster_20002</v>
      </c>
      <c r="R2" s="2" t="s">
        <v>144</v>
      </c>
      <c r="S2" s="1">
        <v>20002</v>
      </c>
      <c r="T2" s="2" t="s">
        <v>144</v>
      </c>
    </row>
    <row r="3" spans="1:20">
      <c r="A3" t="s">
        <v>157</v>
      </c>
      <c r="B3" t="s">
        <v>160</v>
      </c>
      <c r="C3" t="s">
        <v>144</v>
      </c>
      <c r="D3" t="str">
        <f t="array" ref="D3">INDEX($A$2:$A$7,INT((ROW(A2)-1)/COUNTA($B$2:$B$3))+1)&amp;",1|"&amp;INDEX($B$2:$B$3,MOD(ROW(A2)-1,COUNTA($B$2:$B$3))+1)&amp;",4"</f>
        <v>刘备,1|孙权,4</v>
      </c>
      <c r="E3" s="3" t="str">
        <f t="array" ref="E3">INDEX($A$2:$A$7,INT((ROW(A2)-1)/(COUNTA($B$2:$B$3)*COUNTA($C$2:$C$4)))+1)&amp;",1|"&amp;INDEX($B$2:$B$3,MOD(INT((ROW(A2)-1)/COUNTA($C$2:$C$4)),COUNTA($B$2:$B$3))+1)&amp;",2|"&amp;INDEX($C$2:$C$4,MOD(ROW(A2)-1,COUNTA($C$2:$C$4))+1)&amp;",4"</f>
        <v>刘备,1|夏侯惇,2|小乔,4</v>
      </c>
      <c r="F3" s="4" t="s">
        <v>1800</v>
      </c>
      <c r="G3" t="s">
        <v>1507</v>
      </c>
      <c r="H3" t="s">
        <v>1531</v>
      </c>
      <c r="I3" t="s">
        <v>1801</v>
      </c>
      <c r="O3" s="1">
        <v>20003</v>
      </c>
      <c r="P3" s="2" t="s">
        <v>147</v>
      </c>
      <c r="Q3" s="2" t="str">
        <f t="shared" si="0"/>
        <v>monster_20003</v>
      </c>
      <c r="R3" s="2" t="s">
        <v>148</v>
      </c>
      <c r="S3" s="1">
        <v>20003</v>
      </c>
      <c r="T3" s="2" t="s">
        <v>148</v>
      </c>
    </row>
    <row r="4" ht="13.9" customHeight="1" spans="1:20">
      <c r="A4" t="s">
        <v>163</v>
      </c>
      <c r="B4" t="s">
        <v>1802</v>
      </c>
      <c r="C4" t="s">
        <v>169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1716</v>
      </c>
      <c r="G4" t="s">
        <v>1509</v>
      </c>
      <c r="H4" t="s">
        <v>1533</v>
      </c>
      <c r="I4" t="s">
        <v>1803</v>
      </c>
      <c r="O4" s="1">
        <v>20004</v>
      </c>
      <c r="P4" s="2" t="s">
        <v>152</v>
      </c>
      <c r="Q4" s="2" t="str">
        <f t="shared" si="0"/>
        <v>monster_20004</v>
      </c>
      <c r="R4" s="2" t="s">
        <v>153</v>
      </c>
      <c r="S4" s="1">
        <v>20004</v>
      </c>
      <c r="T4" s="2" t="s">
        <v>153</v>
      </c>
    </row>
    <row r="5" spans="1:20">
      <c r="A5" t="s">
        <v>166</v>
      </c>
      <c r="B5" t="s">
        <v>1802</v>
      </c>
      <c r="C5" t="s">
        <v>1802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1804</v>
      </c>
      <c r="G5" t="s">
        <v>1511</v>
      </c>
      <c r="H5" t="s">
        <v>1535</v>
      </c>
      <c r="I5" t="s">
        <v>1805</v>
      </c>
      <c r="O5" s="1">
        <v>20005</v>
      </c>
      <c r="P5" s="2" t="s">
        <v>152</v>
      </c>
      <c r="Q5" s="2" t="str">
        <f t="shared" si="0"/>
        <v>monster_20005</v>
      </c>
      <c r="R5" s="2" t="s">
        <v>157</v>
      </c>
      <c r="S5" s="1">
        <v>20005</v>
      </c>
      <c r="T5" s="2" t="s">
        <v>157</v>
      </c>
    </row>
    <row r="6" spans="1:20">
      <c r="A6" t="s">
        <v>172</v>
      </c>
      <c r="B6" t="s">
        <v>1802</v>
      </c>
      <c r="C6" t="s">
        <v>1802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1806</v>
      </c>
      <c r="G6" t="s">
        <v>1513</v>
      </c>
      <c r="H6" t="s">
        <v>1537</v>
      </c>
      <c r="I6" t="s">
        <v>1807</v>
      </c>
      <c r="O6" s="1">
        <v>20006</v>
      </c>
      <c r="P6" s="2" t="s">
        <v>147</v>
      </c>
      <c r="Q6" s="2" t="str">
        <f t="shared" si="0"/>
        <v>monster_20006</v>
      </c>
      <c r="R6" s="2" t="s">
        <v>160</v>
      </c>
      <c r="S6" s="1">
        <v>20006</v>
      </c>
      <c r="T6" s="2" t="s">
        <v>160</v>
      </c>
    </row>
    <row r="7" ht="13.9" customHeight="1" spans="1:20">
      <c r="A7" t="s">
        <v>175</v>
      </c>
      <c r="B7" t="s">
        <v>1802</v>
      </c>
      <c r="C7" t="s">
        <v>1802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1808</v>
      </c>
      <c r="G7" t="s">
        <v>1515</v>
      </c>
      <c r="H7" t="s">
        <v>1539</v>
      </c>
      <c r="I7" t="s">
        <v>1809</v>
      </c>
      <c r="O7" s="1">
        <v>20007</v>
      </c>
      <c r="P7" s="2" t="s">
        <v>152</v>
      </c>
      <c r="Q7" s="2" t="str">
        <f t="shared" si="0"/>
        <v>monster_20007</v>
      </c>
      <c r="R7" s="2" t="s">
        <v>163</v>
      </c>
      <c r="S7" s="1">
        <v>20007</v>
      </c>
      <c r="T7" s="2" t="s">
        <v>163</v>
      </c>
    </row>
    <row r="8" spans="1:20">
      <c r="D8" t="str">
        <f t="array" ref="D8">INDEX($A$2:$A$7,INT((ROW(A7)-1)/COUNTA($B$2:$B$3))+1)&amp;",1|"&amp;INDEX($B$2:$B$3,MOD(ROW(A7)-1,COUNTA($B$2:$B$3))+1)&amp;",4"</f>
        <v>吕布,1|夏侯惇,4</v>
      </c>
      <c r="E8" s="3" t="str">
        <f t="array" ref="E8">INDEX($A$2:$A$7,INT((ROW(A7)-1)/(COUNTA($B$2:$B$3)*COUNTA($C$2:$C$4)))+1)&amp;",1|"&amp;INDEX($B$2:$B$3,MOD(INT((ROW(A7)-1)/COUNTA($C$2:$C$4)),COUNTA($B$2:$B$3))+1)&amp;",2|"&amp;INDEX($C$2:$C$4,MOD(ROW(A7)-1,COUNTA($C$2:$C$4))+1)&amp;",4"</f>
        <v>曹操,1|夏侯惇,2|糜夫人,4</v>
      </c>
      <c r="F8" s="4" t="s">
        <v>1810</v>
      </c>
      <c r="G8" t="s">
        <v>1517</v>
      </c>
      <c r="H8" t="s">
        <v>1541</v>
      </c>
      <c r="I8" t="s">
        <v>1811</v>
      </c>
      <c r="O8" s="1">
        <v>20008</v>
      </c>
      <c r="P8" s="2" t="s">
        <v>152</v>
      </c>
      <c r="Q8" s="2" t="str">
        <f t="shared" si="0"/>
        <v>monster_20008</v>
      </c>
      <c r="R8" s="2" t="s">
        <v>166</v>
      </c>
      <c r="S8" s="1">
        <v>20008</v>
      </c>
      <c r="T8" s="2" t="s">
        <v>166</v>
      </c>
    </row>
    <row r="9" spans="1:20">
      <c r="D9" t="str">
        <f t="array" ref="D9">INDEX($A$2:$A$7,INT((ROW(A8)-1)/COUNTA($B$2:$B$3))+1)&amp;",1|"&amp;INDEX($B$2:$B$3,MOD(ROW(A8)-1,COUNTA($B$2:$B$3))+1)&amp;",4"</f>
        <v>吕布,1|孙权,4</v>
      </c>
      <c r="E9" s="3" t="str">
        <f t="array" ref="E9">INDEX($A$2:$A$7,INT((ROW(A8)-1)/(COUNTA($B$2:$B$3)*COUNTA($C$2:$C$4)))+1)&amp;",1|"&amp;INDEX($B$2:$B$3,MOD(INT((ROW(A8)-1)/COUNTA($C$2:$C$4)),COUNTA($B$2:$B$3))+1)&amp;",2|"&amp;INDEX($C$2:$C$4,MOD(ROW(A8)-1,COUNTA($C$2:$C$4))+1)&amp;",4"</f>
        <v>曹操,1|夏侯惇,2|小乔,4</v>
      </c>
      <c r="F9" s="4" t="s">
        <v>1812</v>
      </c>
      <c r="G9" t="s">
        <v>1519</v>
      </c>
      <c r="H9" t="s">
        <v>1543</v>
      </c>
      <c r="I9" t="s">
        <v>1813</v>
      </c>
      <c r="O9" s="1">
        <v>20009</v>
      </c>
      <c r="P9" s="2" t="s">
        <v>139</v>
      </c>
      <c r="Q9" s="2" t="str">
        <f t="shared" si="0"/>
        <v>monster_20009</v>
      </c>
      <c r="R9" s="2" t="s">
        <v>169</v>
      </c>
      <c r="S9" s="1">
        <v>20009</v>
      </c>
      <c r="T9" s="2" t="s">
        <v>169</v>
      </c>
    </row>
    <row r="10" ht="13.9" customHeight="1" spans="1:20">
      <c r="D10" t="str">
        <f t="array" ref="D10">INDEX($A$2:$A$7,INT((ROW(A9)-1)/COUNTA($B$2:$B$3))+1)&amp;",1|"&amp;INDEX($B$2:$B$3,MOD(ROW(A9)-1,COUNTA($B$2:$B$3))+1)&amp;",4"</f>
        <v>诸葛亮,1|夏侯惇,4</v>
      </c>
      <c r="E10" s="3" t="str">
        <f t="array" ref="E10">INDEX($A$2:$A$7,INT((ROW(A9)-1)/(COUNTA($B$2:$B$3)*COUNTA($C$2:$C$4)))+1)&amp;",1|"&amp;INDEX($B$2:$B$3,MOD(INT((ROW(A9)-1)/COUNTA($C$2:$C$4)),COUNTA($B$2:$B$3))+1)&amp;",2|"&amp;INDEX($C$2:$C$4,MOD(ROW(A9)-1,COUNTA($C$2:$C$4))+1)&amp;",4"</f>
        <v>曹操,1|夏侯惇,2|貂蝉,4</v>
      </c>
      <c r="F10" s="4" t="s">
        <v>1718</v>
      </c>
      <c r="G10" t="s">
        <v>1521</v>
      </c>
      <c r="H10" t="s">
        <v>1545</v>
      </c>
      <c r="I10" t="s">
        <v>1814</v>
      </c>
      <c r="O10" s="1">
        <v>20010</v>
      </c>
      <c r="P10" s="2" t="s">
        <v>152</v>
      </c>
      <c r="Q10" s="2" t="str">
        <f t="shared" si="0"/>
        <v>monster_20010</v>
      </c>
      <c r="R10" s="2" t="s">
        <v>172</v>
      </c>
      <c r="S10" s="1">
        <v>20010</v>
      </c>
      <c r="T10" s="2" t="s">
        <v>172</v>
      </c>
    </row>
    <row r="11" spans="1:20">
      <c r="D11" t="str">
        <f t="array" ref="D11">INDEX($A$2:$A$7,INT((ROW(A10)-1)/COUNTA($B$2:$B$3))+1)&amp;",1|"&amp;INDEX($B$2:$B$3,MOD(ROW(A10)-1,COUNTA($B$2:$B$3))+1)&amp;",4"</f>
        <v>诸葛亮,1|孙权,4</v>
      </c>
      <c r="E11" s="3" t="str">
        <f t="array" ref="E11">INDEX($A$2:$A$7,INT((ROW(A10)-1)/(COUNTA($B$2:$B$3)*COUNTA($C$2:$C$4)))+1)&amp;",1|"&amp;INDEX($B$2:$B$3,MOD(INT((ROW(A10)-1)/COUNTA($C$2:$C$4)),COUNTA($B$2:$B$3))+1)&amp;",2|"&amp;INDEX($C$2:$C$4,MOD(ROW(A10)-1,COUNTA($C$2:$C$4))+1)&amp;",4"</f>
        <v>曹操,1|孙权,2|糜夫人,4</v>
      </c>
      <c r="F11" s="4" t="s">
        <v>1815</v>
      </c>
      <c r="G11" t="s">
        <v>1523</v>
      </c>
      <c r="H11" t="s">
        <v>1547</v>
      </c>
      <c r="I11" t="s">
        <v>1816</v>
      </c>
      <c r="O11" s="1">
        <v>20011</v>
      </c>
      <c r="P11" s="2" t="s">
        <v>152</v>
      </c>
      <c r="Q11" s="2" t="str">
        <f t="shared" si="0"/>
        <v>monster_20011</v>
      </c>
      <c r="R11" s="2" t="s">
        <v>175</v>
      </c>
      <c r="S11" s="1">
        <v>20011</v>
      </c>
      <c r="T11" s="2" t="s">
        <v>175</v>
      </c>
    </row>
    <row r="12" spans="1:20">
      <c r="D12" t="str">
        <f t="array" ref="D12">INDEX($A$2:$A$7,INT((ROW(A11)-1)/COUNTA($B$2:$B$3))+1)&amp;",1|"&amp;INDEX($B$2:$B$3,MOD(ROW(A11)-1,COUNTA($B$2:$B$3))+1)&amp;",4"</f>
        <v>周瑜,1|夏侯惇,4</v>
      </c>
      <c r="E12" s="3" t="str">
        <f t="array" ref="E12">INDEX($A$2:$A$7,INT((ROW(A11)-1)/(COUNTA($B$2:$B$3)*COUNTA($C$2:$C$4)))+1)&amp;",1|"&amp;INDEX($B$2:$B$3,MOD(INT((ROW(A11)-1)/COUNTA($C$2:$C$4)),COUNTA($B$2:$B$3))+1)&amp;",2|"&amp;INDEX($C$2:$C$4,MOD(ROW(A11)-1,COUNTA($C$2:$C$4))+1)&amp;",4"</f>
        <v>曹操,1|孙权,2|小乔,4</v>
      </c>
      <c r="F12" s="4" t="s">
        <v>1817</v>
      </c>
      <c r="G12" t="s">
        <v>1525</v>
      </c>
      <c r="H12" t="s">
        <v>1549</v>
      </c>
      <c r="I12" t="s">
        <v>1818</v>
      </c>
    </row>
    <row r="13" spans="1:20">
      <c r="D13" t="str">
        <f t="array" ref="D13">INDEX($A$2:$A$7,INT((ROW(A12)-1)/COUNTA($B$2:$B$3))+1)&amp;",1|"&amp;INDEX($B$2:$B$3,MOD(ROW(A12)-1,COUNTA($B$2:$B$3))+1)&amp;",4"</f>
        <v>周瑜,1|孙权,4</v>
      </c>
      <c r="E13" s="3" t="str">
        <f t="array" ref="E13">INDEX($A$2:$A$7,INT((ROW(A12)-1)/(COUNTA($B$2:$B$3)*COUNTA($C$2:$C$4)))+1)&amp;",1|"&amp;INDEX($B$2:$B$3,MOD(INT((ROW(A12)-1)/COUNTA($C$2:$C$4)),COUNTA($B$2:$B$3))+1)&amp;",2|"&amp;INDEX($C$2:$C$4,MOD(ROW(A12)-1,COUNTA($C$2:$C$4))+1)&amp;",4"</f>
        <v>曹操,1|孙权,2|貂蝉,4</v>
      </c>
      <c r="F13" s="4" t="s">
        <v>1819</v>
      </c>
      <c r="G13" t="s">
        <v>1527</v>
      </c>
      <c r="H13" t="s">
        <v>1551</v>
      </c>
      <c r="I13" t="s">
        <v>1820</v>
      </c>
    </row>
    <row r="14" spans="1:20">
      <c r="E14" s="3" t="str">
        <f t="array" ref="E14">INDEX($A$2:$A$7,INT((ROW(A13)-1)/(COUNTA($B$2:$B$3)*COUNTA($C$2:$C$4)))+1)&amp;",1|"&amp;INDEX($B$2:$B$3,MOD(INT((ROW(A13)-1)/COUNTA($C$2:$C$4)),COUNTA($B$2:$B$3))+1)&amp;",2|"&amp;INDEX($C$2:$C$4,MOD(ROW(A13)-1,COUNTA($C$2:$C$4))+1)&amp;",4"</f>
        <v>关羽,1|夏侯惇,2|糜夫人,4</v>
      </c>
      <c r="F14" s="4" t="s">
        <v>1821</v>
      </c>
      <c r="H14" t="s">
        <v>1553</v>
      </c>
      <c r="I14" t="s">
        <v>1822</v>
      </c>
    </row>
    <row r="15" spans="1:20">
      <c r="E15" s="3" t="str">
        <f t="array" ref="E15">INDEX($A$2:$A$7,INT((ROW(A14)-1)/(COUNTA($B$2:$B$3)*COUNTA($C$2:$C$4)))+1)&amp;",1|"&amp;INDEX($B$2:$B$3,MOD(INT((ROW(A14)-1)/COUNTA($C$2:$C$4)),COUNTA($B$2:$B$3))+1)&amp;",2|"&amp;INDEX($C$2:$C$4,MOD(ROW(A14)-1,COUNTA($C$2:$C$4))+1)&amp;",4"</f>
        <v>关羽,1|夏侯惇,2|小乔,4</v>
      </c>
      <c r="F15" s="4" t="s">
        <v>1823</v>
      </c>
      <c r="H15" t="s">
        <v>1555</v>
      </c>
      <c r="I15" t="s">
        <v>1824</v>
      </c>
    </row>
    <row r="16" spans="1:20">
      <c r="E16" s="3" t="str">
        <f t="array" ref="E16">INDEX($A$2:$A$7,INT((ROW(A15)-1)/(COUNTA($B$2:$B$3)*COUNTA($C$2:$C$4)))+1)&amp;",1|"&amp;INDEX($B$2:$B$3,MOD(INT((ROW(A15)-1)/COUNTA($C$2:$C$4)),COUNTA($B$2:$B$3))+1)&amp;",2|"&amp;INDEX($C$2:$C$4,MOD(ROW(A15)-1,COUNTA($C$2:$C$4))+1)&amp;",4"</f>
        <v>关羽,1|夏侯惇,2|貂蝉,4</v>
      </c>
      <c r="F16" s="4" t="s">
        <v>1825</v>
      </c>
      <c r="H16" t="s">
        <v>1557</v>
      </c>
      <c r="I16" t="s">
        <v>1826</v>
      </c>
    </row>
    <row r="17" spans="5:9">
      <c r="E17" s="3" t="str">
        <f t="array" ref="E17">INDEX($A$2:$A$7,INT((ROW(A16)-1)/(COUNTA($B$2:$B$3)*COUNTA($C$2:$C$4)))+1)&amp;",1|"&amp;INDEX($B$2:$B$3,MOD(INT((ROW(A16)-1)/COUNTA($C$2:$C$4)),COUNTA($B$2:$B$3))+1)&amp;",2|"&amp;INDEX($C$2:$C$4,MOD(ROW(A16)-1,COUNTA($C$2:$C$4))+1)&amp;",4"</f>
        <v>关羽,1|孙权,2|糜夫人,4</v>
      </c>
      <c r="F17" s="4" t="s">
        <v>1827</v>
      </c>
      <c r="H17" t="s">
        <v>1559</v>
      </c>
      <c r="I17" t="s">
        <v>1828</v>
      </c>
    </row>
    <row r="18" spans="5:9">
      <c r="E18" s="3" t="str">
        <f t="array" ref="E18">INDEX($A$2:$A$7,INT((ROW(A17)-1)/(COUNTA($B$2:$B$3)*COUNTA($C$2:$C$4)))+1)&amp;",1|"&amp;INDEX($B$2:$B$3,MOD(INT((ROW(A17)-1)/COUNTA($C$2:$C$4)),COUNTA($B$2:$B$3))+1)&amp;",2|"&amp;INDEX($C$2:$C$4,MOD(ROW(A17)-1,COUNTA($C$2:$C$4))+1)&amp;",4"</f>
        <v>关羽,1|孙权,2|小乔,4</v>
      </c>
      <c r="F18" s="4" t="s">
        <v>1829</v>
      </c>
      <c r="H18" t="s">
        <v>1561</v>
      </c>
      <c r="I18" t="s">
        <v>1830</v>
      </c>
    </row>
    <row r="19" spans="5:9">
      <c r="E19" s="3" t="str">
        <f t="array" ref="E19">INDEX($A$2:$A$7,INT((ROW(A18)-1)/(COUNTA($B$2:$B$3)*COUNTA($C$2:$C$4)))+1)&amp;",1|"&amp;INDEX($B$2:$B$3,MOD(INT((ROW(A18)-1)/COUNTA($C$2:$C$4)),COUNTA($B$2:$B$3))+1)&amp;",2|"&amp;INDEX($C$2:$C$4,MOD(ROW(A18)-1,COUNTA($C$2:$C$4))+1)&amp;",4"</f>
        <v>关羽,1|孙权,2|貂蝉,4</v>
      </c>
      <c r="F19" s="4" t="s">
        <v>1720</v>
      </c>
      <c r="H19" t="s">
        <v>1563</v>
      </c>
      <c r="I19" t="s">
        <v>1831</v>
      </c>
    </row>
    <row r="20" spans="5:9">
      <c r="E20" s="3" t="str">
        <f t="array" ref="E20">INDEX($A$2:$A$7,INT((ROW(A19)-1)/(COUNTA($B$2:$B$3)*COUNTA($C$2:$C$4)))+1)&amp;",1|"&amp;INDEX($B$2:$B$3,MOD(INT((ROW(A19)-1)/COUNTA($C$2:$C$4)),COUNTA($B$2:$B$3))+1)&amp;",2|"&amp;INDEX($C$2:$C$4,MOD(ROW(A19)-1,COUNTA($C$2:$C$4))+1)&amp;",4"</f>
        <v>吕布,1|夏侯惇,2|糜夫人,4</v>
      </c>
      <c r="F20" s="4" t="s">
        <v>1832</v>
      </c>
      <c r="H20" t="s">
        <v>1565</v>
      </c>
      <c r="I20" t="s">
        <v>1833</v>
      </c>
    </row>
    <row r="21" spans="5:9">
      <c r="E21" s="3" t="str">
        <f t="array" ref="E21">INDEX($A$2:$A$7,INT((ROW(A20)-1)/(COUNTA($B$2:$B$3)*COUNTA($C$2:$C$4)))+1)&amp;",1|"&amp;INDEX($B$2:$B$3,MOD(INT((ROW(A20)-1)/COUNTA($C$2:$C$4)),COUNTA($B$2:$B$3))+1)&amp;",2|"&amp;INDEX($C$2:$C$4,MOD(ROW(A20)-1,COUNTA($C$2:$C$4))+1)&amp;",4"</f>
        <v>吕布,1|夏侯惇,2|小乔,4</v>
      </c>
      <c r="F21" s="4" t="s">
        <v>1722</v>
      </c>
      <c r="H21" t="s">
        <v>1567</v>
      </c>
      <c r="I21" t="s">
        <v>1834</v>
      </c>
    </row>
    <row r="22" spans="5:9">
      <c r="E22" s="3" t="str">
        <f t="array" ref="E22">INDEX($A$2:$A$7,INT((ROW(A21)-1)/(COUNTA($B$2:$B$3)*COUNTA($C$2:$C$4)))+1)&amp;",1|"&amp;INDEX($B$2:$B$3,MOD(INT((ROW(A21)-1)/COUNTA($C$2:$C$4)),COUNTA($B$2:$B$3))+1)&amp;",2|"&amp;INDEX($C$2:$C$4,MOD(ROW(A21)-1,COUNTA($C$2:$C$4))+1)&amp;",4"</f>
        <v>吕布,1|夏侯惇,2|貂蝉,4</v>
      </c>
      <c r="F22" s="4" t="s">
        <v>1835</v>
      </c>
      <c r="H22" t="s">
        <v>1569</v>
      </c>
      <c r="I22" t="s">
        <v>1836</v>
      </c>
    </row>
    <row r="23" spans="5:9">
      <c r="E23" s="3" t="str">
        <f t="array" ref="E23">INDEX($A$2:$A$7,INT((ROW(A22)-1)/(COUNTA($B$2:$B$3)*COUNTA($C$2:$C$4)))+1)&amp;",1|"&amp;INDEX($B$2:$B$3,MOD(INT((ROW(A22)-1)/COUNTA($C$2:$C$4)),COUNTA($B$2:$B$3))+1)&amp;",2|"&amp;INDEX($C$2:$C$4,MOD(ROW(A22)-1,COUNTA($C$2:$C$4))+1)&amp;",4"</f>
        <v>吕布,1|孙权,2|糜夫人,4</v>
      </c>
      <c r="F23" s="4" t="s">
        <v>1837</v>
      </c>
      <c r="H23" t="s">
        <v>1571</v>
      </c>
      <c r="I23" t="s">
        <v>1838</v>
      </c>
    </row>
    <row r="24" spans="5:9">
      <c r="E24" s="3" t="str">
        <f t="array" ref="E24">INDEX($A$2:$A$7,INT((ROW(A23)-1)/(COUNTA($B$2:$B$3)*COUNTA($C$2:$C$4)))+1)&amp;",1|"&amp;INDEX($B$2:$B$3,MOD(INT((ROW(A23)-1)/COUNTA($C$2:$C$4)),COUNTA($B$2:$B$3))+1)&amp;",2|"&amp;INDEX($C$2:$C$4,MOD(ROW(A23)-1,COUNTA($C$2:$C$4))+1)&amp;",4"</f>
        <v>吕布,1|孙权,2|小乔,4</v>
      </c>
      <c r="F24" s="4" t="s">
        <v>1724</v>
      </c>
      <c r="H24" t="s">
        <v>1573</v>
      </c>
      <c r="I24" t="s">
        <v>1839</v>
      </c>
    </row>
    <row r="25" spans="5:9">
      <c r="E25" s="3" t="str">
        <f t="array" ref="E25">INDEX($A$2:$A$7,INT((ROW(A24)-1)/(COUNTA($B$2:$B$3)*COUNTA($C$2:$C$4)))+1)&amp;",1|"&amp;INDEX($B$2:$B$3,MOD(INT((ROW(A24)-1)/COUNTA($C$2:$C$4)),COUNTA($B$2:$B$3))+1)&amp;",2|"&amp;INDEX($C$2:$C$4,MOD(ROW(A24)-1,COUNTA($C$2:$C$4))+1)&amp;",4"</f>
        <v>吕布,1|孙权,2|貂蝉,4</v>
      </c>
      <c r="F25" s="4" t="s">
        <v>1840</v>
      </c>
      <c r="H25" t="s">
        <v>1575</v>
      </c>
      <c r="I25" t="s">
        <v>1841</v>
      </c>
    </row>
    <row r="26" spans="5:9">
      <c r="E26" s="3" t="str">
        <f t="array" ref="E26">INDEX($A$2:$A$7,INT((ROW(A25)-1)/(COUNTA($B$2:$B$3)*COUNTA($C$2:$C$4)))+1)&amp;",1|"&amp;INDEX($B$2:$B$3,MOD(INT((ROW(A25)-1)/COUNTA($C$2:$C$4)),COUNTA($B$2:$B$3))+1)&amp;",2|"&amp;INDEX($C$2:$C$4,MOD(ROW(A25)-1,COUNTA($C$2:$C$4))+1)&amp;",4"</f>
        <v>诸葛亮,1|夏侯惇,2|糜夫人,4</v>
      </c>
      <c r="F26" s="4" t="s">
        <v>1842</v>
      </c>
      <c r="H26" t="s">
        <v>1577</v>
      </c>
      <c r="I26" t="s">
        <v>1843</v>
      </c>
    </row>
    <row r="27" spans="5:9">
      <c r="E27" s="3" t="str">
        <f t="array" ref="E27">INDEX($A$2:$A$7,INT((ROW(A26)-1)/(COUNTA($B$2:$B$3)*COUNTA($C$2:$C$4)))+1)&amp;",1|"&amp;INDEX($B$2:$B$3,MOD(INT((ROW(A26)-1)/COUNTA($C$2:$C$4)),COUNTA($B$2:$B$3))+1)&amp;",2|"&amp;INDEX($C$2:$C$4,MOD(ROW(A26)-1,COUNTA($C$2:$C$4))+1)&amp;",4"</f>
        <v>诸葛亮,1|夏侯惇,2|小乔,4</v>
      </c>
      <c r="F27" s="4" t="s">
        <v>1844</v>
      </c>
      <c r="H27" t="s">
        <v>1579</v>
      </c>
      <c r="I27" t="s">
        <v>1845</v>
      </c>
    </row>
    <row r="28" spans="5:9">
      <c r="E28" s="3" t="str">
        <f t="array" ref="E28">INDEX($A$2:$A$7,INT((ROW(A27)-1)/(COUNTA($B$2:$B$3)*COUNTA($C$2:$C$4)))+1)&amp;",1|"&amp;INDEX($B$2:$B$3,MOD(INT((ROW(A27)-1)/COUNTA($C$2:$C$4)),COUNTA($B$2:$B$3))+1)&amp;",2|"&amp;INDEX($C$2:$C$4,MOD(ROW(A27)-1,COUNTA($C$2:$C$4))+1)&amp;",4"</f>
        <v>诸葛亮,1|夏侯惇,2|貂蝉,4</v>
      </c>
      <c r="F28" s="4" t="s">
        <v>1726</v>
      </c>
      <c r="H28" t="s">
        <v>1581</v>
      </c>
      <c r="I28" t="s">
        <v>1846</v>
      </c>
    </row>
    <row r="29" spans="5:9">
      <c r="E29" s="3" t="str">
        <f t="array" ref="E29">INDEX($A$2:$A$7,INT((ROW(A28)-1)/(COUNTA($B$2:$B$3)*COUNTA($C$2:$C$4)))+1)&amp;",1|"&amp;INDEX($B$2:$B$3,MOD(INT((ROW(A28)-1)/COUNTA($C$2:$C$4)),COUNTA($B$2:$B$3))+1)&amp;",2|"&amp;INDEX($C$2:$C$4,MOD(ROW(A28)-1,COUNTA($C$2:$C$4))+1)&amp;",4"</f>
        <v>诸葛亮,1|孙权,2|糜夫人,4</v>
      </c>
      <c r="F29" s="4" t="s">
        <v>1847</v>
      </c>
      <c r="H29" t="s">
        <v>1583</v>
      </c>
      <c r="I29" t="s">
        <v>1848</v>
      </c>
    </row>
    <row r="30" spans="5:9">
      <c r="E30" s="3" t="str">
        <f t="array" ref="E30">INDEX($A$2:$A$7,INT((ROW(A29)-1)/(COUNTA($B$2:$B$3)*COUNTA($C$2:$C$4)))+1)&amp;",1|"&amp;INDEX($B$2:$B$3,MOD(INT((ROW(A29)-1)/COUNTA($C$2:$C$4)),COUNTA($B$2:$B$3))+1)&amp;",2|"&amp;INDEX($C$2:$C$4,MOD(ROW(A29)-1,COUNTA($C$2:$C$4))+1)&amp;",4"</f>
        <v>诸葛亮,1|孙权,2|小乔,4</v>
      </c>
      <c r="F30" s="4" t="s">
        <v>1849</v>
      </c>
      <c r="H30" t="s">
        <v>1585</v>
      </c>
      <c r="I30" t="s">
        <v>1850</v>
      </c>
    </row>
    <row r="31" spans="5:9">
      <c r="E31" s="3" t="str">
        <f t="array" ref="E31">INDEX($A$2:$A$7,INT((ROW(A30)-1)/(COUNTA($B$2:$B$3)*COUNTA($C$2:$C$4)))+1)&amp;",1|"&amp;INDEX($B$2:$B$3,MOD(INT((ROW(A30)-1)/COUNTA($C$2:$C$4)),COUNTA($B$2:$B$3))+1)&amp;",2|"&amp;INDEX($C$2:$C$4,MOD(ROW(A30)-1,COUNTA($C$2:$C$4))+1)&amp;",4"</f>
        <v>诸葛亮,1|孙权,2|貂蝉,4</v>
      </c>
      <c r="F31" s="4" t="s">
        <v>1728</v>
      </c>
      <c r="H31" t="s">
        <v>1587</v>
      </c>
      <c r="I31" t="s">
        <v>1851</v>
      </c>
    </row>
    <row r="32" spans="5:9">
      <c r="E32" s="3" t="str">
        <f t="array" ref="E32">INDEX($A$2:$A$7,INT((ROW(A31)-1)/(COUNTA($B$2:$B$3)*COUNTA($C$2:$C$4)))+1)&amp;",1|"&amp;INDEX($B$2:$B$3,MOD(INT((ROW(A31)-1)/COUNTA($C$2:$C$4)),COUNTA($B$2:$B$3))+1)&amp;",2|"&amp;INDEX($C$2:$C$4,MOD(ROW(A31)-1,COUNTA($C$2:$C$4))+1)&amp;",4"</f>
        <v>周瑜,1|夏侯惇,2|糜夫人,4</v>
      </c>
      <c r="F32" s="4" t="s">
        <v>1852</v>
      </c>
      <c r="H32" t="s">
        <v>1589</v>
      </c>
      <c r="I32" t="s">
        <v>1853</v>
      </c>
    </row>
    <row r="33" spans="5:9">
      <c r="E33" s="3" t="str">
        <f t="array" ref="E33">INDEX($A$2:$A$7,INT((ROW(A32)-1)/(COUNTA($B$2:$B$3)*COUNTA($C$2:$C$4)))+1)&amp;",1|"&amp;INDEX($B$2:$B$3,MOD(INT((ROW(A32)-1)/COUNTA($C$2:$C$4)),COUNTA($B$2:$B$3))+1)&amp;",2|"&amp;INDEX($C$2:$C$4,MOD(ROW(A32)-1,COUNTA($C$2:$C$4))+1)&amp;",4"</f>
        <v>周瑜,1|夏侯惇,2|小乔,4</v>
      </c>
      <c r="F33" s="4" t="s">
        <v>1730</v>
      </c>
      <c r="H33" t="s">
        <v>1591</v>
      </c>
      <c r="I33" t="s">
        <v>1854</v>
      </c>
    </row>
    <row r="34" spans="5:9">
      <c r="E34" s="3" t="str">
        <f t="array" ref="E34">INDEX($A$2:$A$7,INT((ROW(A33)-1)/(COUNTA($B$2:$B$3)*COUNTA($C$2:$C$4)))+1)&amp;",1|"&amp;INDEX($B$2:$B$3,MOD(INT((ROW(A33)-1)/COUNTA($C$2:$C$4)),COUNTA($B$2:$B$3))+1)&amp;",2|"&amp;INDEX($C$2:$C$4,MOD(ROW(A33)-1,COUNTA($C$2:$C$4))+1)&amp;",4"</f>
        <v>周瑜,1|夏侯惇,2|貂蝉,4</v>
      </c>
      <c r="F34" s="4" t="s">
        <v>1855</v>
      </c>
      <c r="H34" t="s">
        <v>1593</v>
      </c>
      <c r="I34" t="s">
        <v>1856</v>
      </c>
    </row>
    <row r="35" spans="5:9">
      <c r="E35" s="3" t="str">
        <f t="array" ref="E35">INDEX($A$2:$A$7,INT((ROW(A34)-1)/(COUNTA($B$2:$B$3)*COUNTA($C$2:$C$4)))+1)&amp;",1|"&amp;INDEX($B$2:$B$3,MOD(INT((ROW(A34)-1)/COUNTA($C$2:$C$4)),COUNTA($B$2:$B$3))+1)&amp;",2|"&amp;INDEX($C$2:$C$4,MOD(ROW(A34)-1,COUNTA($C$2:$C$4))+1)&amp;",4"</f>
        <v>周瑜,1|孙权,2|糜夫人,4</v>
      </c>
      <c r="F35" s="4" t="s">
        <v>1732</v>
      </c>
      <c r="H35" t="s">
        <v>1595</v>
      </c>
      <c r="I35" t="s">
        <v>1857</v>
      </c>
    </row>
    <row r="36" spans="5:9">
      <c r="E36" s="3" t="str">
        <f t="array" ref="E36">INDEX($A$2:$A$7,INT((ROW(A35)-1)/(COUNTA($B$2:$B$3)*COUNTA($C$2:$C$4)))+1)&amp;",1|"&amp;INDEX($B$2:$B$3,MOD(INT((ROW(A35)-1)/COUNTA($C$2:$C$4)),COUNTA($B$2:$B$3))+1)&amp;",2|"&amp;INDEX($C$2:$C$4,MOD(ROW(A35)-1,COUNTA($C$2:$C$4))+1)&amp;",4"</f>
        <v>周瑜,1|孙权,2|小乔,4</v>
      </c>
      <c r="F36" s="4" t="s">
        <v>1858</v>
      </c>
      <c r="H36" t="s">
        <v>1597</v>
      </c>
      <c r="I36" t="s">
        <v>1859</v>
      </c>
    </row>
    <row r="37" spans="5:9">
      <c r="E37" s="3" t="str">
        <f t="array" ref="E37">INDEX($A$2:$A$7,INT((ROW(A36)-1)/(COUNTA($B$2:$B$3)*COUNTA($C$2:$C$4)))+1)&amp;",1|"&amp;INDEX($B$2:$B$3,MOD(INT((ROW(A36)-1)/COUNTA($C$2:$C$4)),COUNTA($B$2:$B$3))+1)&amp;",2|"&amp;INDEX($C$2:$C$4,MOD(ROW(A36)-1,COUNTA($C$2:$C$4))+1)&amp;",4"</f>
        <v>周瑜,1|孙权,2|貂蝉,4</v>
      </c>
      <c r="F37" s="4" t="s">
        <v>1734</v>
      </c>
      <c r="H37" t="s">
        <v>1599</v>
      </c>
      <c r="I37" t="s">
        <v>1860</v>
      </c>
    </row>
    <row r="38" spans="5:9">
      <c r="F38" s="4" t="s">
        <v>1861</v>
      </c>
      <c r="I38" t="s">
        <v>1862</v>
      </c>
    </row>
    <row r="39" spans="5:9">
      <c r="F39" s="4" t="s">
        <v>1863</v>
      </c>
      <c r="I39" t="s">
        <v>1864</v>
      </c>
    </row>
    <row r="40" spans="5:9">
      <c r="F40" s="4" t="s">
        <v>1865</v>
      </c>
      <c r="I40" t="s">
        <v>1866</v>
      </c>
    </row>
    <row r="41" spans="5:9">
      <c r="F41" s="4" t="s">
        <v>1736</v>
      </c>
      <c r="I41" t="s">
        <v>1867</v>
      </c>
    </row>
    <row r="42" spans="5:9">
      <c r="F42" s="4" t="s">
        <v>1868</v>
      </c>
      <c r="I42" t="s">
        <v>1869</v>
      </c>
    </row>
    <row r="43" spans="5:9">
      <c r="F43" s="4" t="s">
        <v>1738</v>
      </c>
      <c r="I43" t="s">
        <v>1870</v>
      </c>
    </row>
    <row r="44" spans="5:9">
      <c r="F44" s="4" t="s">
        <v>1871</v>
      </c>
      <c r="I44" t="s">
        <v>1872</v>
      </c>
    </row>
    <row r="45" spans="5:9">
      <c r="F45" s="4" t="s">
        <v>1873</v>
      </c>
      <c r="I45" t="s">
        <v>1874</v>
      </c>
    </row>
    <row r="46" spans="5:9">
      <c r="F46" s="4" t="s">
        <v>1875</v>
      </c>
      <c r="I46" t="s">
        <v>1876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1877</v>
      </c>
      <c r="G65" s="6"/>
      <c r="H65" s="6"/>
      <c r="I65" s="6"/>
      <c r="J65" s="6" t="s">
        <v>1878</v>
      </c>
      <c r="K65" s="6"/>
      <c r="L65" s="6"/>
      <c r="M65" s="6"/>
      <c r="N65" s="6" t="s">
        <v>1879</v>
      </c>
      <c r="O65" s="6"/>
      <c r="P65" s="6"/>
      <c r="Q65" s="6"/>
    </row>
    <row r="66" spans="3:17">
      <c r="C66" s="7" t="s">
        <v>1880</v>
      </c>
      <c r="D66" s="7" t="s">
        <v>1777</v>
      </c>
      <c r="E66" s="7" t="s">
        <v>1881</v>
      </c>
      <c r="F66" s="7" t="s">
        <v>152</v>
      </c>
      <c r="G66" s="7" t="s">
        <v>147</v>
      </c>
      <c r="H66" s="7" t="s">
        <v>1882</v>
      </c>
      <c r="I66" s="7" t="s">
        <v>1883</v>
      </c>
      <c r="J66" s="7" t="s">
        <v>152</v>
      </c>
      <c r="K66" s="7" t="s">
        <v>147</v>
      </c>
      <c r="L66" s="7" t="s">
        <v>1882</v>
      </c>
      <c r="M66" s="7" t="s">
        <v>1883</v>
      </c>
      <c r="N66" s="7" t="s">
        <v>152</v>
      </c>
      <c r="O66" s="7" t="s">
        <v>147</v>
      </c>
      <c r="P66" s="7" t="s">
        <v>1882</v>
      </c>
      <c r="Q66" s="7" t="s">
        <v>1883</v>
      </c>
    </row>
    <row r="67" spans="3:17">
      <c r="C67" s="8">
        <v>1</v>
      </c>
      <c r="D67" s="8" t="s">
        <v>1884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1885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1886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1884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1885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1886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1884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1885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1886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tr">
        <f>F$64&amp;","&amp;F67</f>
        <v>101,126</v>
      </c>
      <c r="G78" t="str">
        <f>G$64&amp;","&amp;G67</f>
        <v>102,7</v>
      </c>
      <c r="H78" t="str">
        <f>H$64&amp;","&amp;H67</f>
        <v>100,1145</v>
      </c>
      <c r="I78" t="str">
        <f t="shared" ref="I78:Q78" si="1">I$64&amp;","&amp;I67</f>
        <v>132,100</v>
      </c>
      <c r="J78" t="str">
        <f t="shared" si="1"/>
        <v>101,97</v>
      </c>
      <c r="K78" t="str">
        <f t="shared" si="1"/>
        <v>102,9</v>
      </c>
      <c r="L78" t="str">
        <f t="shared" si="1"/>
        <v>100,1260</v>
      </c>
      <c r="M78" t="str">
        <f t="shared" si="1"/>
        <v>132,100</v>
      </c>
      <c r="N78" t="str">
        <f t="shared" si="1"/>
        <v>101,103</v>
      </c>
      <c r="O78" t="str">
        <f t="shared" si="1"/>
        <v>102,8</v>
      </c>
      <c r="P78" t="str">
        <f t="shared" si="1"/>
        <v>100,1202</v>
      </c>
      <c r="Q78" t="str">
        <f t="shared" si="1"/>
        <v>132,100</v>
      </c>
    </row>
    <row r="81" spans="6:17">
      <c r="F81" t="str">
        <f>F$64&amp;","&amp;F70</f>
        <v>101,426</v>
      </c>
      <c r="G81" t="str">
        <f>G$64&amp;","&amp;G70</f>
        <v>102,18</v>
      </c>
      <c r="H81" t="str">
        <f>H$64&amp;","&amp;H70</f>
        <v>100,4360</v>
      </c>
      <c r="I81" t="str">
        <f t="shared" ref="I81:Q81" si="2">I$64&amp;","&amp;I70</f>
        <v>132,400</v>
      </c>
      <c r="J81" t="str">
        <f t="shared" si="2"/>
        <v>101,328</v>
      </c>
      <c r="K81" t="str">
        <f t="shared" si="2"/>
        <v>102,23</v>
      </c>
      <c r="L81" t="str">
        <f t="shared" si="2"/>
        <v>100,4796</v>
      </c>
      <c r="M81" t="str">
        <f t="shared" si="2"/>
        <v>132,400</v>
      </c>
      <c r="N81" t="str">
        <f t="shared" si="2"/>
        <v>101,349</v>
      </c>
      <c r="O81" t="str">
        <f t="shared" si="2"/>
        <v>102,21</v>
      </c>
      <c r="P81" t="str">
        <f t="shared" si="2"/>
        <v>100,4578</v>
      </c>
      <c r="Q81" t="str">
        <f t="shared" si="2"/>
        <v>132,400</v>
      </c>
    </row>
    <row r="84" spans="6:17">
      <c r="F84" t="str">
        <f>F$64&amp;","&amp;F73</f>
        <v>101,950</v>
      </c>
      <c r="G84" t="str">
        <f>G$64&amp;","&amp;G73</f>
        <v>102,37</v>
      </c>
      <c r="H84" t="str">
        <f>H$64&amp;","&amp;H73</f>
        <v>100,9970</v>
      </c>
      <c r="I84" t="str">
        <f t="shared" ref="I84:Q84" si="3">I$64&amp;","&amp;I73</f>
        <v>132,800</v>
      </c>
      <c r="J84" t="str">
        <f t="shared" si="3"/>
        <v>101,732</v>
      </c>
      <c r="K84" t="str">
        <f t="shared" si="3"/>
        <v>102,48</v>
      </c>
      <c r="L84" t="str">
        <f t="shared" si="3"/>
        <v>100,10967</v>
      </c>
      <c r="M84" t="str">
        <f t="shared" si="3"/>
        <v>132,800</v>
      </c>
      <c r="N84" t="str">
        <f t="shared" si="3"/>
        <v>101,779</v>
      </c>
      <c r="O84" t="str">
        <f t="shared" si="3"/>
        <v>102,44</v>
      </c>
      <c r="P84" t="str">
        <f t="shared" si="3"/>
        <v>100,10469</v>
      </c>
      <c r="Q84" t="str">
        <f t="shared" si="3"/>
        <v>132,800</v>
      </c>
    </row>
    <row r="89" spans="6:17">
      <c r="F89" t="str">
        <f>F78&amp;"|"&amp;G78&amp;"|"&amp;H78&amp;"|"&amp;I78</f>
        <v>101,126|102,7|100,1145|132,100</v>
      </c>
      <c r="J89" t="str">
        <f>J78&amp;"|"&amp;K78&amp;"|"&amp;L78&amp;"|"&amp;M78</f>
        <v>101,97|102,9|100,1260|132,100</v>
      </c>
      <c r="N89" t="str">
        <f>N78&amp;"|"&amp;O78&amp;"|"&amp;P78&amp;"|"&amp;Q78</f>
        <v>101,103|102,8|100,1202|132,100</v>
      </c>
    </row>
    <row r="92" spans="6:17">
      <c r="F92" t="str">
        <f>F81&amp;"|"&amp;G81&amp;"|"&amp;H81&amp;"|"&amp;I81</f>
        <v>101,426|102,18|100,4360|132,400</v>
      </c>
      <c r="J92" t="str">
        <f>J81&amp;"|"&amp;K81&amp;"|"&amp;L81&amp;"|"&amp;M81</f>
        <v>101,328|102,23|100,4796|132,400</v>
      </c>
      <c r="N92" t="str">
        <f>N81&amp;"|"&amp;O81&amp;"|"&amp;P81&amp;"|"&amp;Q81</f>
        <v>101,349|102,21|100,4578|132,400</v>
      </c>
    </row>
    <row r="95" spans="6:17">
      <c r="F95" t="str">
        <f>F84&amp;"|"&amp;G84&amp;"|"&amp;H84&amp;"|"&amp;I84</f>
        <v>101,950|102,37|100,9970|132,800</v>
      </c>
      <c r="J95" t="str">
        <f>J84&amp;"|"&amp;K84&amp;"|"&amp;L84&amp;"|"&amp;M84</f>
        <v>101,732|102,48|100,10967|132,800</v>
      </c>
      <c r="N95" t="str">
        <f>N84&amp;"|"&amp;O84&amp;"|"&amp;P84&amp;"|"&amp;Q84</f>
        <v>101,779|102,44|100,10469|132,800</v>
      </c>
    </row>
    <row r="99" spans="3:7">
      <c r="C99" t="s">
        <v>1887</v>
      </c>
      <c r="D99" t="s">
        <v>152</v>
      </c>
      <c r="E99" t="s">
        <v>1888</v>
      </c>
    </row>
    <row r="100" spans="3:7">
      <c r="D100" t="s">
        <v>147</v>
      </c>
      <c r="E100" t="s">
        <v>1889</v>
      </c>
    </row>
    <row r="101" spans="3:7">
      <c r="D101" t="s">
        <v>139</v>
      </c>
      <c r="E101" t="s">
        <v>1890</v>
      </c>
    </row>
    <row r="102" spans="3:7">
      <c r="C102" t="s">
        <v>1891</v>
      </c>
      <c r="D102" t="s">
        <v>152</v>
      </c>
      <c r="E102" t="s">
        <v>1892</v>
      </c>
    </row>
    <row r="103" spans="3:7">
      <c r="D103" t="s">
        <v>147</v>
      </c>
      <c r="E103" t="s">
        <v>1893</v>
      </c>
    </row>
    <row r="104" spans="3:7">
      <c r="D104" t="s">
        <v>139</v>
      </c>
      <c r="E104" t="s">
        <v>1894</v>
      </c>
    </row>
    <row r="105" spans="3:7">
      <c r="C105" t="s">
        <v>1895</v>
      </c>
      <c r="D105" t="s">
        <v>152</v>
      </c>
      <c r="E105" t="s">
        <v>1896</v>
      </c>
    </row>
    <row r="106" spans="3:7">
      <c r="D106" t="s">
        <v>147</v>
      </c>
      <c r="E106" t="s">
        <v>1897</v>
      </c>
    </row>
    <row r="107" spans="3:7">
      <c r="D107" t="s">
        <v>139</v>
      </c>
      <c r="E107" t="s">
        <v>1898</v>
      </c>
    </row>
    <row r="111" spans="3:7">
      <c r="C111" s="2" t="s">
        <v>139</v>
      </c>
      <c r="D111" s="2" t="s">
        <v>140</v>
      </c>
      <c r="E111" t="s">
        <v>1890</v>
      </c>
      <c r="F111" t="s">
        <v>1894</v>
      </c>
      <c r="G111" t="s">
        <v>1898</v>
      </c>
    </row>
    <row r="112" spans="3:7">
      <c r="C112" s="2" t="s">
        <v>139</v>
      </c>
      <c r="D112" s="2" t="s">
        <v>144</v>
      </c>
      <c r="E112" t="s">
        <v>1890</v>
      </c>
      <c r="F112" t="s">
        <v>1894</v>
      </c>
      <c r="G112" t="s">
        <v>1898</v>
      </c>
    </row>
    <row r="113" spans="3:7">
      <c r="C113" s="2" t="s">
        <v>147</v>
      </c>
      <c r="D113" s="2" t="s">
        <v>148</v>
      </c>
      <c r="E113" t="s">
        <v>1889</v>
      </c>
      <c r="F113" t="s">
        <v>1893</v>
      </c>
      <c r="G113" t="s">
        <v>1897</v>
      </c>
    </row>
    <row r="114" spans="3:7">
      <c r="C114" s="2" t="s">
        <v>152</v>
      </c>
      <c r="D114" s="2" t="s">
        <v>153</v>
      </c>
      <c r="E114" t="s">
        <v>1888</v>
      </c>
      <c r="F114" t="s">
        <v>1892</v>
      </c>
      <c r="G114" t="s">
        <v>1896</v>
      </c>
    </row>
    <row r="115" spans="3:7">
      <c r="C115" s="2" t="s">
        <v>152</v>
      </c>
      <c r="D115" s="2" t="s">
        <v>157</v>
      </c>
      <c r="E115" t="s">
        <v>1888</v>
      </c>
      <c r="F115" t="s">
        <v>1892</v>
      </c>
      <c r="G115" t="s">
        <v>1896</v>
      </c>
    </row>
    <row r="116" spans="3:7">
      <c r="C116" s="2" t="s">
        <v>147</v>
      </c>
      <c r="D116" s="2" t="s">
        <v>160</v>
      </c>
      <c r="E116" t="s">
        <v>1889</v>
      </c>
      <c r="F116" t="s">
        <v>1893</v>
      </c>
      <c r="G116" t="s">
        <v>1897</v>
      </c>
    </row>
    <row r="117" spans="3:7">
      <c r="C117" s="2" t="s">
        <v>152</v>
      </c>
      <c r="D117" s="2" t="s">
        <v>163</v>
      </c>
      <c r="E117" t="s">
        <v>1888</v>
      </c>
      <c r="F117" t="s">
        <v>1892</v>
      </c>
      <c r="G117" t="s">
        <v>1896</v>
      </c>
    </row>
    <row r="118" spans="3:7">
      <c r="C118" s="2" t="s">
        <v>152</v>
      </c>
      <c r="D118" s="2" t="s">
        <v>166</v>
      </c>
      <c r="E118" t="s">
        <v>1888</v>
      </c>
      <c r="F118" t="s">
        <v>1892</v>
      </c>
      <c r="G118" t="s">
        <v>1896</v>
      </c>
    </row>
    <row r="119" spans="3:7">
      <c r="C119" s="2" t="s">
        <v>139</v>
      </c>
      <c r="D119" s="2" t="s">
        <v>169</v>
      </c>
      <c r="E119" t="s">
        <v>1890</v>
      </c>
      <c r="F119" t="s">
        <v>1894</v>
      </c>
      <c r="G119" t="s">
        <v>1898</v>
      </c>
    </row>
    <row r="120" spans="3:7">
      <c r="C120" s="2" t="s">
        <v>152</v>
      </c>
      <c r="D120" s="2" t="s">
        <v>172</v>
      </c>
      <c r="E120" t="s">
        <v>1888</v>
      </c>
      <c r="F120" t="s">
        <v>1892</v>
      </c>
      <c r="G120" t="s">
        <v>1896</v>
      </c>
    </row>
    <row r="121" spans="3:7">
      <c r="C121" s="2" t="s">
        <v>152</v>
      </c>
      <c r="D121" s="2" t="s">
        <v>175</v>
      </c>
      <c r="E121" t="s">
        <v>1888</v>
      </c>
      <c r="F121" t="s">
        <v>1892</v>
      </c>
      <c r="G121" t="s">
        <v>1896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2026-02-02T02:01:54Z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0749C4ECB6B0498EA8FA6DCC645DAF78_12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